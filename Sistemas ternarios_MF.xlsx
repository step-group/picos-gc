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slormazabal_uc_cl/Documents/Trabajo Fleck/"/>
    </mc:Choice>
  </mc:AlternateContent>
  <xr:revisionPtr revIDLastSave="381" documentId="8_{32E8A317-C93A-493D-B835-6A8217CF1B4B}" xr6:coauthVersionLast="47" xr6:coauthVersionMax="47" xr10:uidLastSave="{8086C0E2-70CC-4532-979D-4B9CF553218C}"/>
  <bookViews>
    <workbookView xWindow="-98" yWindow="-98" windowWidth="21795" windowHeight="12975" tabRatio="823" activeTab="1" xr2:uid="{00000000-000D-0000-FFFF-FFFF00000000}"/>
  </bookViews>
  <sheets>
    <sheet name="Bloque A" sheetId="1" r:id="rId1"/>
    <sheet name="Bloque B" sheetId="3" r:id="rId2"/>
    <sheet name="Bloque C" sheetId="4" r:id="rId3"/>
    <sheet name="Bloque D" sheetId="12" r:id="rId4"/>
    <sheet name="Bloque E" sheetId="13" r:id="rId5"/>
    <sheet name="Bloque F" sheetId="14" r:id="rId6"/>
    <sheet name="Bloque H" sheetId="15" r:id="rId7"/>
    <sheet name="Bloque I" sheetId="16" r:id="rId8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3" l="1"/>
  <c r="P5" i="3"/>
  <c r="O5" i="3"/>
  <c r="Z23" i="3"/>
  <c r="Y23" i="3"/>
  <c r="X23" i="3"/>
  <c r="W23" i="3"/>
  <c r="Z21" i="3"/>
  <c r="Y21" i="3"/>
  <c r="X21" i="3"/>
  <c r="W21" i="3"/>
  <c r="Z19" i="3"/>
  <c r="Y19" i="3"/>
  <c r="X19" i="3"/>
  <c r="W19" i="3"/>
  <c r="Z17" i="3"/>
  <c r="Y17" i="3"/>
  <c r="X17" i="3"/>
  <c r="W17" i="3"/>
  <c r="Z15" i="3"/>
  <c r="Y15" i="3"/>
  <c r="X15" i="3"/>
  <c r="W15" i="3"/>
  <c r="Z13" i="3"/>
  <c r="Y13" i="3"/>
  <c r="X13" i="3"/>
  <c r="W13" i="3"/>
  <c r="Z11" i="3"/>
  <c r="Y11" i="3"/>
  <c r="X11" i="3"/>
  <c r="W11" i="3"/>
  <c r="Z9" i="3"/>
  <c r="Y9" i="3"/>
  <c r="X9" i="3"/>
  <c r="W9" i="3"/>
  <c r="Z7" i="3"/>
  <c r="Y7" i="3"/>
  <c r="X7" i="3"/>
  <c r="W7" i="3"/>
  <c r="Z5" i="3"/>
  <c r="Y5" i="3"/>
  <c r="X5" i="3"/>
  <c r="W5" i="3"/>
  <c r="Q24" i="3"/>
  <c r="T24" i="3" s="1"/>
  <c r="P24" i="3"/>
  <c r="S24" i="3" s="1"/>
  <c r="O24" i="3"/>
  <c r="R24" i="3" s="1"/>
  <c r="Q23" i="3"/>
  <c r="T23" i="3" s="1"/>
  <c r="P23" i="3"/>
  <c r="S23" i="3" s="1"/>
  <c r="O23" i="3"/>
  <c r="R23" i="3" s="1"/>
  <c r="Q22" i="3"/>
  <c r="T22" i="3" s="1"/>
  <c r="P22" i="3"/>
  <c r="S22" i="3" s="1"/>
  <c r="O22" i="3"/>
  <c r="R22" i="3" s="1"/>
  <c r="Q21" i="3"/>
  <c r="T21" i="3" s="1"/>
  <c r="P21" i="3"/>
  <c r="S21" i="3" s="1"/>
  <c r="O21" i="3"/>
  <c r="R21" i="3" s="1"/>
  <c r="Q20" i="3"/>
  <c r="T20" i="3" s="1"/>
  <c r="P20" i="3"/>
  <c r="S20" i="3" s="1"/>
  <c r="O20" i="3"/>
  <c r="R20" i="3" s="1"/>
  <c r="Q19" i="3"/>
  <c r="T19" i="3" s="1"/>
  <c r="P19" i="3"/>
  <c r="S19" i="3" s="1"/>
  <c r="O19" i="3"/>
  <c r="R19" i="3" s="1"/>
  <c r="R18" i="3"/>
  <c r="Q18" i="3"/>
  <c r="T18" i="3" s="1"/>
  <c r="P18" i="3"/>
  <c r="S18" i="3" s="1"/>
  <c r="O18" i="3"/>
  <c r="Q17" i="3"/>
  <c r="T17" i="3" s="1"/>
  <c r="P17" i="3"/>
  <c r="S17" i="3" s="1"/>
  <c r="O17" i="3"/>
  <c r="R17" i="3" s="1"/>
  <c r="Q16" i="3"/>
  <c r="T16" i="3" s="1"/>
  <c r="P16" i="3"/>
  <c r="S16" i="3" s="1"/>
  <c r="O16" i="3"/>
  <c r="R16" i="3" s="1"/>
  <c r="Q15" i="3"/>
  <c r="T15" i="3" s="1"/>
  <c r="P15" i="3"/>
  <c r="S15" i="3" s="1"/>
  <c r="O15" i="3"/>
  <c r="R15" i="3" s="1"/>
  <c r="Q14" i="3"/>
  <c r="T14" i="3" s="1"/>
  <c r="P14" i="3"/>
  <c r="S14" i="3" s="1"/>
  <c r="O14" i="3"/>
  <c r="R14" i="3" s="1"/>
  <c r="Q13" i="3"/>
  <c r="T13" i="3" s="1"/>
  <c r="P13" i="3"/>
  <c r="S13" i="3" s="1"/>
  <c r="O13" i="3"/>
  <c r="R13" i="3" s="1"/>
  <c r="Q12" i="3"/>
  <c r="T12" i="3" s="1"/>
  <c r="P12" i="3"/>
  <c r="S12" i="3" s="1"/>
  <c r="O12" i="3"/>
  <c r="R12" i="3" s="1"/>
  <c r="Q11" i="3"/>
  <c r="T11" i="3" s="1"/>
  <c r="P11" i="3"/>
  <c r="S11" i="3" s="1"/>
  <c r="O11" i="3"/>
  <c r="R11" i="3" s="1"/>
  <c r="Q10" i="3"/>
  <c r="T10" i="3" s="1"/>
  <c r="P10" i="3"/>
  <c r="S10" i="3" s="1"/>
  <c r="O10" i="3"/>
  <c r="R10" i="3" s="1"/>
  <c r="Q9" i="3"/>
  <c r="T9" i="3" s="1"/>
  <c r="P9" i="3"/>
  <c r="S9" i="3" s="1"/>
  <c r="O9" i="3"/>
  <c r="R9" i="3" s="1"/>
  <c r="Q8" i="3"/>
  <c r="T8" i="3" s="1"/>
  <c r="P8" i="3"/>
  <c r="S8" i="3" s="1"/>
  <c r="O8" i="3"/>
  <c r="R8" i="3" s="1"/>
  <c r="Q7" i="3"/>
  <c r="T7" i="3" s="1"/>
  <c r="P7" i="3"/>
  <c r="S7" i="3" s="1"/>
  <c r="O7" i="3"/>
  <c r="R7" i="3" s="1"/>
  <c r="Q6" i="3"/>
  <c r="T6" i="3" s="1"/>
  <c r="P6" i="3"/>
  <c r="S6" i="3" s="1"/>
  <c r="O6" i="3"/>
  <c r="R6" i="3" s="1"/>
  <c r="T5" i="3"/>
  <c r="S5" i="3"/>
  <c r="R5" i="3"/>
  <c r="O6" i="1"/>
  <c r="P6" i="1"/>
  <c r="Q6" i="1"/>
  <c r="O7" i="1"/>
  <c r="P7" i="1"/>
  <c r="Q7" i="1"/>
  <c r="O8" i="1"/>
  <c r="P8" i="1"/>
  <c r="Q8" i="1"/>
  <c r="O9" i="1"/>
  <c r="P9" i="1"/>
  <c r="Q9" i="1"/>
  <c r="O10" i="1"/>
  <c r="P10" i="1"/>
  <c r="Q10" i="1"/>
  <c r="O11" i="1"/>
  <c r="P11" i="1"/>
  <c r="Q11" i="1"/>
  <c r="O12" i="1"/>
  <c r="P12" i="1"/>
  <c r="Q12" i="1"/>
  <c r="O13" i="1"/>
  <c r="P13" i="1"/>
  <c r="Q13" i="1"/>
  <c r="O14" i="1"/>
  <c r="P14" i="1"/>
  <c r="Q14" i="1"/>
  <c r="O15" i="1"/>
  <c r="P15" i="1"/>
  <c r="Q15" i="1"/>
  <c r="O16" i="1"/>
  <c r="P16" i="1"/>
  <c r="Q16" i="1"/>
  <c r="O17" i="1"/>
  <c r="P17" i="1"/>
  <c r="Q17" i="1"/>
  <c r="O18" i="1"/>
  <c r="P18" i="1"/>
  <c r="Q18" i="1"/>
  <c r="O19" i="1"/>
  <c r="P19" i="1"/>
  <c r="Q19" i="1"/>
  <c r="O20" i="1"/>
  <c r="P20" i="1"/>
  <c r="Q20" i="1"/>
  <c r="O21" i="1"/>
  <c r="P21" i="1"/>
  <c r="Q21" i="1"/>
  <c r="O22" i="1"/>
  <c r="P22" i="1"/>
  <c r="Q22" i="1"/>
  <c r="O23" i="1"/>
  <c r="P23" i="1"/>
  <c r="Q23" i="1"/>
  <c r="O24" i="1"/>
  <c r="P24" i="1"/>
  <c r="Q24" i="1"/>
  <c r="Q5" i="1"/>
  <c r="P5" i="1"/>
  <c r="O5" i="1"/>
  <c r="Q24" i="16"/>
  <c r="O24" i="16"/>
  <c r="J24" i="16"/>
  <c r="I24" i="16"/>
  <c r="G24" i="16"/>
  <c r="Z23" i="16"/>
  <c r="Q23" i="16"/>
  <c r="O23" i="16"/>
  <c r="J23" i="16"/>
  <c r="I23" i="16"/>
  <c r="G23" i="16"/>
  <c r="Q22" i="16"/>
  <c r="O22" i="16"/>
  <c r="J22" i="16"/>
  <c r="I22" i="16"/>
  <c r="G22" i="16"/>
  <c r="Z21" i="16"/>
  <c r="Q21" i="16"/>
  <c r="O21" i="16"/>
  <c r="J21" i="16"/>
  <c r="I21" i="16"/>
  <c r="G21" i="16"/>
  <c r="Q20" i="16"/>
  <c r="O20" i="16"/>
  <c r="J20" i="16"/>
  <c r="I20" i="16"/>
  <c r="G20" i="16"/>
  <c r="Z19" i="16"/>
  <c r="Q19" i="16"/>
  <c r="O19" i="16"/>
  <c r="J19" i="16"/>
  <c r="I19" i="16"/>
  <c r="G19" i="16"/>
  <c r="Q18" i="16"/>
  <c r="O18" i="16"/>
  <c r="J18" i="16"/>
  <c r="I18" i="16"/>
  <c r="G18" i="16"/>
  <c r="Z17" i="16"/>
  <c r="Q17" i="16"/>
  <c r="O17" i="16"/>
  <c r="J17" i="16"/>
  <c r="I17" i="16"/>
  <c r="G17" i="16"/>
  <c r="Q16" i="16"/>
  <c r="O16" i="16"/>
  <c r="J16" i="16"/>
  <c r="I16" i="16"/>
  <c r="G16" i="16"/>
  <c r="Z15" i="16"/>
  <c r="Q15" i="16"/>
  <c r="O15" i="16"/>
  <c r="J15" i="16"/>
  <c r="I15" i="16"/>
  <c r="G15" i="16"/>
  <c r="Q14" i="16"/>
  <c r="O14" i="16"/>
  <c r="J14" i="16"/>
  <c r="I14" i="16"/>
  <c r="G14" i="16"/>
  <c r="Z13" i="16"/>
  <c r="Q13" i="16"/>
  <c r="O13" i="16"/>
  <c r="J13" i="16"/>
  <c r="I13" i="16"/>
  <c r="G13" i="16"/>
  <c r="Q12" i="16"/>
  <c r="O12" i="16"/>
  <c r="J12" i="16"/>
  <c r="I12" i="16"/>
  <c r="G12" i="16"/>
  <c r="Z11" i="16"/>
  <c r="Q11" i="16"/>
  <c r="O11" i="16"/>
  <c r="J11" i="16"/>
  <c r="I11" i="16"/>
  <c r="G11" i="16"/>
  <c r="Q10" i="16"/>
  <c r="O10" i="16"/>
  <c r="J10" i="16"/>
  <c r="I10" i="16"/>
  <c r="G10" i="16"/>
  <c r="Z9" i="16"/>
  <c r="Q9" i="16"/>
  <c r="O9" i="16"/>
  <c r="J9" i="16"/>
  <c r="I9" i="16"/>
  <c r="G9" i="16"/>
  <c r="Q8" i="16"/>
  <c r="O8" i="16"/>
  <c r="J8" i="16"/>
  <c r="I8" i="16"/>
  <c r="G8" i="16"/>
  <c r="Z7" i="16"/>
  <c r="Q7" i="16"/>
  <c r="O7" i="16"/>
  <c r="J7" i="16"/>
  <c r="I7" i="16"/>
  <c r="G7" i="16"/>
  <c r="Q6" i="16"/>
  <c r="O6" i="16"/>
  <c r="J6" i="16"/>
  <c r="I6" i="16"/>
  <c r="G6" i="16"/>
  <c r="Z5" i="16"/>
  <c r="Q5" i="16"/>
  <c r="O5" i="16"/>
  <c r="J5" i="16"/>
  <c r="I5" i="16"/>
  <c r="G5" i="16"/>
  <c r="Q24" i="15"/>
  <c r="O24" i="15"/>
  <c r="J24" i="15"/>
  <c r="I24" i="15"/>
  <c r="G24" i="15"/>
  <c r="Z23" i="15"/>
  <c r="Q23" i="15"/>
  <c r="O23" i="15"/>
  <c r="J23" i="15"/>
  <c r="I23" i="15"/>
  <c r="G23" i="15"/>
  <c r="Q22" i="15"/>
  <c r="O22" i="15"/>
  <c r="J22" i="15"/>
  <c r="I22" i="15"/>
  <c r="G22" i="15"/>
  <c r="Z21" i="15"/>
  <c r="Q21" i="15"/>
  <c r="O21" i="15"/>
  <c r="J21" i="15"/>
  <c r="I21" i="15"/>
  <c r="G21" i="15"/>
  <c r="Q20" i="15"/>
  <c r="O20" i="15"/>
  <c r="J20" i="15"/>
  <c r="I20" i="15"/>
  <c r="K20" i="15" s="1"/>
  <c r="G20" i="15"/>
  <c r="Z19" i="15"/>
  <c r="Q19" i="15"/>
  <c r="O19" i="15"/>
  <c r="J19" i="15"/>
  <c r="I19" i="15"/>
  <c r="G19" i="15"/>
  <c r="Q18" i="15"/>
  <c r="O18" i="15"/>
  <c r="J18" i="15"/>
  <c r="I18" i="15"/>
  <c r="G18" i="15"/>
  <c r="Z17" i="15"/>
  <c r="Q17" i="15"/>
  <c r="O17" i="15"/>
  <c r="J17" i="15"/>
  <c r="I17" i="15"/>
  <c r="G17" i="15"/>
  <c r="Q16" i="15"/>
  <c r="O16" i="15"/>
  <c r="J16" i="15"/>
  <c r="I16" i="15"/>
  <c r="G16" i="15"/>
  <c r="Z15" i="15"/>
  <c r="Q15" i="15"/>
  <c r="O15" i="15"/>
  <c r="J15" i="15"/>
  <c r="I15" i="15"/>
  <c r="G15" i="15"/>
  <c r="Q14" i="15"/>
  <c r="O14" i="15"/>
  <c r="J14" i="15"/>
  <c r="I14" i="15"/>
  <c r="G14" i="15"/>
  <c r="Z13" i="15"/>
  <c r="Q13" i="15"/>
  <c r="O13" i="15"/>
  <c r="J13" i="15"/>
  <c r="I13" i="15"/>
  <c r="G13" i="15"/>
  <c r="Q12" i="15"/>
  <c r="O12" i="15"/>
  <c r="J12" i="15"/>
  <c r="I12" i="15"/>
  <c r="G12" i="15"/>
  <c r="Z11" i="15"/>
  <c r="Q11" i="15"/>
  <c r="O11" i="15"/>
  <c r="J11" i="15"/>
  <c r="I11" i="15"/>
  <c r="G11" i="15"/>
  <c r="Q10" i="15"/>
  <c r="O10" i="15"/>
  <c r="J10" i="15"/>
  <c r="I10" i="15"/>
  <c r="G10" i="15"/>
  <c r="Z9" i="15"/>
  <c r="Q9" i="15"/>
  <c r="O9" i="15"/>
  <c r="J9" i="15"/>
  <c r="I9" i="15"/>
  <c r="G9" i="15"/>
  <c r="Q8" i="15"/>
  <c r="O8" i="15"/>
  <c r="J8" i="15"/>
  <c r="I8" i="15"/>
  <c r="G8" i="15"/>
  <c r="Z7" i="15"/>
  <c r="Q7" i="15"/>
  <c r="O7" i="15"/>
  <c r="J7" i="15"/>
  <c r="I7" i="15"/>
  <c r="G7" i="15"/>
  <c r="Q6" i="15"/>
  <c r="O6" i="15"/>
  <c r="J6" i="15"/>
  <c r="I6" i="15"/>
  <c r="G6" i="15"/>
  <c r="Z5" i="15"/>
  <c r="Q5" i="15"/>
  <c r="O5" i="15"/>
  <c r="J5" i="15"/>
  <c r="I5" i="15"/>
  <c r="G5" i="15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Q24" i="14"/>
  <c r="O24" i="14"/>
  <c r="J24" i="14"/>
  <c r="G24" i="14"/>
  <c r="Z23" i="14"/>
  <c r="Q23" i="14"/>
  <c r="O23" i="14"/>
  <c r="J23" i="14"/>
  <c r="G23" i="14"/>
  <c r="Q22" i="14"/>
  <c r="O22" i="14"/>
  <c r="J22" i="14"/>
  <c r="G22" i="14"/>
  <c r="Z21" i="14"/>
  <c r="Q21" i="14"/>
  <c r="O21" i="14"/>
  <c r="J21" i="14"/>
  <c r="G21" i="14"/>
  <c r="Q20" i="14"/>
  <c r="O20" i="14"/>
  <c r="J20" i="14"/>
  <c r="G20" i="14"/>
  <c r="Z19" i="14"/>
  <c r="Q19" i="14"/>
  <c r="O19" i="14"/>
  <c r="J19" i="14"/>
  <c r="G19" i="14"/>
  <c r="Q18" i="14"/>
  <c r="O18" i="14"/>
  <c r="J18" i="14"/>
  <c r="G18" i="14"/>
  <c r="Z17" i="14"/>
  <c r="Q17" i="14"/>
  <c r="O17" i="14"/>
  <c r="J17" i="14"/>
  <c r="G17" i="14"/>
  <c r="Q16" i="14"/>
  <c r="O16" i="14"/>
  <c r="J16" i="14"/>
  <c r="K16" i="14" s="1"/>
  <c r="G16" i="14"/>
  <c r="Z15" i="14"/>
  <c r="Q15" i="14"/>
  <c r="O15" i="14"/>
  <c r="J15" i="14"/>
  <c r="K15" i="14" s="1"/>
  <c r="G15" i="14"/>
  <c r="Q14" i="14"/>
  <c r="O14" i="14"/>
  <c r="J14" i="14"/>
  <c r="G14" i="14"/>
  <c r="Z13" i="14"/>
  <c r="Q13" i="14"/>
  <c r="O13" i="14"/>
  <c r="J13" i="14"/>
  <c r="G13" i="14"/>
  <c r="Q12" i="14"/>
  <c r="O12" i="14"/>
  <c r="J12" i="14"/>
  <c r="K12" i="14" s="1"/>
  <c r="G12" i="14"/>
  <c r="Z11" i="14"/>
  <c r="Q11" i="14"/>
  <c r="O11" i="14"/>
  <c r="J11" i="14"/>
  <c r="K11" i="14" s="1"/>
  <c r="G11" i="14"/>
  <c r="Q10" i="14"/>
  <c r="O10" i="14"/>
  <c r="J10" i="14"/>
  <c r="K10" i="14" s="1"/>
  <c r="G10" i="14"/>
  <c r="Z9" i="14"/>
  <c r="Q9" i="14"/>
  <c r="O9" i="14"/>
  <c r="J9" i="14"/>
  <c r="G9" i="14"/>
  <c r="Q8" i="14"/>
  <c r="O8" i="14"/>
  <c r="J8" i="14"/>
  <c r="K8" i="14" s="1"/>
  <c r="G8" i="14"/>
  <c r="Z7" i="14"/>
  <c r="Q7" i="14"/>
  <c r="O7" i="14"/>
  <c r="J7" i="14"/>
  <c r="K7" i="14" s="1"/>
  <c r="G7" i="14"/>
  <c r="Q6" i="14"/>
  <c r="O6" i="14"/>
  <c r="J6" i="14"/>
  <c r="K6" i="14" s="1"/>
  <c r="G6" i="14"/>
  <c r="Z5" i="14"/>
  <c r="Q5" i="14"/>
  <c r="O5" i="14"/>
  <c r="J5" i="14"/>
  <c r="G5" i="14"/>
  <c r="Q24" i="13"/>
  <c r="O24" i="13"/>
  <c r="J24" i="13"/>
  <c r="I24" i="13"/>
  <c r="G24" i="13"/>
  <c r="Z23" i="13"/>
  <c r="Q23" i="13"/>
  <c r="O23" i="13"/>
  <c r="J23" i="13"/>
  <c r="I23" i="13"/>
  <c r="G23" i="13"/>
  <c r="Q22" i="13"/>
  <c r="O22" i="13"/>
  <c r="J22" i="13"/>
  <c r="I22" i="13"/>
  <c r="G22" i="13"/>
  <c r="Z21" i="13"/>
  <c r="Q21" i="13"/>
  <c r="O21" i="13"/>
  <c r="J21" i="13"/>
  <c r="I21" i="13"/>
  <c r="G21" i="13"/>
  <c r="Q20" i="13"/>
  <c r="O20" i="13"/>
  <c r="J20" i="13"/>
  <c r="I20" i="13"/>
  <c r="G20" i="13"/>
  <c r="Z19" i="13"/>
  <c r="Q19" i="13"/>
  <c r="O19" i="13"/>
  <c r="J19" i="13"/>
  <c r="I19" i="13"/>
  <c r="G19" i="13"/>
  <c r="Q18" i="13"/>
  <c r="O18" i="13"/>
  <c r="J18" i="13"/>
  <c r="I18" i="13"/>
  <c r="G18" i="13"/>
  <c r="Z17" i="13"/>
  <c r="Q17" i="13"/>
  <c r="O17" i="13"/>
  <c r="J17" i="13"/>
  <c r="I17" i="13"/>
  <c r="G17" i="13"/>
  <c r="Q16" i="13"/>
  <c r="O16" i="13"/>
  <c r="J16" i="13"/>
  <c r="I16" i="13"/>
  <c r="G16" i="13"/>
  <c r="Z15" i="13"/>
  <c r="Q15" i="13"/>
  <c r="O15" i="13"/>
  <c r="J15" i="13"/>
  <c r="I15" i="13"/>
  <c r="G15" i="13"/>
  <c r="Q14" i="13"/>
  <c r="O14" i="13"/>
  <c r="J14" i="13"/>
  <c r="I14" i="13"/>
  <c r="G14" i="13"/>
  <c r="Z13" i="13"/>
  <c r="Q13" i="13"/>
  <c r="O13" i="13"/>
  <c r="J13" i="13"/>
  <c r="I13" i="13"/>
  <c r="G13" i="13"/>
  <c r="Q12" i="13"/>
  <c r="O12" i="13"/>
  <c r="J12" i="13"/>
  <c r="I12" i="13"/>
  <c r="G12" i="13"/>
  <c r="Z11" i="13"/>
  <c r="Q11" i="13"/>
  <c r="O11" i="13"/>
  <c r="J11" i="13"/>
  <c r="I11" i="13"/>
  <c r="G11" i="13"/>
  <c r="Q10" i="13"/>
  <c r="O10" i="13"/>
  <c r="J10" i="13"/>
  <c r="I10" i="13"/>
  <c r="G10" i="13"/>
  <c r="Z9" i="13"/>
  <c r="Q9" i="13"/>
  <c r="O9" i="13"/>
  <c r="J9" i="13"/>
  <c r="I9" i="13"/>
  <c r="G9" i="13"/>
  <c r="Q8" i="13"/>
  <c r="O8" i="13"/>
  <c r="J8" i="13"/>
  <c r="I8" i="13"/>
  <c r="G8" i="13"/>
  <c r="Z7" i="13"/>
  <c r="Q7" i="13"/>
  <c r="O7" i="13"/>
  <c r="J7" i="13"/>
  <c r="I7" i="13"/>
  <c r="G7" i="13"/>
  <c r="Q6" i="13"/>
  <c r="O6" i="13"/>
  <c r="J6" i="13"/>
  <c r="I6" i="13"/>
  <c r="K6" i="13" s="1"/>
  <c r="T6" i="13" s="1"/>
  <c r="G6" i="13"/>
  <c r="Z5" i="13"/>
  <c r="Q5" i="13"/>
  <c r="O5" i="13"/>
  <c r="J5" i="13"/>
  <c r="I5" i="13"/>
  <c r="G5" i="13"/>
  <c r="Q24" i="12"/>
  <c r="O24" i="12"/>
  <c r="J24" i="12"/>
  <c r="I24" i="12"/>
  <c r="G24" i="12"/>
  <c r="Z23" i="12"/>
  <c r="Q23" i="12"/>
  <c r="O23" i="12"/>
  <c r="J23" i="12"/>
  <c r="I23" i="12"/>
  <c r="G23" i="12"/>
  <c r="Q22" i="12"/>
  <c r="O22" i="12"/>
  <c r="J22" i="12"/>
  <c r="I22" i="12"/>
  <c r="G22" i="12"/>
  <c r="Z21" i="12"/>
  <c r="Q21" i="12"/>
  <c r="O21" i="12"/>
  <c r="J21" i="12"/>
  <c r="I21" i="12"/>
  <c r="G21" i="12"/>
  <c r="Q20" i="12"/>
  <c r="O20" i="12"/>
  <c r="J20" i="12"/>
  <c r="I20" i="12"/>
  <c r="G20" i="12"/>
  <c r="Z19" i="12"/>
  <c r="Q19" i="12"/>
  <c r="O19" i="12"/>
  <c r="J19" i="12"/>
  <c r="I19" i="12"/>
  <c r="G19" i="12"/>
  <c r="Q18" i="12"/>
  <c r="O18" i="12"/>
  <c r="J18" i="12"/>
  <c r="I18" i="12"/>
  <c r="G18" i="12"/>
  <c r="Z17" i="12"/>
  <c r="Q17" i="12"/>
  <c r="O17" i="12"/>
  <c r="J17" i="12"/>
  <c r="I17" i="12"/>
  <c r="G17" i="12"/>
  <c r="Q16" i="12"/>
  <c r="O16" i="12"/>
  <c r="J16" i="12"/>
  <c r="I16" i="12"/>
  <c r="G16" i="12"/>
  <c r="Z15" i="12"/>
  <c r="Q15" i="12"/>
  <c r="O15" i="12"/>
  <c r="J15" i="12"/>
  <c r="I15" i="12"/>
  <c r="K15" i="12" s="1"/>
  <c r="G15" i="12"/>
  <c r="Q14" i="12"/>
  <c r="O14" i="12"/>
  <c r="J14" i="12"/>
  <c r="I14" i="12"/>
  <c r="G14" i="12"/>
  <c r="Z13" i="12"/>
  <c r="Q13" i="12"/>
  <c r="O13" i="12"/>
  <c r="J13" i="12"/>
  <c r="I13" i="12"/>
  <c r="G13" i="12"/>
  <c r="Q12" i="12"/>
  <c r="O12" i="12"/>
  <c r="J12" i="12"/>
  <c r="I12" i="12"/>
  <c r="K12" i="12" s="1"/>
  <c r="G12" i="12"/>
  <c r="Z11" i="12"/>
  <c r="Q11" i="12"/>
  <c r="O11" i="12"/>
  <c r="J11" i="12"/>
  <c r="I11" i="12"/>
  <c r="G11" i="12"/>
  <c r="Q10" i="12"/>
  <c r="O10" i="12"/>
  <c r="J10" i="12"/>
  <c r="I10" i="12"/>
  <c r="G10" i="12"/>
  <c r="Z9" i="12"/>
  <c r="Q9" i="12"/>
  <c r="O9" i="12"/>
  <c r="J9" i="12"/>
  <c r="I9" i="12"/>
  <c r="G9" i="12"/>
  <c r="Q8" i="12"/>
  <c r="O8" i="12"/>
  <c r="J8" i="12"/>
  <c r="I8" i="12"/>
  <c r="G8" i="12"/>
  <c r="Z7" i="12"/>
  <c r="Q7" i="12"/>
  <c r="O7" i="12"/>
  <c r="J7" i="12"/>
  <c r="I7" i="12"/>
  <c r="G7" i="12"/>
  <c r="Q6" i="12"/>
  <c r="O6" i="12"/>
  <c r="J6" i="12"/>
  <c r="I6" i="12"/>
  <c r="G6" i="12"/>
  <c r="Z5" i="12"/>
  <c r="Q5" i="12"/>
  <c r="O5" i="12"/>
  <c r="J5" i="12"/>
  <c r="I5" i="12"/>
  <c r="G5" i="12"/>
  <c r="K23" i="14" l="1"/>
  <c r="K22" i="14"/>
  <c r="K10" i="16"/>
  <c r="R10" i="16" s="1"/>
  <c r="K22" i="16"/>
  <c r="R22" i="16" s="1"/>
  <c r="K13" i="16"/>
  <c r="T13" i="16" s="1"/>
  <c r="Y13" i="16" s="1"/>
  <c r="K18" i="16"/>
  <c r="R18" i="16" s="1"/>
  <c r="K5" i="16"/>
  <c r="T5" i="16" s="1"/>
  <c r="Y5" i="16" s="1"/>
  <c r="K14" i="16"/>
  <c r="R14" i="16" s="1"/>
  <c r="K23" i="16"/>
  <c r="T23" i="16" s="1"/>
  <c r="Y23" i="16" s="1"/>
  <c r="K17" i="16"/>
  <c r="R17" i="16" s="1"/>
  <c r="K6" i="16"/>
  <c r="R6" i="16" s="1"/>
  <c r="K7" i="16"/>
  <c r="R7" i="16" s="1"/>
  <c r="K15" i="16"/>
  <c r="T15" i="16" s="1"/>
  <c r="Y15" i="16" s="1"/>
  <c r="K19" i="16"/>
  <c r="T19" i="16" s="1"/>
  <c r="Y19" i="16" s="1"/>
  <c r="K8" i="16"/>
  <c r="R8" i="16" s="1"/>
  <c r="K12" i="16"/>
  <c r="R12" i="16" s="1"/>
  <c r="K16" i="16"/>
  <c r="R16" i="16" s="1"/>
  <c r="K20" i="16"/>
  <c r="T20" i="16" s="1"/>
  <c r="K24" i="16"/>
  <c r="T24" i="16" s="1"/>
  <c r="K9" i="16"/>
  <c r="T9" i="16" s="1"/>
  <c r="Y9" i="16" s="1"/>
  <c r="K11" i="16"/>
  <c r="T11" i="16" s="1"/>
  <c r="Y11" i="16" s="1"/>
  <c r="K21" i="16"/>
  <c r="T21" i="16" s="1"/>
  <c r="Y21" i="16" s="1"/>
  <c r="T17" i="16"/>
  <c r="Y17" i="16" s="1"/>
  <c r="T18" i="16"/>
  <c r="T10" i="16"/>
  <c r="K22" i="15"/>
  <c r="T22" i="15" s="1"/>
  <c r="K16" i="15"/>
  <c r="R16" i="15" s="1"/>
  <c r="K18" i="15"/>
  <c r="R18" i="15" s="1"/>
  <c r="K23" i="15"/>
  <c r="T23" i="15" s="1"/>
  <c r="Y23" i="15" s="1"/>
  <c r="K6" i="15"/>
  <c r="R6" i="15" s="1"/>
  <c r="K7" i="15"/>
  <c r="T7" i="15" s="1"/>
  <c r="Y7" i="15" s="1"/>
  <c r="K10" i="15"/>
  <c r="T10" i="15" s="1"/>
  <c r="K11" i="15"/>
  <c r="T11" i="15" s="1"/>
  <c r="Y11" i="15" s="1"/>
  <c r="K24" i="15"/>
  <c r="R24" i="15" s="1"/>
  <c r="K14" i="15"/>
  <c r="R14" i="15" s="1"/>
  <c r="K15" i="15"/>
  <c r="R15" i="15" s="1"/>
  <c r="K8" i="15"/>
  <c r="R8" i="15" s="1"/>
  <c r="K19" i="15"/>
  <c r="R19" i="15" s="1"/>
  <c r="K12" i="15"/>
  <c r="R12" i="15" s="1"/>
  <c r="K5" i="15"/>
  <c r="R5" i="15" s="1"/>
  <c r="W5" i="15" s="1"/>
  <c r="K9" i="15"/>
  <c r="T9" i="15" s="1"/>
  <c r="Y9" i="15" s="1"/>
  <c r="K13" i="15"/>
  <c r="R13" i="15" s="1"/>
  <c r="K17" i="15"/>
  <c r="R17" i="15" s="1"/>
  <c r="K21" i="15"/>
  <c r="T21" i="15" s="1"/>
  <c r="Y21" i="15" s="1"/>
  <c r="R20" i="15"/>
  <c r="T20" i="15"/>
  <c r="K20" i="14"/>
  <c r="R20" i="14" s="1"/>
  <c r="K13" i="14"/>
  <c r="K21" i="14"/>
  <c r="T21" i="14" s="1"/>
  <c r="Y21" i="14" s="1"/>
  <c r="K5" i="14"/>
  <c r="R5" i="14" s="1"/>
  <c r="K9" i="14"/>
  <c r="K17" i="14"/>
  <c r="R17" i="14" s="1"/>
  <c r="K19" i="14"/>
  <c r="R19" i="14" s="1"/>
  <c r="K18" i="14"/>
  <c r="T18" i="14" s="1"/>
  <c r="K14" i="14"/>
  <c r="R14" i="14" s="1"/>
  <c r="K24" i="14"/>
  <c r="R24" i="14" s="1"/>
  <c r="R10" i="14"/>
  <c r="T17" i="14"/>
  <c r="Y17" i="14" s="1"/>
  <c r="R15" i="14"/>
  <c r="T15" i="14"/>
  <c r="Y15" i="14" s="1"/>
  <c r="T9" i="14"/>
  <c r="Y9" i="14" s="1"/>
  <c r="R9" i="14"/>
  <c r="W9" i="14" s="1"/>
  <c r="R13" i="14"/>
  <c r="T13" i="14"/>
  <c r="Y13" i="14" s="1"/>
  <c r="R18" i="14"/>
  <c r="R7" i="14"/>
  <c r="T11" i="14"/>
  <c r="Y11" i="14" s="1"/>
  <c r="T22" i="14"/>
  <c r="R22" i="14"/>
  <c r="T6" i="14"/>
  <c r="R23" i="14"/>
  <c r="T23" i="14"/>
  <c r="Y23" i="14" s="1"/>
  <c r="R8" i="14"/>
  <c r="R12" i="14"/>
  <c r="R16" i="14"/>
  <c r="R6" i="14"/>
  <c r="T10" i="14"/>
  <c r="R11" i="14"/>
  <c r="T7" i="14"/>
  <c r="Y7" i="14" s="1"/>
  <c r="T8" i="14"/>
  <c r="T12" i="14"/>
  <c r="T16" i="14"/>
  <c r="T24" i="14"/>
  <c r="K21" i="13"/>
  <c r="R21" i="13" s="1"/>
  <c r="K15" i="13"/>
  <c r="K13" i="13"/>
  <c r="R13" i="13" s="1"/>
  <c r="K10" i="13"/>
  <c r="K14" i="13"/>
  <c r="T14" i="13" s="1"/>
  <c r="K18" i="13"/>
  <c r="T18" i="13" s="1"/>
  <c r="K22" i="13"/>
  <c r="R22" i="13" s="1"/>
  <c r="K7" i="13"/>
  <c r="R7" i="13" s="1"/>
  <c r="K19" i="13"/>
  <c r="T19" i="13" s="1"/>
  <c r="Y19" i="13" s="1"/>
  <c r="K20" i="13"/>
  <c r="T20" i="13" s="1"/>
  <c r="K5" i="13"/>
  <c r="R5" i="13" s="1"/>
  <c r="K9" i="13"/>
  <c r="T9" i="13" s="1"/>
  <c r="Y9" i="13" s="1"/>
  <c r="K17" i="13"/>
  <c r="T17" i="13" s="1"/>
  <c r="Y17" i="13" s="1"/>
  <c r="K11" i="13"/>
  <c r="T11" i="13" s="1"/>
  <c r="Y11" i="13" s="1"/>
  <c r="K23" i="13"/>
  <c r="T23" i="13" s="1"/>
  <c r="Y23" i="13" s="1"/>
  <c r="K8" i="13"/>
  <c r="R8" i="13" s="1"/>
  <c r="K12" i="13"/>
  <c r="R12" i="13" s="1"/>
  <c r="K16" i="13"/>
  <c r="R16" i="13" s="1"/>
  <c r="K24" i="13"/>
  <c r="R24" i="13" s="1"/>
  <c r="T22" i="13"/>
  <c r="R11" i="13"/>
  <c r="T21" i="13"/>
  <c r="Y21" i="13" s="1"/>
  <c r="R6" i="13"/>
  <c r="R10" i="13"/>
  <c r="T10" i="13"/>
  <c r="K18" i="12"/>
  <c r="T18" i="12" s="1"/>
  <c r="K14" i="12"/>
  <c r="K6" i="12"/>
  <c r="K16" i="12"/>
  <c r="K17" i="12"/>
  <c r="R17" i="12" s="1"/>
  <c r="K19" i="12"/>
  <c r="T19" i="12" s="1"/>
  <c r="K22" i="12"/>
  <c r="T22" i="12" s="1"/>
  <c r="K20" i="12"/>
  <c r="R20" i="12" s="1"/>
  <c r="K9" i="12"/>
  <c r="R9" i="12" s="1"/>
  <c r="T12" i="12"/>
  <c r="R12" i="12"/>
  <c r="K10" i="12"/>
  <c r="T10" i="12" s="1"/>
  <c r="T6" i="12"/>
  <c r="K11" i="12"/>
  <c r="T11" i="12" s="1"/>
  <c r="Y11" i="12" s="1"/>
  <c r="R6" i="12"/>
  <c r="K8" i="12"/>
  <c r="R8" i="12" s="1"/>
  <c r="K5" i="12"/>
  <c r="R5" i="12" s="1"/>
  <c r="W5" i="12" s="1"/>
  <c r="K23" i="12"/>
  <c r="T23" i="12" s="1"/>
  <c r="K7" i="12"/>
  <c r="T7" i="12" s="1"/>
  <c r="R18" i="12"/>
  <c r="W17" i="12" s="1"/>
  <c r="R15" i="12"/>
  <c r="K24" i="12"/>
  <c r="R24" i="12" s="1"/>
  <c r="K21" i="12"/>
  <c r="T21" i="12" s="1"/>
  <c r="Y21" i="12" s="1"/>
  <c r="T15" i="12"/>
  <c r="K13" i="12"/>
  <c r="R13" i="12" s="1"/>
  <c r="T17" i="12"/>
  <c r="Y17" i="12" s="1"/>
  <c r="R16" i="12"/>
  <c r="T16" i="12"/>
  <c r="R19" i="12"/>
  <c r="T20" i="12"/>
  <c r="Z23" i="4"/>
  <c r="Z21" i="4"/>
  <c r="Z19" i="4"/>
  <c r="Z17" i="4"/>
  <c r="Z15" i="4"/>
  <c r="Z13" i="4"/>
  <c r="Z11" i="4"/>
  <c r="Z9" i="4"/>
  <c r="Z7" i="4"/>
  <c r="Z5" i="4"/>
  <c r="Z9" i="1"/>
  <c r="Z11" i="1"/>
  <c r="Z13" i="1"/>
  <c r="Z15" i="1"/>
  <c r="Z17" i="1"/>
  <c r="Z19" i="1"/>
  <c r="Z21" i="1"/>
  <c r="Z23" i="1"/>
  <c r="Z7" i="1"/>
  <c r="Z5" i="1"/>
  <c r="Q24" i="4"/>
  <c r="O24" i="4"/>
  <c r="Q23" i="4"/>
  <c r="O23" i="4"/>
  <c r="Q22" i="4"/>
  <c r="O22" i="4"/>
  <c r="Q21" i="4"/>
  <c r="O21" i="4"/>
  <c r="Q20" i="4"/>
  <c r="O20" i="4"/>
  <c r="Q19" i="4"/>
  <c r="O19" i="4"/>
  <c r="Q18" i="4"/>
  <c r="O18" i="4"/>
  <c r="Q17" i="4"/>
  <c r="O17" i="4"/>
  <c r="Q16" i="4"/>
  <c r="O16" i="4"/>
  <c r="Q15" i="4"/>
  <c r="O15" i="4"/>
  <c r="Q14" i="4"/>
  <c r="O14" i="4"/>
  <c r="Q13" i="4"/>
  <c r="O13" i="4"/>
  <c r="Q12" i="4"/>
  <c r="O12" i="4"/>
  <c r="Q11" i="4"/>
  <c r="O11" i="4"/>
  <c r="Q10" i="4"/>
  <c r="O10" i="4"/>
  <c r="Q9" i="4"/>
  <c r="O9" i="4"/>
  <c r="Q8" i="4"/>
  <c r="O8" i="4"/>
  <c r="Q7" i="4"/>
  <c r="O7" i="4"/>
  <c r="Q6" i="4"/>
  <c r="O6" i="4"/>
  <c r="Q5" i="4"/>
  <c r="O5" i="4"/>
  <c r="W7" i="14" l="1"/>
  <c r="AA7" i="14" s="1"/>
  <c r="W15" i="14"/>
  <c r="AA15" i="14" s="1"/>
  <c r="T15" i="13"/>
  <c r="Y15" i="13" s="1"/>
  <c r="R15" i="13"/>
  <c r="W5" i="13"/>
  <c r="R14" i="12"/>
  <c r="W13" i="12" s="1"/>
  <c r="T14" i="12"/>
  <c r="Y19" i="12"/>
  <c r="Y15" i="12"/>
  <c r="R21" i="16"/>
  <c r="W21" i="16" s="1"/>
  <c r="AA21" i="16" s="1"/>
  <c r="R23" i="16"/>
  <c r="T22" i="16"/>
  <c r="R19" i="16"/>
  <c r="T7" i="16"/>
  <c r="Y7" i="16" s="1"/>
  <c r="T14" i="16"/>
  <c r="T16" i="16"/>
  <c r="R15" i="16"/>
  <c r="T8" i="16"/>
  <c r="R5" i="16"/>
  <c r="W5" i="16" s="1"/>
  <c r="AA5" i="16" s="1"/>
  <c r="R11" i="16"/>
  <c r="W11" i="16" s="1"/>
  <c r="AA11" i="16" s="1"/>
  <c r="T6" i="16"/>
  <c r="T12" i="16"/>
  <c r="W15" i="16"/>
  <c r="AA15" i="16" s="1"/>
  <c r="R13" i="16"/>
  <c r="W13" i="16" s="1"/>
  <c r="AA13" i="16" s="1"/>
  <c r="R24" i="16"/>
  <c r="R20" i="16"/>
  <c r="R9" i="16"/>
  <c r="W9" i="16" s="1"/>
  <c r="AA9" i="16" s="1"/>
  <c r="W7" i="16"/>
  <c r="W17" i="16"/>
  <c r="AA17" i="16" s="1"/>
  <c r="W23" i="16"/>
  <c r="AA23" i="16" s="1"/>
  <c r="T18" i="15"/>
  <c r="R23" i="15"/>
  <c r="W23" i="15" s="1"/>
  <c r="AA23" i="15" s="1"/>
  <c r="R22" i="15"/>
  <c r="R21" i="15"/>
  <c r="W21" i="15" s="1"/>
  <c r="AA21" i="15" s="1"/>
  <c r="W19" i="15"/>
  <c r="T17" i="15"/>
  <c r="Y17" i="15" s="1"/>
  <c r="T16" i="15"/>
  <c r="T13" i="15"/>
  <c r="Y13" i="15" s="1"/>
  <c r="W13" i="15"/>
  <c r="AA13" i="15" s="1"/>
  <c r="R7" i="15"/>
  <c r="W7" i="15" s="1"/>
  <c r="AA7" i="15" s="1"/>
  <c r="R9" i="15"/>
  <c r="T12" i="15"/>
  <c r="T6" i="15"/>
  <c r="R10" i="15"/>
  <c r="R11" i="15"/>
  <c r="W11" i="15" s="1"/>
  <c r="AA11" i="15" s="1"/>
  <c r="W17" i="15"/>
  <c r="T8" i="15"/>
  <c r="T14" i="15"/>
  <c r="T15" i="15"/>
  <c r="Y15" i="15" s="1"/>
  <c r="T5" i="15"/>
  <c r="Y5" i="15" s="1"/>
  <c r="AA5" i="15" s="1"/>
  <c r="T24" i="15"/>
  <c r="T19" i="15"/>
  <c r="Y19" i="15" s="1"/>
  <c r="W9" i="15"/>
  <c r="AA9" i="15" s="1"/>
  <c r="W15" i="15"/>
  <c r="T20" i="14"/>
  <c r="W19" i="14"/>
  <c r="T19" i="14"/>
  <c r="Y19" i="14" s="1"/>
  <c r="W17" i="14"/>
  <c r="AA17" i="14" s="1"/>
  <c r="AA9" i="14"/>
  <c r="T14" i="14"/>
  <c r="W11" i="14"/>
  <c r="W13" i="14"/>
  <c r="AA13" i="14" s="1"/>
  <c r="R21" i="14"/>
  <c r="W21" i="14" s="1"/>
  <c r="AA21" i="14" s="1"/>
  <c r="T5" i="14"/>
  <c r="Y5" i="14" s="1"/>
  <c r="W23" i="14"/>
  <c r="AA23" i="14" s="1"/>
  <c r="W5" i="14"/>
  <c r="AA11" i="14"/>
  <c r="AA19" i="14"/>
  <c r="T24" i="13"/>
  <c r="R19" i="13"/>
  <c r="R17" i="13"/>
  <c r="R14" i="13"/>
  <c r="W13" i="13" s="1"/>
  <c r="R9" i="13"/>
  <c r="W7" i="13"/>
  <c r="W11" i="13"/>
  <c r="AA11" i="13" s="1"/>
  <c r="T5" i="13"/>
  <c r="Y5" i="13" s="1"/>
  <c r="T13" i="13"/>
  <c r="Y13" i="13" s="1"/>
  <c r="AA13" i="13" s="1"/>
  <c r="T16" i="13"/>
  <c r="T12" i="13"/>
  <c r="R20" i="13"/>
  <c r="R18" i="13"/>
  <c r="W17" i="13" s="1"/>
  <c r="AA17" i="13" s="1"/>
  <c r="T7" i="13"/>
  <c r="Y7" i="13" s="1"/>
  <c r="R23" i="13"/>
  <c r="W23" i="13" s="1"/>
  <c r="AA23" i="13" s="1"/>
  <c r="T8" i="13"/>
  <c r="W21" i="13"/>
  <c r="AA21" i="13" s="1"/>
  <c r="W15" i="13"/>
  <c r="AA15" i="13" s="1"/>
  <c r="W9" i="13"/>
  <c r="AA9" i="13" s="1"/>
  <c r="R22" i="12"/>
  <c r="T9" i="12"/>
  <c r="Y9" i="12" s="1"/>
  <c r="R10" i="12"/>
  <c r="T24" i="12"/>
  <c r="Y23" i="12" s="1"/>
  <c r="R7" i="12"/>
  <c r="W7" i="12" s="1"/>
  <c r="R11" i="12"/>
  <c r="W11" i="12" s="1"/>
  <c r="AA11" i="12" s="1"/>
  <c r="T13" i="12"/>
  <c r="AA17" i="12"/>
  <c r="T5" i="12"/>
  <c r="Y5" i="12" s="1"/>
  <c r="AA5" i="12" s="1"/>
  <c r="R23" i="12"/>
  <c r="W23" i="12" s="1"/>
  <c r="W15" i="12"/>
  <c r="T8" i="12"/>
  <c r="Y7" i="12" s="1"/>
  <c r="AA7" i="12" s="1"/>
  <c r="R21" i="12"/>
  <c r="W9" i="12"/>
  <c r="AA9" i="12" s="1"/>
  <c r="W19" i="12"/>
  <c r="AA15" i="15" l="1"/>
  <c r="W19" i="13"/>
  <c r="AA19" i="13" s="1"/>
  <c r="AA5" i="13"/>
  <c r="W21" i="12"/>
  <c r="AA21" i="12" s="1"/>
  <c r="AA23" i="12"/>
  <c r="Y13" i="12"/>
  <c r="AA13" i="12" s="1"/>
  <c r="AA15" i="12"/>
  <c r="AA19" i="12"/>
  <c r="W19" i="16"/>
  <c r="AA19" i="16" s="1"/>
  <c r="AA7" i="16"/>
  <c r="AA19" i="15"/>
  <c r="AA17" i="15"/>
  <c r="AA5" i="14"/>
  <c r="AA7" i="13"/>
  <c r="J24" i="4" l="1"/>
  <c r="I24" i="4"/>
  <c r="G24" i="4"/>
  <c r="J23" i="4"/>
  <c r="I23" i="4"/>
  <c r="G23" i="4"/>
  <c r="J22" i="4"/>
  <c r="I22" i="4"/>
  <c r="G22" i="4"/>
  <c r="J21" i="4"/>
  <c r="I21" i="4"/>
  <c r="G21" i="4"/>
  <c r="J20" i="4"/>
  <c r="I20" i="4"/>
  <c r="G20" i="4"/>
  <c r="J19" i="4"/>
  <c r="I19" i="4"/>
  <c r="G19" i="4"/>
  <c r="J18" i="4"/>
  <c r="I18" i="4"/>
  <c r="G18" i="4"/>
  <c r="J17" i="4"/>
  <c r="I17" i="4"/>
  <c r="G17" i="4"/>
  <c r="J16" i="4"/>
  <c r="I16" i="4"/>
  <c r="G16" i="4"/>
  <c r="J15" i="4"/>
  <c r="I15" i="4"/>
  <c r="G15" i="4"/>
  <c r="J14" i="4"/>
  <c r="I14" i="4"/>
  <c r="G14" i="4"/>
  <c r="J13" i="4"/>
  <c r="I13" i="4"/>
  <c r="G13" i="4"/>
  <c r="J12" i="4"/>
  <c r="I12" i="4"/>
  <c r="G12" i="4"/>
  <c r="J11" i="4"/>
  <c r="I11" i="4"/>
  <c r="G11" i="4"/>
  <c r="J10" i="4"/>
  <c r="I10" i="4"/>
  <c r="G10" i="4"/>
  <c r="J9" i="4"/>
  <c r="I9" i="4"/>
  <c r="G9" i="4"/>
  <c r="J8" i="4"/>
  <c r="I8" i="4"/>
  <c r="G8" i="4"/>
  <c r="J7" i="4"/>
  <c r="I7" i="4"/>
  <c r="G7" i="4"/>
  <c r="J6" i="4"/>
  <c r="I6" i="4"/>
  <c r="G6" i="4"/>
  <c r="J5" i="4"/>
  <c r="I5" i="4"/>
  <c r="G5" i="4"/>
  <c r="J24" i="3"/>
  <c r="I24" i="3"/>
  <c r="G24" i="3"/>
  <c r="J23" i="3"/>
  <c r="I23" i="3"/>
  <c r="G23" i="3"/>
  <c r="J22" i="3"/>
  <c r="I22" i="3"/>
  <c r="G22" i="3"/>
  <c r="J21" i="3"/>
  <c r="I21" i="3"/>
  <c r="G21" i="3"/>
  <c r="J20" i="3"/>
  <c r="I20" i="3"/>
  <c r="G20" i="3"/>
  <c r="J19" i="3"/>
  <c r="I19" i="3"/>
  <c r="G19" i="3"/>
  <c r="J18" i="3"/>
  <c r="I18" i="3"/>
  <c r="G18" i="3"/>
  <c r="J17" i="3"/>
  <c r="I17" i="3"/>
  <c r="G17" i="3"/>
  <c r="J16" i="3"/>
  <c r="I16" i="3"/>
  <c r="G16" i="3"/>
  <c r="J15" i="3"/>
  <c r="I15" i="3"/>
  <c r="G15" i="3"/>
  <c r="J14" i="3"/>
  <c r="I14" i="3"/>
  <c r="G14" i="3"/>
  <c r="J13" i="3"/>
  <c r="I13" i="3"/>
  <c r="G13" i="3"/>
  <c r="J12" i="3"/>
  <c r="I12" i="3"/>
  <c r="G12" i="3"/>
  <c r="J11" i="3"/>
  <c r="I11" i="3"/>
  <c r="G11" i="3"/>
  <c r="J10" i="3"/>
  <c r="I10" i="3"/>
  <c r="G10" i="3"/>
  <c r="J9" i="3"/>
  <c r="I9" i="3"/>
  <c r="G9" i="3"/>
  <c r="J8" i="3"/>
  <c r="I8" i="3"/>
  <c r="G8" i="3"/>
  <c r="J7" i="3"/>
  <c r="I7" i="3"/>
  <c r="G7" i="3"/>
  <c r="J6" i="3"/>
  <c r="I6" i="3"/>
  <c r="G6" i="3"/>
  <c r="J5" i="3"/>
  <c r="I5" i="3"/>
  <c r="G5" i="3"/>
  <c r="J24" i="1"/>
  <c r="I24" i="1"/>
  <c r="G24" i="1"/>
  <c r="J23" i="1"/>
  <c r="I23" i="1"/>
  <c r="G23" i="1"/>
  <c r="J22" i="1"/>
  <c r="I22" i="1"/>
  <c r="G22" i="1"/>
  <c r="J21" i="1"/>
  <c r="I21" i="1"/>
  <c r="G21" i="1"/>
  <c r="J20" i="1"/>
  <c r="I20" i="1"/>
  <c r="G20" i="1"/>
  <c r="J19" i="1"/>
  <c r="I19" i="1"/>
  <c r="G19" i="1"/>
  <c r="J18" i="1"/>
  <c r="I18" i="1"/>
  <c r="G18" i="1"/>
  <c r="J17" i="1"/>
  <c r="I17" i="1"/>
  <c r="G17" i="1"/>
  <c r="J16" i="1"/>
  <c r="I16" i="1"/>
  <c r="G16" i="1"/>
  <c r="J15" i="1"/>
  <c r="I15" i="1"/>
  <c r="G15" i="1"/>
  <c r="J14" i="1"/>
  <c r="I14" i="1"/>
  <c r="G14" i="1"/>
  <c r="J13" i="1"/>
  <c r="I13" i="1"/>
  <c r="G13" i="1"/>
  <c r="J12" i="1"/>
  <c r="I12" i="1"/>
  <c r="G12" i="1"/>
  <c r="J11" i="1"/>
  <c r="I11" i="1"/>
  <c r="G11" i="1"/>
  <c r="J10" i="1"/>
  <c r="I10" i="1"/>
  <c r="G10" i="1"/>
  <c r="J9" i="1"/>
  <c r="I9" i="1"/>
  <c r="G9" i="1"/>
  <c r="J8" i="1"/>
  <c r="I8" i="1"/>
  <c r="G8" i="1"/>
  <c r="J7" i="1"/>
  <c r="I7" i="1"/>
  <c r="G7" i="1"/>
  <c r="J6" i="1"/>
  <c r="I6" i="1"/>
  <c r="G6" i="1"/>
  <c r="J5" i="1"/>
  <c r="I5" i="1"/>
  <c r="G5" i="1"/>
  <c r="K24" i="4" l="1"/>
  <c r="R24" i="4" s="1"/>
  <c r="K8" i="4"/>
  <c r="T8" i="4" s="1"/>
  <c r="K17" i="4"/>
  <c r="T17" i="4" s="1"/>
  <c r="K6" i="4"/>
  <c r="R6" i="4" s="1"/>
  <c r="K18" i="4"/>
  <c r="R18" i="4" s="1"/>
  <c r="K15" i="4"/>
  <c r="T15" i="4" s="1"/>
  <c r="K21" i="4"/>
  <c r="R21" i="4" s="1"/>
  <c r="K22" i="4"/>
  <c r="R22" i="4" s="1"/>
  <c r="K19" i="4"/>
  <c r="T19" i="4" s="1"/>
  <c r="K9" i="4"/>
  <c r="T9" i="4" s="1"/>
  <c r="K14" i="4"/>
  <c r="T14" i="4" s="1"/>
  <c r="K7" i="4"/>
  <c r="R7" i="4" s="1"/>
  <c r="K11" i="4"/>
  <c r="R11" i="4" s="1"/>
  <c r="K12" i="4"/>
  <c r="R12" i="4" s="1"/>
  <c r="K16" i="4"/>
  <c r="T16" i="4" s="1"/>
  <c r="K20" i="4"/>
  <c r="R20" i="4" s="1"/>
  <c r="K13" i="4"/>
  <c r="R13" i="4" s="1"/>
  <c r="K10" i="4"/>
  <c r="R10" i="4" s="1"/>
  <c r="K23" i="4"/>
  <c r="R23" i="4" s="1"/>
  <c r="K5" i="4"/>
  <c r="T5" i="4" s="1"/>
  <c r="K6" i="3"/>
  <c r="K8" i="3"/>
  <c r="K21" i="3"/>
  <c r="K17" i="3"/>
  <c r="K18" i="3"/>
  <c r="K19" i="3"/>
  <c r="K9" i="3"/>
  <c r="K14" i="3"/>
  <c r="K15" i="3"/>
  <c r="K20" i="3"/>
  <c r="K5" i="3"/>
  <c r="K13" i="3"/>
  <c r="K10" i="3"/>
  <c r="K22" i="3"/>
  <c r="K7" i="3"/>
  <c r="K11" i="3"/>
  <c r="K23" i="3"/>
  <c r="K12" i="3"/>
  <c r="K16" i="3"/>
  <c r="K24" i="3"/>
  <c r="K22" i="1"/>
  <c r="K21" i="1"/>
  <c r="K5" i="1"/>
  <c r="K9" i="1"/>
  <c r="K6" i="1"/>
  <c r="K11" i="1"/>
  <c r="K24" i="1"/>
  <c r="K15" i="1"/>
  <c r="K8" i="1"/>
  <c r="K12" i="1"/>
  <c r="K16" i="1"/>
  <c r="K20" i="1"/>
  <c r="K14" i="1"/>
  <c r="K23" i="1"/>
  <c r="K7" i="1"/>
  <c r="K10" i="1"/>
  <c r="K18" i="1"/>
  <c r="K19" i="1"/>
  <c r="K13" i="1"/>
  <c r="K17" i="1"/>
  <c r="S22" i="1" l="1"/>
  <c r="R22" i="1"/>
  <c r="T22" i="1"/>
  <c r="T21" i="1"/>
  <c r="S21" i="1"/>
  <c r="X21" i="1" s="1"/>
  <c r="R21" i="1"/>
  <c r="R5" i="1"/>
  <c r="S5" i="1"/>
  <c r="X5" i="1" s="1"/>
  <c r="R9" i="1"/>
  <c r="W9" i="1" s="1"/>
  <c r="S9" i="1"/>
  <c r="T9" i="1"/>
  <c r="R6" i="1"/>
  <c r="W5" i="1" s="1"/>
  <c r="S6" i="1"/>
  <c r="T6" i="1"/>
  <c r="T11" i="1"/>
  <c r="Y11" i="1" s="1"/>
  <c r="R11" i="1"/>
  <c r="S11" i="1"/>
  <c r="T24" i="1"/>
  <c r="R24" i="1"/>
  <c r="S24" i="1"/>
  <c r="R15" i="1"/>
  <c r="S15" i="1"/>
  <c r="T15" i="1"/>
  <c r="Y15" i="1" s="1"/>
  <c r="R8" i="1"/>
  <c r="T8" i="1"/>
  <c r="S8" i="1"/>
  <c r="R12" i="1"/>
  <c r="S12" i="1"/>
  <c r="T12" i="1"/>
  <c r="S16" i="1"/>
  <c r="T16" i="1"/>
  <c r="R16" i="1"/>
  <c r="T20" i="1"/>
  <c r="R20" i="1"/>
  <c r="S20" i="1"/>
  <c r="R14" i="1"/>
  <c r="S14" i="1"/>
  <c r="T14" i="1"/>
  <c r="T23" i="1"/>
  <c r="Y23" i="1" s="1"/>
  <c r="S23" i="1"/>
  <c r="X23" i="1" s="1"/>
  <c r="R23" i="1"/>
  <c r="W23" i="1" s="1"/>
  <c r="T7" i="1"/>
  <c r="Y7" i="1" s="1"/>
  <c r="R7" i="1"/>
  <c r="W7" i="1" s="1"/>
  <c r="S7" i="1"/>
  <c r="X7" i="1" s="1"/>
  <c r="T10" i="1"/>
  <c r="S10" i="1"/>
  <c r="R10" i="1"/>
  <c r="T18" i="1"/>
  <c r="R18" i="1"/>
  <c r="S18" i="1"/>
  <c r="T19" i="1"/>
  <c r="R19" i="1"/>
  <c r="W19" i="1" s="1"/>
  <c r="S19" i="1"/>
  <c r="X19" i="1" s="1"/>
  <c r="S13" i="1"/>
  <c r="X13" i="1" s="1"/>
  <c r="R13" i="1"/>
  <c r="W13" i="1" s="1"/>
  <c r="T13" i="1"/>
  <c r="Y13" i="1" s="1"/>
  <c r="T17" i="1"/>
  <c r="Y17" i="1" s="1"/>
  <c r="S17" i="1"/>
  <c r="X17" i="1" s="1"/>
  <c r="R17" i="1"/>
  <c r="W17" i="1" s="1"/>
  <c r="T24" i="4"/>
  <c r="T6" i="4"/>
  <c r="Y9" i="1"/>
  <c r="Y21" i="1"/>
  <c r="W21" i="1"/>
  <c r="Y15" i="4"/>
  <c r="R17" i="4"/>
  <c r="W17" i="4" s="1"/>
  <c r="T5" i="1"/>
  <c r="R8" i="4"/>
  <c r="W7" i="4" s="1"/>
  <c r="Y5" i="4"/>
  <c r="T21" i="4"/>
  <c r="W21" i="4"/>
  <c r="T18" i="4"/>
  <c r="Y17" i="4" s="1"/>
  <c r="R14" i="4"/>
  <c r="W13" i="4" s="1"/>
  <c r="R19" i="4"/>
  <c r="W19" i="4" s="1"/>
  <c r="R16" i="4"/>
  <c r="T11" i="4"/>
  <c r="R15" i="4"/>
  <c r="W15" i="4" s="1"/>
  <c r="T22" i="4"/>
  <c r="W11" i="4"/>
  <c r="T23" i="4"/>
  <c r="Y23" i="4" s="1"/>
  <c r="T7" i="4"/>
  <c r="Y7" i="4" s="1"/>
  <c r="T20" i="4"/>
  <c r="Y19" i="4" s="1"/>
  <c r="AA19" i="4" s="1"/>
  <c r="T12" i="4"/>
  <c r="T13" i="4"/>
  <c r="Y13" i="4" s="1"/>
  <c r="R5" i="4"/>
  <c r="W5" i="4" s="1"/>
  <c r="R9" i="4"/>
  <c r="W9" i="4" s="1"/>
  <c r="T10" i="4"/>
  <c r="Y9" i="4" s="1"/>
  <c r="W23" i="4"/>
  <c r="AA5" i="4" l="1"/>
  <c r="AA7" i="3"/>
  <c r="X9" i="1"/>
  <c r="X11" i="1"/>
  <c r="X15" i="1"/>
  <c r="AA7" i="1"/>
  <c r="AA21" i="1"/>
  <c r="AA13" i="1"/>
  <c r="AA9" i="4"/>
  <c r="AA17" i="4"/>
  <c r="AA13" i="3"/>
  <c r="AA23" i="3"/>
  <c r="AA15" i="3"/>
  <c r="AA17" i="1"/>
  <c r="AA23" i="1"/>
  <c r="Y5" i="1"/>
  <c r="AA9" i="1"/>
  <c r="AA13" i="4"/>
  <c r="AA7" i="4"/>
  <c r="AA23" i="4"/>
  <c r="AA15" i="4"/>
  <c r="AA17" i="3"/>
  <c r="AA9" i="3"/>
  <c r="AA5" i="3"/>
  <c r="Y11" i="4"/>
  <c r="AA11" i="4" s="1"/>
  <c r="AA21" i="3"/>
  <c r="W11" i="1"/>
  <c r="Y19" i="1"/>
  <c r="Y21" i="4"/>
  <c r="AA21" i="4" s="1"/>
  <c r="AA19" i="3"/>
  <c r="AA11" i="3"/>
  <c r="W15" i="1"/>
  <c r="AE7" i="1" l="1"/>
  <c r="AE6" i="1"/>
  <c r="AF6" i="1"/>
  <c r="AG6" i="1"/>
  <c r="AD6" i="1"/>
  <c r="AD13" i="1"/>
  <c r="AF13" i="1"/>
  <c r="AG13" i="1"/>
  <c r="AE13" i="1"/>
  <c r="AD9" i="1"/>
  <c r="AG9" i="1"/>
  <c r="AE9" i="1"/>
  <c r="AF9" i="1"/>
  <c r="AD11" i="1"/>
  <c r="AF11" i="1"/>
  <c r="AG11" i="1"/>
  <c r="AE11" i="1"/>
  <c r="AG14" i="1"/>
  <c r="AD14" i="1"/>
  <c r="AF14" i="1"/>
  <c r="AE14" i="1"/>
  <c r="AA5" i="1"/>
  <c r="AF5" i="1"/>
  <c r="AD7" i="1"/>
  <c r="AG7" i="1"/>
  <c r="AF7" i="1"/>
  <c r="AA11" i="1"/>
  <c r="AD8" i="1"/>
  <c r="AA19" i="1"/>
  <c r="AF12" i="1"/>
  <c r="AA15" i="1"/>
  <c r="AD10" i="1"/>
  <c r="AE5" i="1" l="1"/>
  <c r="AG5" i="1"/>
  <c r="AD5" i="1"/>
  <c r="AE8" i="1"/>
  <c r="AG8" i="1"/>
  <c r="AF8" i="1"/>
  <c r="AE12" i="1"/>
  <c r="AD12" i="1"/>
  <c r="AG12" i="1"/>
  <c r="AE10" i="1"/>
  <c r="AF10" i="1"/>
  <c r="AG10" i="1"/>
</calcChain>
</file>

<file path=xl/sharedStrings.xml><?xml version="1.0" encoding="utf-8"?>
<sst xmlns="http://schemas.openxmlformats.org/spreadsheetml/2006/main" count="459" uniqueCount="69">
  <si>
    <t>A1</t>
  </si>
  <si>
    <t>A2</t>
  </si>
  <si>
    <t>A3</t>
  </si>
  <si>
    <t>A4</t>
  </si>
  <si>
    <t>A5</t>
  </si>
  <si>
    <t>Pend. CC</t>
  </si>
  <si>
    <t>Diluido</t>
  </si>
  <si>
    <t>Real</t>
  </si>
  <si>
    <t>Cód. Sist</t>
  </si>
  <si>
    <t>Fase</t>
  </si>
  <si>
    <t>Cód. vial</t>
  </si>
  <si>
    <t>Vial, g</t>
  </si>
  <si>
    <t>Muestra, uL</t>
  </si>
  <si>
    <t>V + muestra, g</t>
  </si>
  <si>
    <t>V + M + Met, g</t>
  </si>
  <si>
    <t>Muestra, g</t>
  </si>
  <si>
    <t>Mue + Met</t>
  </si>
  <si>
    <t>Area Soluto</t>
  </si>
  <si>
    <t>Solute</t>
  </si>
  <si>
    <t>Water</t>
  </si>
  <si>
    <t>Superior</t>
  </si>
  <si>
    <t>Inferior</t>
  </si>
  <si>
    <t>B1</t>
  </si>
  <si>
    <t>B2</t>
  </si>
  <si>
    <t>B3</t>
  </si>
  <si>
    <t>B4</t>
  </si>
  <si>
    <t>B5</t>
  </si>
  <si>
    <t>C1</t>
  </si>
  <si>
    <t>C2</t>
  </si>
  <si>
    <t>C4</t>
  </si>
  <si>
    <t>C3</t>
  </si>
  <si>
    <t>C5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</si>
  <si>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</si>
  <si>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</si>
  <si>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</si>
  <si>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</si>
  <si>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</si>
  <si>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</si>
  <si>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</si>
  <si>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</si>
  <si>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</si>
  <si>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</si>
  <si>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>2-propanol, uL</t>
  </si>
  <si>
    <t>2-propanol</t>
  </si>
  <si>
    <t>2PhEt</t>
  </si>
  <si>
    <t>2PhEt, %m/m</t>
  </si>
  <si>
    <t>KF - Water %m/m</t>
  </si>
  <si>
    <t>Thym:Geraniol</t>
  </si>
  <si>
    <t>Thym:Carvacrol</t>
  </si>
  <si>
    <t>Thym:Eug</t>
  </si>
  <si>
    <t>Thym:Camph</t>
  </si>
  <si>
    <t>Camph:Carv</t>
  </si>
  <si>
    <t>Camph:Eugenol</t>
  </si>
  <si>
    <t>Thymol:Carvone</t>
  </si>
  <si>
    <t>Area  HBA</t>
  </si>
  <si>
    <t>Area HBD</t>
  </si>
  <si>
    <t>HBA, %m/m</t>
  </si>
  <si>
    <t>HBD, %m/m</t>
  </si>
  <si>
    <t>HBA</t>
  </si>
  <si>
    <t>HBD</t>
  </si>
  <si>
    <t>Thymol</t>
  </si>
  <si>
    <t>Carvone</t>
  </si>
  <si>
    <t>A</t>
  </si>
  <si>
    <t>Area HBA</t>
  </si>
  <si>
    <t>Geraniol</t>
  </si>
  <si>
    <t>Carvacrol</t>
  </si>
  <si>
    <t>Eugenol</t>
  </si>
  <si>
    <t>Camphor</t>
  </si>
  <si>
    <t>Camph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</si>
</sst>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164" fontId="0" fillId="2" borderId="5" xfId="0" applyNumberFormat="1" applyFill="1" applyBorder="1" applyAlignment="1">
      <alignment horizontal="center" vertical="center"/>
    </xf>
    <xf numFmtId="164" fontId="0" fillId="2" borderId="5" xfId="0" applyNumberFormat="1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164" fontId="0" fillId="0" borderId="5" xfId="0" applyNumberFormat="1" applyBorder="1"/>
    <xf numFmtId="0" fontId="0" fillId="0" borderId="5" xfId="0" applyBorder="1"/>
    <xf numFmtId="0" fontId="0" fillId="0" borderId="10" xfId="0" applyBorder="1"/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3" fontId="0" fillId="0" borderId="5" xfId="0" applyNumberFormat="1" applyBorder="1"/>
    <xf numFmtId="0" fontId="0" fillId="2" borderId="0" xfId="0" applyFill="1"/>
    <xf numFmtId="0" fontId="0" fillId="0" borderId="13" xfId="0" applyBorder="1"/>
    <xf numFmtId="0" fontId="0" fillId="0" borderId="14" xfId="0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9" xfId="0" applyBorder="1"/>
    <xf numFmtId="0" fontId="0" fillId="0" borderId="18" xfId="0" applyBorder="1"/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0" borderId="6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0" fillId="3" borderId="7" xfId="0" applyFill="1" applyBorder="1"/>
    <xf numFmtId="0" fontId="0" fillId="3" borderId="9" xfId="0" applyFill="1" applyBorder="1"/>
    <xf numFmtId="0" fontId="0" fillId="3" borderId="8" xfId="0" applyFill="1" applyBorder="1"/>
    <xf numFmtId="165" fontId="0" fillId="0" borderId="5" xfId="0" applyNumberFormat="1" applyBorder="1" applyAlignment="1">
      <alignment horizontal="center" vertical="center"/>
    </xf>
    <xf numFmtId="0" fontId="0" fillId="2" borderId="22" xfId="0" applyFill="1" applyBorder="1"/>
    <xf numFmtId="0" fontId="0" fillId="0" borderId="22" xfId="0" applyBorder="1"/>
    <xf numFmtId="0" fontId="0" fillId="0" borderId="23" xfId="0" applyBorder="1"/>
    <xf numFmtId="0" fontId="4" fillId="4" borderId="0" xfId="0" applyFont="1" applyFill="1"/>
    <xf numFmtId="0" fontId="0" fillId="4" borderId="0" xfId="0" applyFill="1"/>
    <xf numFmtId="0" fontId="0" fillId="0" borderId="5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G2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W5" sqref="W5:Z24"/>
    </sheetView>
  </sheetViews>
  <sheetFormatPr defaultRowHeight="14.25" x14ac:dyDescent="0.45"/>
  <cols>
    <col min="4" max="4" width="8.33203125" customWidth="1"/>
    <col min="5" max="5" width="10.53125" customWidth="1"/>
    <col min="6" max="6" width="13.59765625" customWidth="1"/>
    <col min="7" max="7" width="10.6640625" style="2" customWidth="1"/>
    <col min="8" max="8" width="12.73046875" bestFit="1" customWidth="1"/>
    <col min="12" max="12" width="10.46484375" bestFit="1" customWidth="1"/>
    <col min="13" max="13" width="10.46484375" customWidth="1"/>
    <col min="14" max="14" width="12.59765625" bestFit="1" customWidth="1"/>
    <col min="15" max="15" width="11.1328125" bestFit="1" customWidth="1"/>
    <col min="16" max="16" width="11.1328125" customWidth="1"/>
    <col min="17" max="17" width="13.6640625" bestFit="1" customWidth="1"/>
    <col min="18" max="18" width="11.1328125" bestFit="1" customWidth="1"/>
    <col min="19" max="19" width="11.1328125" customWidth="1"/>
    <col min="20" max="20" width="13.6640625" bestFit="1" customWidth="1"/>
    <col min="21" max="22" width="9.53125" customWidth="1"/>
    <col min="28" max="28" width="5.33203125" customWidth="1"/>
  </cols>
  <sheetData>
    <row r="1" spans="1:33" ht="28.9" thickBot="1" x14ac:dyDescent="0.9">
      <c r="F1" s="47" t="s">
        <v>44</v>
      </c>
      <c r="G1" s="47" t="s">
        <v>53</v>
      </c>
    </row>
    <row r="2" spans="1:33" ht="14.65" thickBot="1" x14ac:dyDescent="0.5">
      <c r="E2" t="s">
        <v>5</v>
      </c>
      <c r="F2">
        <v>187.3142</v>
      </c>
      <c r="G2">
        <v>176.38489999999999</v>
      </c>
      <c r="H2" s="1">
        <v>171.2346</v>
      </c>
    </row>
    <row r="3" spans="1:33" ht="14.65" thickBot="1" x14ac:dyDescent="0.5">
      <c r="M3" t="s">
        <v>60</v>
      </c>
      <c r="N3" t="s">
        <v>61</v>
      </c>
      <c r="O3" s="60" t="s">
        <v>6</v>
      </c>
      <c r="P3" s="61"/>
      <c r="Q3" s="62"/>
      <c r="R3" s="61" t="s">
        <v>7</v>
      </c>
      <c r="S3" s="61"/>
      <c r="T3" s="62"/>
      <c r="U3" s="63" t="s">
        <v>46</v>
      </c>
      <c r="V3" s="64"/>
    </row>
    <row r="4" spans="1:33" x14ac:dyDescent="0.4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42</v>
      </c>
      <c r="H4" s="3" t="s">
        <v>14</v>
      </c>
      <c r="I4" s="4" t="s">
        <v>15</v>
      </c>
      <c r="J4" s="4" t="s">
        <v>43</v>
      </c>
      <c r="K4" s="4" t="s">
        <v>16</v>
      </c>
      <c r="L4" s="4" t="s">
        <v>17</v>
      </c>
      <c r="M4" s="48" t="s">
        <v>54</v>
      </c>
      <c r="N4" s="5" t="s">
        <v>55</v>
      </c>
      <c r="O4" s="31" t="s">
        <v>45</v>
      </c>
      <c r="P4" s="49" t="s">
        <v>56</v>
      </c>
      <c r="Q4" s="32" t="s">
        <v>57</v>
      </c>
      <c r="R4" s="31" t="s">
        <v>45</v>
      </c>
      <c r="S4" s="49" t="s">
        <v>56</v>
      </c>
      <c r="T4" s="32" t="s">
        <v>57</v>
      </c>
      <c r="U4" s="7">
        <v>1</v>
      </c>
      <c r="V4" s="7">
        <v>2</v>
      </c>
      <c r="W4" s="6" t="s">
        <v>18</v>
      </c>
      <c r="X4" s="7" t="s">
        <v>58</v>
      </c>
      <c r="Y4" s="7" t="s">
        <v>59</v>
      </c>
      <c r="Z4" s="8" t="s">
        <v>19</v>
      </c>
      <c r="AA4" s="2"/>
      <c r="AB4" s="2"/>
      <c r="AC4" s="3" t="s">
        <v>62</v>
      </c>
      <c r="AD4" s="3" t="s">
        <v>18</v>
      </c>
      <c r="AE4" s="3" t="s">
        <v>60</v>
      </c>
      <c r="AF4" s="3" t="s">
        <v>61</v>
      </c>
      <c r="AG4" s="3" t="s">
        <v>19</v>
      </c>
    </row>
    <row r="5" spans="1:33" x14ac:dyDescent="0.45">
      <c r="A5" s="59" t="s">
        <v>0</v>
      </c>
      <c r="B5" s="10" t="s">
        <v>20</v>
      </c>
      <c r="C5" s="11">
        <v>1</v>
      </c>
      <c r="D5" s="12">
        <v>2.7385000000000002</v>
      </c>
      <c r="E5" s="10">
        <v>300</v>
      </c>
      <c r="F5" s="11">
        <v>2.9211</v>
      </c>
      <c r="G5" s="10">
        <f>1000-E5</f>
        <v>700</v>
      </c>
      <c r="H5" s="11">
        <v>3.4876</v>
      </c>
      <c r="I5" s="13">
        <f>F5-D5</f>
        <v>0.18259999999999987</v>
      </c>
      <c r="J5" s="13">
        <f>H5-F5</f>
        <v>0.5665</v>
      </c>
      <c r="K5" s="13">
        <f>J5+I5</f>
        <v>0.74909999999999988</v>
      </c>
      <c r="L5" s="14">
        <v>145.18109999999999</v>
      </c>
      <c r="M5" s="14">
        <v>1830.9657</v>
      </c>
      <c r="N5" s="14">
        <v>1728.9399000000001</v>
      </c>
      <c r="O5" s="15">
        <f>L5/$F$2</f>
        <v>0.77506723996365456</v>
      </c>
      <c r="P5" s="15">
        <f>M5/$G$2</f>
        <v>10.380512730965066</v>
      </c>
      <c r="Q5" s="15">
        <f>N5/$H$2</f>
        <v>10.09690740072392</v>
      </c>
      <c r="R5" s="17">
        <f>O5*$K5/$I5</f>
        <v>3.1796433157545123</v>
      </c>
      <c r="S5" s="17">
        <f>P5*$K5/$I5</f>
        <v>42.585115480645868</v>
      </c>
      <c r="T5" s="16">
        <f t="shared" ref="T5" si="0">Q5*$K5/$I5</f>
        <v>41.421650240319238</v>
      </c>
      <c r="U5" s="35">
        <v>1.9302999999999999</v>
      </c>
      <c r="V5" s="35"/>
      <c r="W5" s="36">
        <f>AVERAGE(R5:R6)/100</f>
        <v>3.2314011644744706E-2</v>
      </c>
      <c r="X5" s="35">
        <f>AVERAGE(S5:S6)/100</f>
        <v>0.43210966792057781</v>
      </c>
      <c r="Y5" s="35">
        <f>AVERAGE(T5:T6)/100</f>
        <v>0.42047334509349116</v>
      </c>
      <c r="Z5" s="37">
        <f>AVERAGE(U5:V6)/100</f>
        <v>1.9491499999999998E-2</v>
      </c>
      <c r="AA5" s="2">
        <f>SUM(W5:Z5)</f>
        <v>0.9043885246588137</v>
      </c>
      <c r="AB5" s="2"/>
      <c r="AC5" s="59">
        <v>1</v>
      </c>
      <c r="AD5" s="53">
        <f>W5/$AA5</f>
        <v>3.5730231823690346E-2</v>
      </c>
      <c r="AE5" s="53">
        <f>X5/$AA5</f>
        <v>0.477792072918654</v>
      </c>
      <c r="AF5" s="53">
        <f>Y5/$AA5</f>
        <v>0.4649255642115952</v>
      </c>
      <c r="AG5" s="53">
        <f>Z5/$AA5</f>
        <v>2.1552131046060422E-2</v>
      </c>
    </row>
    <row r="6" spans="1:33" x14ac:dyDescent="0.45">
      <c r="A6" s="59"/>
      <c r="B6" s="11" t="s">
        <v>20</v>
      </c>
      <c r="C6" s="11">
        <v>2</v>
      </c>
      <c r="D6" s="11">
        <v>2.7637</v>
      </c>
      <c r="E6" s="11">
        <v>300</v>
      </c>
      <c r="F6" s="11">
        <v>2.9548000000000001</v>
      </c>
      <c r="G6" s="10">
        <f t="shared" ref="G6:G24" si="1">1000-E6</f>
        <v>700</v>
      </c>
      <c r="H6" s="11">
        <v>3.5091000000000001</v>
      </c>
      <c r="I6" s="13">
        <f t="shared" ref="I6:I24" si="2">F6-D6</f>
        <v>0.19110000000000005</v>
      </c>
      <c r="J6" s="13">
        <f t="shared" ref="J6:J24" si="3">H6-F6</f>
        <v>0.55430000000000001</v>
      </c>
      <c r="K6" s="13">
        <f t="shared" ref="K6:K24" si="4">J6+I6</f>
        <v>0.74540000000000006</v>
      </c>
      <c r="L6" s="14">
        <v>157.6645</v>
      </c>
      <c r="M6" s="14">
        <v>1982.3107</v>
      </c>
      <c r="N6" s="14">
        <v>1873.3381999999999</v>
      </c>
      <c r="O6" s="15">
        <f t="shared" ref="O6:O24" si="5">L6/$F$2</f>
        <v>0.84171141322974985</v>
      </c>
      <c r="P6" s="15">
        <f t="shared" ref="P6:P24" si="6">M6/$G$2</f>
        <v>11.238551032429648</v>
      </c>
      <c r="Q6" s="15">
        <f t="shared" ref="Q6:Q24" si="7">N6/$H$2</f>
        <v>10.9401849859783</v>
      </c>
      <c r="R6" s="17">
        <f t="shared" ref="R6:R24" si="8">O6*$K6/$I6</f>
        <v>3.283159013194429</v>
      </c>
      <c r="S6" s="17">
        <f t="shared" ref="S6:S24" si="9">P6*$K6/$I6</f>
        <v>43.836818103469696</v>
      </c>
      <c r="T6" s="16">
        <f t="shared" ref="T6:T24" si="10">Q6*$K6/$I6</f>
        <v>42.673018778378982</v>
      </c>
      <c r="U6" s="35">
        <v>1.968</v>
      </c>
      <c r="V6" s="35"/>
      <c r="W6" s="38"/>
      <c r="X6" s="2"/>
      <c r="Y6" s="2"/>
      <c r="Z6" s="39"/>
      <c r="AA6" s="2"/>
      <c r="AB6" s="2"/>
      <c r="AC6" s="59"/>
      <c r="AD6" s="53">
        <f>W7/$AA7</f>
        <v>8.8328973078336329E-4</v>
      </c>
      <c r="AE6" s="53">
        <f>X7/$AA7</f>
        <v>3.6586111580931796E-4</v>
      </c>
      <c r="AF6" s="53">
        <f>Y7/$AA7</f>
        <v>3.5878893078392684E-4</v>
      </c>
      <c r="AG6" s="53">
        <f>Z7/$AA7</f>
        <v>0.99839206022262339</v>
      </c>
    </row>
    <row r="7" spans="1:33" x14ac:dyDescent="0.45">
      <c r="A7" s="59"/>
      <c r="B7" s="22" t="s">
        <v>21</v>
      </c>
      <c r="C7" s="22">
        <v>3</v>
      </c>
      <c r="D7" s="22">
        <v>2.7229000000000001</v>
      </c>
      <c r="E7" s="22">
        <v>100</v>
      </c>
      <c r="F7" s="22">
        <v>2.9239999999999999</v>
      </c>
      <c r="G7" s="9">
        <f t="shared" si="1"/>
        <v>900</v>
      </c>
      <c r="H7" s="22">
        <v>3.4906000000000001</v>
      </c>
      <c r="I7" s="19">
        <f t="shared" si="2"/>
        <v>0.20109999999999983</v>
      </c>
      <c r="J7" s="19">
        <f t="shared" si="3"/>
        <v>0.56660000000000021</v>
      </c>
      <c r="K7" s="19">
        <f t="shared" si="4"/>
        <v>0.76770000000000005</v>
      </c>
      <c r="L7" s="20">
        <v>4.1843000000000004</v>
      </c>
      <c r="M7">
        <v>3.3170000000000002</v>
      </c>
      <c r="N7">
        <v>3.1579000000000002</v>
      </c>
      <c r="O7" s="50">
        <f t="shared" si="5"/>
        <v>2.2338402534351376E-2</v>
      </c>
      <c r="P7" s="50">
        <f t="shared" si="6"/>
        <v>1.8805464640113755E-2</v>
      </c>
      <c r="Q7" s="50">
        <f t="shared" si="7"/>
        <v>1.8441950400211172E-2</v>
      </c>
      <c r="R7" s="51">
        <f t="shared" si="8"/>
        <v>8.5276934985686559E-2</v>
      </c>
      <c r="S7" s="51">
        <f t="shared" si="9"/>
        <v>7.178993139838559E-2</v>
      </c>
      <c r="T7" s="52">
        <f t="shared" si="10"/>
        <v>7.0402214431835544E-2</v>
      </c>
      <c r="U7" s="2">
        <v>97.910399999999996</v>
      </c>
      <c r="V7" s="2"/>
      <c r="W7" s="38">
        <f>AVERAGE(R7:R8)/100</f>
        <v>8.6660356126620004E-4</v>
      </c>
      <c r="X7" s="2">
        <f>AVERAGE(S7:S8)/100</f>
        <v>3.5894965699192794E-4</v>
      </c>
      <c r="Y7" s="2">
        <f>AVERAGE(T7:T8)/100</f>
        <v>3.5201107215917772E-4</v>
      </c>
      <c r="Z7" s="39">
        <f>AVERAGE(U7:V8)/100</f>
        <v>0.97953149999999989</v>
      </c>
      <c r="AA7" s="2">
        <f t="shared" ref="AA7:AA23" si="11">SUM(W7:Z7)</f>
        <v>0.98110906429041722</v>
      </c>
      <c r="AB7" s="2"/>
      <c r="AC7" s="59">
        <v>2</v>
      </c>
      <c r="AD7" s="53">
        <f>W9/$AA9</f>
        <v>1.8060288444269271E-2</v>
      </c>
      <c r="AE7" s="53">
        <f>X9/$AA9</f>
        <v>0</v>
      </c>
      <c r="AF7" s="53">
        <f>Y9/$AA9</f>
        <v>0</v>
      </c>
      <c r="AG7" s="53">
        <f>Z9/$AA9</f>
        <v>0.98193971155573079</v>
      </c>
    </row>
    <row r="8" spans="1:33" x14ac:dyDescent="0.45">
      <c r="A8" s="59"/>
      <c r="B8" s="22" t="s">
        <v>21</v>
      </c>
      <c r="C8" s="22">
        <v>4</v>
      </c>
      <c r="D8" s="22">
        <v>2.7988</v>
      </c>
      <c r="E8" s="22">
        <v>100</v>
      </c>
      <c r="F8" s="22">
        <v>3.0013999999999998</v>
      </c>
      <c r="G8" s="9">
        <f t="shared" si="1"/>
        <v>900</v>
      </c>
      <c r="H8" s="22">
        <v>3.5781000000000001</v>
      </c>
      <c r="I8" s="19">
        <f t="shared" si="2"/>
        <v>0.20259999999999989</v>
      </c>
      <c r="J8" s="19">
        <f t="shared" si="3"/>
        <v>0.57670000000000021</v>
      </c>
      <c r="K8" s="19">
        <f t="shared" si="4"/>
        <v>0.7793000000000001</v>
      </c>
      <c r="L8" s="20">
        <v>4.2874999999999996</v>
      </c>
      <c r="M8" s="20"/>
      <c r="O8" s="50">
        <f t="shared" si="5"/>
        <v>2.2889348485058792E-2</v>
      </c>
      <c r="P8" s="50">
        <f t="shared" si="6"/>
        <v>0</v>
      </c>
      <c r="Q8" s="50">
        <f t="shared" si="7"/>
        <v>0</v>
      </c>
      <c r="R8" s="51">
        <f t="shared" si="8"/>
        <v>8.8043777267553441E-2</v>
      </c>
      <c r="S8" s="51">
        <f t="shared" si="9"/>
        <v>0</v>
      </c>
      <c r="T8" s="52">
        <f t="shared" si="10"/>
        <v>0</v>
      </c>
      <c r="U8" s="2">
        <v>97.995900000000006</v>
      </c>
      <c r="V8" s="2"/>
      <c r="W8" s="38"/>
      <c r="X8" s="2"/>
      <c r="Y8" s="2"/>
      <c r="Z8" s="39"/>
      <c r="AA8" s="2"/>
      <c r="AB8" s="2"/>
      <c r="AC8" s="59"/>
      <c r="AD8" s="53">
        <f>W11/$AA11</f>
        <v>0.86520889044622373</v>
      </c>
      <c r="AE8" s="53">
        <f>X11/$AA11</f>
        <v>2.0739618581781791E-2</v>
      </c>
      <c r="AF8" s="53">
        <f>Y11/$AA11</f>
        <v>1.9897578638470529E-2</v>
      </c>
      <c r="AG8" s="53">
        <f>Z11/$AA11</f>
        <v>9.4153912333524117E-2</v>
      </c>
    </row>
    <row r="9" spans="1:33" x14ac:dyDescent="0.45">
      <c r="A9" s="59" t="s">
        <v>1</v>
      </c>
      <c r="B9" s="10" t="s">
        <v>20</v>
      </c>
      <c r="C9" s="11">
        <v>5</v>
      </c>
      <c r="D9" s="10">
        <v>2.8045</v>
      </c>
      <c r="E9" s="10">
        <v>300</v>
      </c>
      <c r="F9" s="11">
        <v>3.0038999999999998</v>
      </c>
      <c r="G9" s="10">
        <f t="shared" si="1"/>
        <v>700</v>
      </c>
      <c r="H9" s="11">
        <v>3.5604</v>
      </c>
      <c r="I9" s="13">
        <f t="shared" si="2"/>
        <v>0.1993999999999998</v>
      </c>
      <c r="J9" s="13">
        <f t="shared" si="3"/>
        <v>0.55650000000000022</v>
      </c>
      <c r="K9" s="13">
        <f t="shared" si="4"/>
        <v>0.75590000000000002</v>
      </c>
      <c r="L9" s="14">
        <v>90.213800000000006</v>
      </c>
      <c r="M9" s="14"/>
      <c r="N9" s="14"/>
      <c r="O9" s="15">
        <f t="shared" si="5"/>
        <v>0.48161751751869325</v>
      </c>
      <c r="P9" s="15">
        <f t="shared" si="6"/>
        <v>0</v>
      </c>
      <c r="Q9" s="15">
        <f t="shared" si="7"/>
        <v>0</v>
      </c>
      <c r="R9" s="17">
        <f t="shared" si="8"/>
        <v>1.8257506594402237</v>
      </c>
      <c r="S9" s="17">
        <f t="shared" si="9"/>
        <v>0</v>
      </c>
      <c r="T9" s="16">
        <f t="shared" si="10"/>
        <v>0</v>
      </c>
      <c r="U9" s="35">
        <v>98.951499999999996</v>
      </c>
      <c r="V9" s="35"/>
      <c r="W9" s="36">
        <f>AVERAGE(R9:R10)/100</f>
        <v>1.8113089310509655E-2</v>
      </c>
      <c r="X9" s="35">
        <f>AVERAGE(S9:S10)/100</f>
        <v>0</v>
      </c>
      <c r="Y9" s="35">
        <f>AVERAGE(T9:T10)/100</f>
        <v>0</v>
      </c>
      <c r="Z9" s="37">
        <f t="shared" ref="Z9" si="12">AVERAGE(U9:V10)/100</f>
        <v>0.98481049999999992</v>
      </c>
      <c r="AA9" s="2">
        <f t="shared" si="11"/>
        <v>1.0029235893105095</v>
      </c>
      <c r="AB9" s="2"/>
      <c r="AC9" s="59">
        <v>3</v>
      </c>
      <c r="AD9" s="53">
        <f>W13/$AA13</f>
        <v>0.48302487886709611</v>
      </c>
      <c r="AE9" s="53">
        <f>X13/$AA13</f>
        <v>0.23875592581660823</v>
      </c>
      <c r="AF9" s="53">
        <f>Y13/$AA13</f>
        <v>0.23340410401957282</v>
      </c>
      <c r="AG9" s="53">
        <f>Z13/$AA13</f>
        <v>4.4815091296722745E-2</v>
      </c>
    </row>
    <row r="10" spans="1:33" x14ac:dyDescent="0.45">
      <c r="A10" s="59"/>
      <c r="B10" s="11" t="s">
        <v>20</v>
      </c>
      <c r="C10" s="11">
        <v>6</v>
      </c>
      <c r="D10" s="11">
        <v>2.766</v>
      </c>
      <c r="E10" s="11">
        <v>300</v>
      </c>
      <c r="F10" s="11">
        <v>2.972</v>
      </c>
      <c r="G10" s="10">
        <f t="shared" si="1"/>
        <v>700</v>
      </c>
      <c r="H10" s="11">
        <v>3.5387</v>
      </c>
      <c r="I10" s="13">
        <f t="shared" si="2"/>
        <v>0.20599999999999996</v>
      </c>
      <c r="J10" s="13">
        <f t="shared" si="3"/>
        <v>0.56669999999999998</v>
      </c>
      <c r="K10" s="13">
        <f t="shared" si="4"/>
        <v>0.77269999999999994</v>
      </c>
      <c r="L10" s="14">
        <v>89.731099999999998</v>
      </c>
      <c r="M10" s="14"/>
      <c r="N10" s="14"/>
      <c r="O10" s="15">
        <f t="shared" si="5"/>
        <v>0.47904056392948319</v>
      </c>
      <c r="P10" s="15">
        <f t="shared" si="6"/>
        <v>0</v>
      </c>
      <c r="Q10" s="15">
        <f t="shared" si="7"/>
        <v>0</v>
      </c>
      <c r="R10" s="17">
        <f t="shared" si="8"/>
        <v>1.7968672026617074</v>
      </c>
      <c r="S10" s="17">
        <f t="shared" si="9"/>
        <v>0</v>
      </c>
      <c r="T10" s="16">
        <f t="shared" si="10"/>
        <v>0</v>
      </c>
      <c r="U10" s="35">
        <v>98.010599999999997</v>
      </c>
      <c r="V10" s="35"/>
      <c r="W10" s="38"/>
      <c r="X10" s="2"/>
      <c r="Y10" s="2"/>
      <c r="Z10" s="39"/>
      <c r="AA10" s="2"/>
      <c r="AB10" s="2"/>
      <c r="AC10" s="59"/>
      <c r="AD10" s="53">
        <f>W15/$AA15</f>
        <v>1.0613339958792036E-2</v>
      </c>
      <c r="AE10" s="53">
        <f>X15/$AA15</f>
        <v>0</v>
      </c>
      <c r="AF10" s="53">
        <f>Y15/$AA15</f>
        <v>0</v>
      </c>
      <c r="AG10" s="53">
        <f>Z15/$AA15</f>
        <v>0.98938666004120801</v>
      </c>
    </row>
    <row r="11" spans="1:33" x14ac:dyDescent="0.45">
      <c r="A11" s="59"/>
      <c r="B11" s="22" t="s">
        <v>21</v>
      </c>
      <c r="C11" s="22">
        <v>7</v>
      </c>
      <c r="D11" s="22">
        <v>2.794</v>
      </c>
      <c r="E11" s="22">
        <v>100</v>
      </c>
      <c r="F11" s="22">
        <v>2.9914000000000001</v>
      </c>
      <c r="G11" s="9">
        <f t="shared" si="1"/>
        <v>900</v>
      </c>
      <c r="H11" s="22">
        <v>3.5716000000000001</v>
      </c>
      <c r="I11" s="19">
        <f t="shared" si="2"/>
        <v>0.19740000000000002</v>
      </c>
      <c r="J11" s="19">
        <f t="shared" si="3"/>
        <v>0.58020000000000005</v>
      </c>
      <c r="K11" s="19">
        <f t="shared" si="4"/>
        <v>0.77760000000000007</v>
      </c>
      <c r="L11" s="26">
        <v>3681.7350000000001</v>
      </c>
      <c r="M11">
        <v>83.189599999999999</v>
      </c>
      <c r="N11" s="20">
        <v>77.556399999999996</v>
      </c>
      <c r="O11" s="50">
        <f t="shared" si="5"/>
        <v>19.655397188253747</v>
      </c>
      <c r="P11" s="50">
        <f t="shared" si="6"/>
        <v>0.47163674441519654</v>
      </c>
      <c r="Q11" s="50">
        <f t="shared" si="7"/>
        <v>0.452924817764634</v>
      </c>
      <c r="R11" s="51">
        <f t="shared" si="8"/>
        <v>77.426731781084669</v>
      </c>
      <c r="S11" s="51">
        <f t="shared" si="9"/>
        <v>1.8578760509486161</v>
      </c>
      <c r="T11" s="52">
        <f t="shared" si="10"/>
        <v>1.7841658474862179</v>
      </c>
      <c r="U11" s="2">
        <v>8.5693000000000001</v>
      </c>
      <c r="V11" s="2">
        <v>8.5126000000000008</v>
      </c>
      <c r="W11" s="38">
        <f>AVERAGE(R11:R12)/100</f>
        <v>0.78422129985476319</v>
      </c>
      <c r="X11" s="2">
        <f>AVERAGE(S11:S12)/100</f>
        <v>1.8798293478362978E-2</v>
      </c>
      <c r="Y11" s="2">
        <f>AVERAGE(T11:T12)/100</f>
        <v>1.8035072404048055E-2</v>
      </c>
      <c r="Z11" s="39">
        <f t="shared" ref="Z11" si="13">AVERAGE(U11:V12)/100</f>
        <v>8.5340666666666676E-2</v>
      </c>
      <c r="AA11" s="2">
        <f t="shared" si="11"/>
        <v>0.90639533240384074</v>
      </c>
      <c r="AB11" s="2"/>
      <c r="AC11" s="59">
        <v>4</v>
      </c>
      <c r="AD11" s="53">
        <f>W17/$AA17</f>
        <v>0.24045250637970197</v>
      </c>
      <c r="AE11" s="53">
        <f>X17/$AA17</f>
        <v>0.36900556997646544</v>
      </c>
      <c r="AF11" s="53">
        <f>Y17/$AA17</f>
        <v>0.36067844688312534</v>
      </c>
      <c r="AG11" s="53">
        <f>Z17/$AA17</f>
        <v>2.9863476760707202E-2</v>
      </c>
    </row>
    <row r="12" spans="1:33" x14ac:dyDescent="0.45">
      <c r="A12" s="59"/>
      <c r="B12" s="22" t="s">
        <v>21</v>
      </c>
      <c r="C12" s="22">
        <v>8</v>
      </c>
      <c r="D12" s="22">
        <v>2.738</v>
      </c>
      <c r="E12" s="22">
        <v>100</v>
      </c>
      <c r="F12" s="22">
        <v>2.9489999999999998</v>
      </c>
      <c r="G12" s="9">
        <f t="shared" si="1"/>
        <v>900</v>
      </c>
      <c r="H12" s="22">
        <v>3.5287999999999999</v>
      </c>
      <c r="I12" s="19">
        <f t="shared" si="2"/>
        <v>0.21099999999999985</v>
      </c>
      <c r="J12" s="19">
        <f t="shared" si="3"/>
        <v>0.57980000000000009</v>
      </c>
      <c r="K12" s="19">
        <f t="shared" si="4"/>
        <v>0.79079999999999995</v>
      </c>
      <c r="L12" s="20">
        <v>3969.1988999999999</v>
      </c>
      <c r="M12">
        <v>89.503100000000003</v>
      </c>
      <c r="N12" s="20">
        <v>83.283299999999997</v>
      </c>
      <c r="O12" s="50">
        <f t="shared" si="5"/>
        <v>21.190058735536333</v>
      </c>
      <c r="P12" s="50">
        <f t="shared" si="6"/>
        <v>0.50743062473034828</v>
      </c>
      <c r="Q12" s="50">
        <f t="shared" si="7"/>
        <v>0.48636957717657525</v>
      </c>
      <c r="R12" s="51">
        <f t="shared" si="8"/>
        <v>79.417528189867966</v>
      </c>
      <c r="S12" s="51">
        <f t="shared" si="9"/>
        <v>1.9017826447239794</v>
      </c>
      <c r="T12" s="52">
        <f t="shared" si="10"/>
        <v>1.8228486333233931</v>
      </c>
      <c r="U12" s="2"/>
      <c r="V12" s="2">
        <v>8.5203000000000007</v>
      </c>
      <c r="W12" s="38"/>
      <c r="X12" s="2"/>
      <c r="Y12" s="2"/>
      <c r="Z12" s="39"/>
      <c r="AA12" s="2"/>
      <c r="AB12" s="2"/>
      <c r="AC12" s="59"/>
      <c r="AD12" s="53">
        <f>W19/$AA19</f>
        <v>6.1723078694267469E-3</v>
      </c>
      <c r="AE12" s="53">
        <f>X19/$AA19</f>
        <v>4.4583431462067997E-4</v>
      </c>
      <c r="AF12" s="53">
        <f>Y19/$AA19</f>
        <v>4.4341317049982111E-4</v>
      </c>
      <c r="AG12" s="53">
        <f>Z19/$AA19</f>
        <v>0.99293844464545278</v>
      </c>
    </row>
    <row r="13" spans="1:33" x14ac:dyDescent="0.45">
      <c r="A13" s="59" t="s">
        <v>2</v>
      </c>
      <c r="B13" s="10" t="s">
        <v>20</v>
      </c>
      <c r="C13" s="11">
        <v>9</v>
      </c>
      <c r="D13" s="10">
        <v>2.7534999999999998</v>
      </c>
      <c r="E13" s="10">
        <v>300</v>
      </c>
      <c r="F13" s="11">
        <v>2.9460000000000002</v>
      </c>
      <c r="G13" s="10">
        <f t="shared" si="1"/>
        <v>700</v>
      </c>
      <c r="H13" s="11">
        <v>3.5106999999999999</v>
      </c>
      <c r="I13" s="13">
        <f t="shared" si="2"/>
        <v>0.19250000000000034</v>
      </c>
      <c r="J13" s="13">
        <f t="shared" si="3"/>
        <v>0.56469999999999976</v>
      </c>
      <c r="K13" s="13">
        <f t="shared" si="4"/>
        <v>0.7572000000000001</v>
      </c>
      <c r="L13" s="14">
        <v>2059.6406999999999</v>
      </c>
      <c r="M13" s="14">
        <v>959.49369999999999</v>
      </c>
      <c r="N13" s="14">
        <v>911.15719999999999</v>
      </c>
      <c r="O13" s="15">
        <f t="shared" si="5"/>
        <v>10.99564635249223</v>
      </c>
      <c r="P13" s="15">
        <f t="shared" si="6"/>
        <v>5.4397723387886385</v>
      </c>
      <c r="Q13" s="15">
        <f t="shared" si="7"/>
        <v>5.3211044964043479</v>
      </c>
      <c r="R13" s="17">
        <f t="shared" si="8"/>
        <v>43.251446327829107</v>
      </c>
      <c r="S13" s="17">
        <f t="shared" si="9"/>
        <v>21.397379817822081</v>
      </c>
      <c r="T13" s="16">
        <f t="shared" si="10"/>
        <v>20.93059908923307</v>
      </c>
      <c r="U13" s="35">
        <v>4.0063000000000004</v>
      </c>
      <c r="V13" s="35"/>
      <c r="W13" s="36">
        <f>AVERAGE(R13:R14)/100</f>
        <v>0.43410714941717143</v>
      </c>
      <c r="X13" s="35">
        <f>AVERAGE(S13:S14)/100</f>
        <v>0.2145762234976378</v>
      </c>
      <c r="Y13" s="35">
        <f>AVERAGE(T13:T14)/100</f>
        <v>0.20976640063727336</v>
      </c>
      <c r="Z13" s="37">
        <f t="shared" ref="Z13" si="14">AVERAGE(U13:V14)/100</f>
        <v>4.0276500000000007E-2</v>
      </c>
      <c r="AA13" s="2">
        <f t="shared" si="11"/>
        <v>0.89872627355208268</v>
      </c>
      <c r="AB13" s="2"/>
      <c r="AC13" s="59">
        <v>5</v>
      </c>
      <c r="AD13" s="53">
        <f>W21/$AA21</f>
        <v>1.9739623145045529E-2</v>
      </c>
      <c r="AE13" s="53">
        <f>X21/$AA21</f>
        <v>5.8269605664722744E-4</v>
      </c>
      <c r="AF13" s="53">
        <f>Y21/$AA21</f>
        <v>5.7706177162967283E-4</v>
      </c>
      <c r="AG13" s="53">
        <f>Z21/$AA21</f>
        <v>0.97910061902667767</v>
      </c>
    </row>
    <row r="14" spans="1:33" x14ac:dyDescent="0.45">
      <c r="A14" s="59"/>
      <c r="B14" s="10" t="s">
        <v>20</v>
      </c>
      <c r="C14" s="11">
        <v>10</v>
      </c>
      <c r="D14" s="11">
        <v>2.7749999999999999</v>
      </c>
      <c r="E14" s="11">
        <v>300</v>
      </c>
      <c r="F14" s="11">
        <v>2.976</v>
      </c>
      <c r="G14" s="10">
        <f t="shared" si="1"/>
        <v>700</v>
      </c>
      <c r="H14" s="11">
        <v>3.4965999999999999</v>
      </c>
      <c r="I14" s="13">
        <f t="shared" si="2"/>
        <v>0.20100000000000007</v>
      </c>
      <c r="J14" s="13">
        <f t="shared" si="3"/>
        <v>0.52059999999999995</v>
      </c>
      <c r="K14" s="13">
        <f t="shared" si="4"/>
        <v>0.72160000000000002</v>
      </c>
      <c r="L14" s="14">
        <v>2273.3045999999999</v>
      </c>
      <c r="M14" s="14">
        <v>1057.2072000000001</v>
      </c>
      <c r="N14" s="14">
        <v>1002.7188</v>
      </c>
      <c r="O14" s="15">
        <f t="shared" si="5"/>
        <v>12.13631748153637</v>
      </c>
      <c r="P14" s="15">
        <f t="shared" si="6"/>
        <v>5.9937511657743956</v>
      </c>
      <c r="Q14" s="15">
        <f t="shared" si="7"/>
        <v>5.8558188590390028</v>
      </c>
      <c r="R14" s="17">
        <f t="shared" si="8"/>
        <v>43.569983555605177</v>
      </c>
      <c r="S14" s="17">
        <f t="shared" si="9"/>
        <v>21.517864881705485</v>
      </c>
      <c r="T14" s="16">
        <f t="shared" si="10"/>
        <v>21.022681038221609</v>
      </c>
      <c r="U14" s="35">
        <v>4.0490000000000004</v>
      </c>
      <c r="V14" s="35"/>
      <c r="W14" s="38"/>
      <c r="X14" s="2"/>
      <c r="Y14" s="2"/>
      <c r="Z14" s="39"/>
      <c r="AA14" s="2"/>
      <c r="AB14" s="2"/>
      <c r="AC14" s="59"/>
      <c r="AD14" s="53">
        <f>W23/$AA23</f>
        <v>0.71576859720843322</v>
      </c>
      <c r="AE14" s="53">
        <f>X23/$AA23</f>
        <v>0.10489610887187095</v>
      </c>
      <c r="AF14" s="53">
        <f>Y23/$AA23</f>
        <v>0.10210977533366944</v>
      </c>
      <c r="AG14" s="53">
        <f>Z23/$AA23</f>
        <v>7.7225518586026498E-2</v>
      </c>
    </row>
    <row r="15" spans="1:33" x14ac:dyDescent="0.45">
      <c r="A15" s="59"/>
      <c r="B15" s="22" t="s">
        <v>21</v>
      </c>
      <c r="C15" s="22">
        <v>11</v>
      </c>
      <c r="D15" s="22">
        <v>2.8117000000000001</v>
      </c>
      <c r="E15" s="22">
        <v>100</v>
      </c>
      <c r="F15" s="22">
        <v>3.0243000000000002</v>
      </c>
      <c r="G15" s="9">
        <f t="shared" si="1"/>
        <v>900</v>
      </c>
      <c r="H15" s="22">
        <v>3.5274000000000001</v>
      </c>
      <c r="I15" s="19">
        <f t="shared" si="2"/>
        <v>0.21260000000000012</v>
      </c>
      <c r="J15" s="19">
        <f t="shared" si="3"/>
        <v>0.50309999999999988</v>
      </c>
      <c r="K15" s="19">
        <f t="shared" si="4"/>
        <v>0.7157</v>
      </c>
      <c r="L15" s="20">
        <v>55.358600000000003</v>
      </c>
      <c r="M15" s="20"/>
      <c r="N15" s="27"/>
      <c r="O15" s="50">
        <f t="shared" si="5"/>
        <v>0.29553872584139379</v>
      </c>
      <c r="P15" s="50">
        <f t="shared" si="6"/>
        <v>0</v>
      </c>
      <c r="Q15" s="50">
        <f t="shared" si="7"/>
        <v>0</v>
      </c>
      <c r="R15" s="51">
        <f t="shared" si="8"/>
        <v>0.9949062374632428</v>
      </c>
      <c r="S15" s="51">
        <f t="shared" si="9"/>
        <v>0</v>
      </c>
      <c r="T15" s="52">
        <f t="shared" si="10"/>
        <v>0</v>
      </c>
      <c r="U15" s="2">
        <v>97.517300000000006</v>
      </c>
      <c r="V15" s="2"/>
      <c r="W15" s="38">
        <f>AVERAGE(R15:R16)/100</f>
        <v>1.048938018308568E-2</v>
      </c>
      <c r="X15" s="2">
        <f>AVERAGE(S15:S16)/100</f>
        <v>0</v>
      </c>
      <c r="Y15" s="2">
        <f>AVERAGE(T15:T16)/100</f>
        <v>0</v>
      </c>
      <c r="Z15" s="39">
        <f t="shared" ref="Z15" si="15">AVERAGE(U15:V16)/100</f>
        <v>0.97783099999999989</v>
      </c>
      <c r="AA15" s="2">
        <f t="shared" si="11"/>
        <v>0.98832038018308555</v>
      </c>
      <c r="AB15" s="2"/>
    </row>
    <row r="16" spans="1:33" x14ac:dyDescent="0.45">
      <c r="A16" s="59"/>
      <c r="B16" s="22" t="s">
        <v>21</v>
      </c>
      <c r="C16" s="22">
        <v>12</v>
      </c>
      <c r="D16" s="22">
        <v>2.8197999999999999</v>
      </c>
      <c r="E16" s="22">
        <v>100</v>
      </c>
      <c r="F16" s="22">
        <v>3.0125000000000002</v>
      </c>
      <c r="G16" s="9">
        <f t="shared" si="1"/>
        <v>900</v>
      </c>
      <c r="H16" s="22">
        <v>3.5257999999999998</v>
      </c>
      <c r="I16" s="19">
        <f t="shared" si="2"/>
        <v>0.19270000000000032</v>
      </c>
      <c r="J16" s="19">
        <f t="shared" si="3"/>
        <v>0.51329999999999965</v>
      </c>
      <c r="K16" s="19">
        <f t="shared" si="4"/>
        <v>0.70599999999999996</v>
      </c>
      <c r="L16" s="20">
        <v>56.391199999999998</v>
      </c>
      <c r="M16" s="20"/>
      <c r="N16" s="20"/>
      <c r="O16" s="50">
        <f t="shared" si="5"/>
        <v>0.30105138852259999</v>
      </c>
      <c r="P16" s="50">
        <f t="shared" si="6"/>
        <v>0</v>
      </c>
      <c r="Q16" s="50">
        <f t="shared" si="7"/>
        <v>0</v>
      </c>
      <c r="R16" s="51">
        <f t="shared" si="8"/>
        <v>1.1029697991538931</v>
      </c>
      <c r="S16" s="51">
        <f t="shared" si="9"/>
        <v>0</v>
      </c>
      <c r="T16" s="52">
        <f t="shared" si="10"/>
        <v>0</v>
      </c>
      <c r="U16" s="2">
        <v>97.049499999999995</v>
      </c>
      <c r="V16" s="2">
        <v>98.782499999999999</v>
      </c>
      <c r="W16" s="38"/>
      <c r="X16" s="2"/>
      <c r="Y16" s="2"/>
      <c r="Z16" s="39"/>
      <c r="AA16" s="2"/>
      <c r="AB16" s="2"/>
    </row>
    <row r="17" spans="1:28" x14ac:dyDescent="0.45">
      <c r="A17" s="59" t="s">
        <v>3</v>
      </c>
      <c r="B17" s="10" t="s">
        <v>20</v>
      </c>
      <c r="C17" s="11">
        <v>13</v>
      </c>
      <c r="D17" s="10">
        <v>2.8007</v>
      </c>
      <c r="E17" s="10">
        <v>300</v>
      </c>
      <c r="F17" s="11">
        <v>2.9857999999999998</v>
      </c>
      <c r="G17" s="10">
        <f t="shared" si="1"/>
        <v>700</v>
      </c>
      <c r="H17" s="11">
        <v>3.5550999999999999</v>
      </c>
      <c r="I17" s="13">
        <f t="shared" si="2"/>
        <v>0.18509999999999982</v>
      </c>
      <c r="J17" s="13">
        <f t="shared" si="3"/>
        <v>0.56930000000000014</v>
      </c>
      <c r="K17" s="13">
        <f t="shared" si="4"/>
        <v>0.75439999999999996</v>
      </c>
      <c r="L17" s="14">
        <v>978.77639999999997</v>
      </c>
      <c r="M17" s="14">
        <v>1412.7705000000001</v>
      </c>
      <c r="N17" s="14">
        <v>1341.9539</v>
      </c>
      <c r="O17" s="15">
        <f t="shared" si="5"/>
        <v>5.2253187425192538</v>
      </c>
      <c r="P17" s="15">
        <f t="shared" si="6"/>
        <v>8.0095886892812267</v>
      </c>
      <c r="Q17" s="15">
        <f t="shared" si="7"/>
        <v>7.8369319051173063</v>
      </c>
      <c r="R17" s="17">
        <f t="shared" si="8"/>
        <v>21.296490866323765</v>
      </c>
      <c r="S17" s="17">
        <f t="shared" si="9"/>
        <v>32.644158331678888</v>
      </c>
      <c r="T17" s="16">
        <f t="shared" si="10"/>
        <v>31.94047233506484</v>
      </c>
      <c r="U17" s="35">
        <v>2.6415999999999999</v>
      </c>
      <c r="V17" s="35"/>
      <c r="W17" s="38">
        <f>AVERAGE(R17:R18)/100</f>
        <v>0.21434094889121924</v>
      </c>
      <c r="X17" s="2">
        <f>AVERAGE(S17:S18)/100</f>
        <v>0.32893399701146769</v>
      </c>
      <c r="Y17" s="2">
        <f>AVERAGE(T17:T18)/100</f>
        <v>0.32151114460608649</v>
      </c>
      <c r="Z17" s="39">
        <f t="shared" ref="Z17" si="16">AVERAGE(U17:V18)/100</f>
        <v>2.6620499999999998E-2</v>
      </c>
      <c r="AA17" s="2">
        <f t="shared" si="11"/>
        <v>0.89140659050877347</v>
      </c>
      <c r="AB17" s="2"/>
    </row>
    <row r="18" spans="1:28" x14ac:dyDescent="0.45">
      <c r="A18" s="59"/>
      <c r="B18" s="11" t="s">
        <v>20</v>
      </c>
      <c r="C18" s="11">
        <v>14</v>
      </c>
      <c r="D18" s="11">
        <v>2.7353000000000001</v>
      </c>
      <c r="E18" s="11">
        <v>300</v>
      </c>
      <c r="F18" s="11">
        <v>2.9247999999999998</v>
      </c>
      <c r="G18" s="10">
        <f t="shared" si="1"/>
        <v>700</v>
      </c>
      <c r="H18" s="11">
        <v>3.4291999999999998</v>
      </c>
      <c r="I18" s="13">
        <f t="shared" si="2"/>
        <v>0.18949999999999978</v>
      </c>
      <c r="J18" s="13">
        <f t="shared" si="3"/>
        <v>0.50439999999999996</v>
      </c>
      <c r="K18" s="13">
        <f t="shared" si="4"/>
        <v>0.69389999999999974</v>
      </c>
      <c r="L18" s="14">
        <v>1103.4874</v>
      </c>
      <c r="M18" s="14">
        <v>1596.4703</v>
      </c>
      <c r="N18" s="14">
        <v>1513.338</v>
      </c>
      <c r="O18" s="15">
        <f t="shared" si="5"/>
        <v>5.8911038244831406</v>
      </c>
      <c r="P18" s="15">
        <f t="shared" si="6"/>
        <v>9.051059926331563</v>
      </c>
      <c r="Q18" s="15">
        <f t="shared" si="7"/>
        <v>8.8378049763307178</v>
      </c>
      <c r="R18" s="17">
        <f t="shared" si="8"/>
        <v>21.571698911920077</v>
      </c>
      <c r="S18" s="17">
        <f t="shared" si="9"/>
        <v>33.142641070614651</v>
      </c>
      <c r="T18" s="16">
        <f t="shared" si="10"/>
        <v>32.361756586152453</v>
      </c>
      <c r="U18" s="35">
        <v>2.6825000000000001</v>
      </c>
      <c r="V18" s="35"/>
      <c r="W18" s="38"/>
      <c r="X18" s="2"/>
      <c r="Y18" s="2"/>
      <c r="Z18" s="39"/>
      <c r="AA18" s="2"/>
      <c r="AB18" s="2"/>
    </row>
    <row r="19" spans="1:28" x14ac:dyDescent="0.45">
      <c r="A19" s="59"/>
      <c r="B19" s="22" t="s">
        <v>21</v>
      </c>
      <c r="C19" s="22">
        <v>15</v>
      </c>
      <c r="D19" s="22">
        <v>2.7786</v>
      </c>
      <c r="E19" s="22">
        <v>100</v>
      </c>
      <c r="F19" s="22">
        <v>2.9830999999999999</v>
      </c>
      <c r="G19" s="9">
        <f t="shared" si="1"/>
        <v>900</v>
      </c>
      <c r="H19" s="22">
        <v>3.5251000000000001</v>
      </c>
      <c r="I19" s="19">
        <f t="shared" si="2"/>
        <v>0.2044999999999999</v>
      </c>
      <c r="J19" s="19">
        <f t="shared" si="3"/>
        <v>0.54200000000000026</v>
      </c>
      <c r="K19" s="19">
        <f t="shared" si="4"/>
        <v>0.74650000000000016</v>
      </c>
      <c r="L19" s="20">
        <v>32.845700000000001</v>
      </c>
      <c r="M19" s="20">
        <v>4.1890000000000001</v>
      </c>
      <c r="N19" s="20">
        <v>4.0446</v>
      </c>
      <c r="O19" s="50">
        <f t="shared" si="5"/>
        <v>0.17535082764680948</v>
      </c>
      <c r="P19" s="50">
        <f t="shared" si="6"/>
        <v>2.3749198485811428E-2</v>
      </c>
      <c r="Q19" s="50">
        <f t="shared" si="7"/>
        <v>2.3620226286042656E-2</v>
      </c>
      <c r="R19" s="51">
        <f t="shared" si="8"/>
        <v>0.64009483050534655</v>
      </c>
      <c r="S19" s="51">
        <f t="shared" si="9"/>
        <v>8.6693284448206578E-2</v>
      </c>
      <c r="T19" s="52">
        <f t="shared" si="10"/>
        <v>8.6222488618732787E-2</v>
      </c>
      <c r="U19" s="2">
        <v>96.797799999999995</v>
      </c>
      <c r="V19" s="2"/>
      <c r="W19" s="38">
        <f>AVERAGE(R19:R20)/100</f>
        <v>6.0010818400259638E-3</v>
      </c>
      <c r="X19" s="2">
        <f>AVERAGE(S19:S20)/100</f>
        <v>4.3346642224103291E-4</v>
      </c>
      <c r="Y19" s="2">
        <f>AVERAGE(T19:T20)/100</f>
        <v>4.3111244309366396E-4</v>
      </c>
      <c r="Z19" s="39">
        <f t="shared" ref="Z19" si="17">AVERAGE(U19:V20)/100</f>
        <v>0.96539333333333333</v>
      </c>
      <c r="AA19" s="2">
        <f t="shared" si="11"/>
        <v>0.97225899403869398</v>
      </c>
      <c r="AB19" s="2"/>
    </row>
    <row r="20" spans="1:28" x14ac:dyDescent="0.45">
      <c r="A20" s="59"/>
      <c r="B20" s="22" t="s">
        <v>21</v>
      </c>
      <c r="C20" s="22">
        <v>16</v>
      </c>
      <c r="D20" s="22">
        <v>2.8285999999999998</v>
      </c>
      <c r="E20" s="22">
        <v>100</v>
      </c>
      <c r="F20" s="22">
        <v>3.0303</v>
      </c>
      <c r="G20" s="9">
        <f t="shared" si="1"/>
        <v>900</v>
      </c>
      <c r="H20" s="22">
        <v>3.585</v>
      </c>
      <c r="I20" s="19">
        <f t="shared" si="2"/>
        <v>0.20170000000000021</v>
      </c>
      <c r="J20" s="19">
        <f t="shared" si="3"/>
        <v>0.55469999999999997</v>
      </c>
      <c r="K20" s="19">
        <f t="shared" si="4"/>
        <v>0.75640000000000018</v>
      </c>
      <c r="L20" s="20">
        <v>27.977399999999999</v>
      </c>
      <c r="M20" s="20"/>
      <c r="N20" s="20"/>
      <c r="O20" s="50">
        <f t="shared" si="5"/>
        <v>0.14936080660195541</v>
      </c>
      <c r="P20" s="50">
        <f t="shared" si="6"/>
        <v>0</v>
      </c>
      <c r="Q20" s="50">
        <f t="shared" si="7"/>
        <v>0</v>
      </c>
      <c r="R20" s="51">
        <f t="shared" si="8"/>
        <v>0.56012153749984628</v>
      </c>
      <c r="S20" s="51">
        <f t="shared" si="9"/>
        <v>0</v>
      </c>
      <c r="T20" s="52">
        <f t="shared" si="10"/>
        <v>0</v>
      </c>
      <c r="U20" s="2">
        <v>96.789100000000005</v>
      </c>
      <c r="V20" s="2">
        <v>96.031099999999995</v>
      </c>
      <c r="W20" s="38"/>
      <c r="X20" s="2"/>
      <c r="Y20" s="2"/>
      <c r="Z20" s="39"/>
      <c r="AA20" s="2"/>
      <c r="AB20" s="2"/>
    </row>
    <row r="21" spans="1:28" x14ac:dyDescent="0.45">
      <c r="A21" s="59" t="s">
        <v>4</v>
      </c>
      <c r="B21" s="10" t="s">
        <v>20</v>
      </c>
      <c r="C21" s="11">
        <v>17</v>
      </c>
      <c r="D21" s="10">
        <v>2.7875000000000001</v>
      </c>
      <c r="E21" s="10">
        <v>300</v>
      </c>
      <c r="F21" s="11">
        <v>2.9887000000000001</v>
      </c>
      <c r="G21" s="10">
        <f t="shared" si="1"/>
        <v>700</v>
      </c>
      <c r="H21" s="11">
        <v>3.5472999999999999</v>
      </c>
      <c r="I21" s="13">
        <f t="shared" si="2"/>
        <v>0.20120000000000005</v>
      </c>
      <c r="J21" s="13">
        <f t="shared" si="3"/>
        <v>0.55859999999999976</v>
      </c>
      <c r="K21" s="13">
        <f t="shared" si="4"/>
        <v>0.75979999999999981</v>
      </c>
      <c r="L21" s="14">
        <v>84.587299999999999</v>
      </c>
      <c r="M21" s="14"/>
      <c r="N21" s="14"/>
      <c r="O21" s="15">
        <f t="shared" si="5"/>
        <v>0.45157975209567669</v>
      </c>
      <c r="P21" s="15">
        <f t="shared" si="6"/>
        <v>0</v>
      </c>
      <c r="Q21" s="15">
        <f t="shared" si="7"/>
        <v>0</v>
      </c>
      <c r="R21" s="17">
        <f t="shared" si="8"/>
        <v>1.7053195608463965</v>
      </c>
      <c r="S21" s="17">
        <f t="shared" si="9"/>
        <v>0</v>
      </c>
      <c r="T21" s="16">
        <f t="shared" si="10"/>
        <v>0</v>
      </c>
      <c r="U21" s="35">
        <v>100.02679999999999</v>
      </c>
      <c r="V21" s="35"/>
      <c r="W21" s="36">
        <f>AVERAGE(R21:R22)/100</f>
        <v>2.0044686539218867E-2</v>
      </c>
      <c r="X21" s="35">
        <f>AVERAGE(S21:S22)/100</f>
        <v>5.917012557589865E-4</v>
      </c>
      <c r="Y21" s="35">
        <f>AVERAGE(T21:T22)/100</f>
        <v>5.8597989642909234E-4</v>
      </c>
      <c r="Z21" s="37">
        <f t="shared" ref="Z21" si="18">AVERAGE(U21:V22)/100</f>
        <v>0.99423199999999989</v>
      </c>
      <c r="AA21" s="2">
        <f t="shared" si="11"/>
        <v>1.0154543676914067</v>
      </c>
      <c r="AB21" s="2"/>
    </row>
    <row r="22" spans="1:28" x14ac:dyDescent="0.45">
      <c r="A22" s="59"/>
      <c r="B22" s="11" t="s">
        <v>20</v>
      </c>
      <c r="C22" s="11">
        <v>18</v>
      </c>
      <c r="D22" s="11">
        <v>2.7193000000000001</v>
      </c>
      <c r="E22" s="11">
        <v>300</v>
      </c>
      <c r="F22" s="11">
        <v>2.9272999999999998</v>
      </c>
      <c r="G22" s="10">
        <f t="shared" si="1"/>
        <v>700</v>
      </c>
      <c r="H22" s="11">
        <v>3.4719000000000002</v>
      </c>
      <c r="I22" s="13">
        <f t="shared" si="2"/>
        <v>0.20799999999999974</v>
      </c>
      <c r="J22" s="13">
        <f t="shared" si="3"/>
        <v>0.54460000000000042</v>
      </c>
      <c r="K22" s="13">
        <f t="shared" si="4"/>
        <v>0.75260000000000016</v>
      </c>
      <c r="L22" s="14">
        <v>119.256</v>
      </c>
      <c r="M22" s="14">
        <v>5.7689000000000004</v>
      </c>
      <c r="N22" s="14">
        <v>5.5462999999999996</v>
      </c>
      <c r="O22" s="15">
        <f t="shared" si="5"/>
        <v>0.63666289048027325</v>
      </c>
      <c r="P22" s="15">
        <f t="shared" si="6"/>
        <v>3.2706314429409779E-2</v>
      </c>
      <c r="Q22" s="15">
        <f t="shared" si="7"/>
        <v>3.2390066026375508E-2</v>
      </c>
      <c r="R22" s="17">
        <f t="shared" si="8"/>
        <v>2.3036177469973764</v>
      </c>
      <c r="S22" s="17">
        <f t="shared" si="9"/>
        <v>0.11834025115179729</v>
      </c>
      <c r="T22" s="16">
        <f t="shared" si="10"/>
        <v>0.11719597928581847</v>
      </c>
      <c r="U22" s="35">
        <v>98.819599999999994</v>
      </c>
      <c r="V22" s="35"/>
      <c r="W22" s="38"/>
      <c r="X22" s="2"/>
      <c r="Y22" s="2"/>
      <c r="Z22" s="39"/>
      <c r="AA22" s="2"/>
      <c r="AB22" s="2"/>
    </row>
    <row r="23" spans="1:28" x14ac:dyDescent="0.45">
      <c r="A23" s="59"/>
      <c r="B23" s="22" t="s">
        <v>21</v>
      </c>
      <c r="C23" s="22">
        <v>19</v>
      </c>
      <c r="D23" s="22">
        <v>2.7715999999999998</v>
      </c>
      <c r="E23" s="22">
        <v>100</v>
      </c>
      <c r="F23" s="22">
        <v>2.9588000000000001</v>
      </c>
      <c r="G23" s="9">
        <f t="shared" si="1"/>
        <v>900</v>
      </c>
      <c r="H23" s="22">
        <v>3.4918999999999998</v>
      </c>
      <c r="I23" s="19">
        <f t="shared" si="2"/>
        <v>0.18720000000000026</v>
      </c>
      <c r="J23" s="19">
        <f t="shared" si="3"/>
        <v>0.53309999999999969</v>
      </c>
      <c r="K23" s="19">
        <f t="shared" si="4"/>
        <v>0.72029999999999994</v>
      </c>
      <c r="L23" s="20">
        <v>2913.9231</v>
      </c>
      <c r="M23" s="20">
        <v>402.3202</v>
      </c>
      <c r="N23" s="20">
        <v>380.70679999999999</v>
      </c>
      <c r="O23" s="50">
        <f t="shared" si="5"/>
        <v>15.556338494358677</v>
      </c>
      <c r="P23" s="50">
        <f t="shared" si="6"/>
        <v>2.2809220063622226</v>
      </c>
      <c r="Q23" s="50">
        <f t="shared" si="7"/>
        <v>2.2233053366550917</v>
      </c>
      <c r="R23" s="51">
        <f t="shared" si="8"/>
        <v>59.857001161787068</v>
      </c>
      <c r="S23" s="51">
        <f t="shared" si="9"/>
        <v>8.7764322712751426</v>
      </c>
      <c r="T23" s="52">
        <f t="shared" si="10"/>
        <v>8.5547373610719024</v>
      </c>
      <c r="U23" s="2">
        <v>6.6554000000000002</v>
      </c>
      <c r="V23" s="2"/>
      <c r="W23" s="38">
        <f>AVERAGE(R23:R24)/100</f>
        <v>0.61532514621883438</v>
      </c>
      <c r="X23" s="2">
        <f>AVERAGE(S23:S24)/100</f>
        <v>9.0176090123404884E-2</v>
      </c>
      <c r="Y23" s="2">
        <f>AVERAGE(T23:T24)/100</f>
        <v>8.7780761383788472E-2</v>
      </c>
      <c r="Z23" s="39">
        <f t="shared" ref="Z23" si="19">AVERAGE(U23:V24)/100</f>
        <v>6.6388500000000003E-2</v>
      </c>
      <c r="AA23" s="2">
        <f t="shared" si="11"/>
        <v>0.85967049772602766</v>
      </c>
      <c r="AB23" s="2"/>
    </row>
    <row r="24" spans="1:28" ht="14.65" thickBot="1" x14ac:dyDescent="0.5">
      <c r="A24" s="59"/>
      <c r="B24" s="22" t="s">
        <v>21</v>
      </c>
      <c r="C24" s="22">
        <v>20</v>
      </c>
      <c r="D24" s="22">
        <v>2.7757999999999998</v>
      </c>
      <c r="E24" s="22">
        <v>100</v>
      </c>
      <c r="F24" s="22">
        <v>2.9851999999999999</v>
      </c>
      <c r="G24" s="9">
        <f t="shared" si="1"/>
        <v>900</v>
      </c>
      <c r="H24" s="22">
        <v>3.5446</v>
      </c>
      <c r="I24" s="19">
        <f t="shared" si="2"/>
        <v>0.20940000000000003</v>
      </c>
      <c r="J24" s="19">
        <f t="shared" si="3"/>
        <v>0.55940000000000012</v>
      </c>
      <c r="K24" s="19">
        <f t="shared" si="4"/>
        <v>0.76880000000000015</v>
      </c>
      <c r="L24" s="20">
        <v>3224.8256999999999</v>
      </c>
      <c r="M24" s="20">
        <v>444.8143</v>
      </c>
      <c r="N24" s="20">
        <v>419.82240000000002</v>
      </c>
      <c r="O24" s="50">
        <f t="shared" si="5"/>
        <v>17.216130437521553</v>
      </c>
      <c r="P24" s="50">
        <f t="shared" si="6"/>
        <v>2.5218388875691744</v>
      </c>
      <c r="Q24" s="50">
        <f t="shared" si="7"/>
        <v>2.4517381417073421</v>
      </c>
      <c r="R24" s="51">
        <f t="shared" si="8"/>
        <v>63.208028081979798</v>
      </c>
      <c r="S24" s="51">
        <f t="shared" si="9"/>
        <v>9.2587857534058333</v>
      </c>
      <c r="T24" s="52">
        <f t="shared" si="10"/>
        <v>9.0014149156857908</v>
      </c>
      <c r="U24" s="40">
        <v>6.6223000000000001</v>
      </c>
      <c r="V24" s="40"/>
      <c r="W24" s="41"/>
      <c r="X24" s="40"/>
      <c r="Y24" s="40"/>
      <c r="Z24" s="42"/>
      <c r="AA24" s="2"/>
      <c r="AB24" s="2"/>
    </row>
  </sheetData>
  <mergeCells count="13">
    <mergeCell ref="U3:V3"/>
    <mergeCell ref="A21:A24"/>
    <mergeCell ref="O3:Q3"/>
    <mergeCell ref="R3:T3"/>
    <mergeCell ref="A5:A8"/>
    <mergeCell ref="A9:A12"/>
    <mergeCell ref="A13:A16"/>
    <mergeCell ref="A17:A20"/>
    <mergeCell ref="AC5:AC6"/>
    <mergeCell ref="AC7:AC8"/>
    <mergeCell ref="AC9:AC10"/>
    <mergeCell ref="AC11:AC12"/>
    <mergeCell ref="AC13:AC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05E98-642A-44B5-8A79-F7AAC2056910}">
  <sheetPr>
    <tabColor theme="7"/>
  </sheetPr>
  <dimension ref="A1:AA24"/>
  <sheetViews>
    <sheetView tabSelected="1" topLeftCell="G1" workbookViewId="0">
      <selection activeCell="M3" sqref="M3"/>
    </sheetView>
  </sheetViews>
  <sheetFormatPr defaultRowHeight="14.25" x14ac:dyDescent="0.45"/>
  <cols>
    <col min="4" max="4" width="8.33203125" customWidth="1"/>
    <col min="5" max="5" width="10.53125" customWidth="1"/>
    <col min="6" max="6" width="13.59765625" customWidth="1"/>
    <col min="7" max="7" width="10.6640625" style="2" customWidth="1"/>
    <col min="8" max="8" width="12.73046875" bestFit="1" customWidth="1"/>
    <col min="12" max="12" width="10.46484375" bestFit="1" customWidth="1"/>
    <col min="13" max="13" width="10.46484375" customWidth="1"/>
    <col min="14" max="14" width="12.59765625" bestFit="1" customWidth="1"/>
    <col min="15" max="15" width="11.1328125" bestFit="1" customWidth="1"/>
    <col min="16" max="16" width="11.1328125" customWidth="1"/>
    <col min="17" max="17" width="13.6640625" bestFit="1" customWidth="1"/>
    <col min="18" max="18" width="11.1328125" bestFit="1" customWidth="1"/>
    <col min="19" max="19" width="11.1328125" customWidth="1"/>
    <col min="20" max="20" width="13.6640625" bestFit="1" customWidth="1"/>
    <col min="21" max="22" width="9.53125" customWidth="1"/>
  </cols>
  <sheetData>
    <row r="1" spans="1:27" ht="25.9" thickBot="1" x14ac:dyDescent="0.8">
      <c r="F1" s="46" t="s">
        <v>44</v>
      </c>
      <c r="G1" s="46" t="s">
        <v>47</v>
      </c>
    </row>
    <row r="2" spans="1:27" ht="14.65" thickBot="1" x14ac:dyDescent="0.5">
      <c r="E2" t="s">
        <v>5</v>
      </c>
      <c r="F2">
        <v>187.3142</v>
      </c>
      <c r="G2">
        <v>176.38489999999999</v>
      </c>
      <c r="H2" s="1">
        <v>166.26939999999999</v>
      </c>
    </row>
    <row r="3" spans="1:27" ht="14.65" thickBot="1" x14ac:dyDescent="0.5">
      <c r="M3" t="s">
        <v>60</v>
      </c>
      <c r="N3" t="s">
        <v>64</v>
      </c>
      <c r="O3" s="60" t="s">
        <v>6</v>
      </c>
      <c r="P3" s="61"/>
      <c r="Q3" s="62"/>
      <c r="R3" s="61" t="s">
        <v>7</v>
      </c>
      <c r="S3" s="61"/>
      <c r="T3" s="62"/>
      <c r="U3" s="63" t="s">
        <v>46</v>
      </c>
      <c r="V3" s="64"/>
    </row>
    <row r="4" spans="1:27" x14ac:dyDescent="0.4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42</v>
      </c>
      <c r="H4" s="3" t="s">
        <v>14</v>
      </c>
      <c r="I4" s="4" t="s">
        <v>15</v>
      </c>
      <c r="J4" s="4" t="s">
        <v>43</v>
      </c>
      <c r="K4" s="4" t="s">
        <v>16</v>
      </c>
      <c r="L4" s="4" t="s">
        <v>17</v>
      </c>
      <c r="M4" s="48" t="s">
        <v>63</v>
      </c>
      <c r="N4" s="5" t="s">
        <v>55</v>
      </c>
      <c r="O4" s="31" t="s">
        <v>45</v>
      </c>
      <c r="P4" s="49" t="s">
        <v>56</v>
      </c>
      <c r="Q4" s="32" t="s">
        <v>57</v>
      </c>
      <c r="R4" s="31" t="s">
        <v>45</v>
      </c>
      <c r="S4" s="49" t="s">
        <v>56</v>
      </c>
      <c r="T4" s="32" t="s">
        <v>57</v>
      </c>
      <c r="U4" s="7">
        <v>1</v>
      </c>
      <c r="V4" s="7">
        <v>2</v>
      </c>
      <c r="W4" s="6" t="s">
        <v>18</v>
      </c>
      <c r="X4" s="7" t="s">
        <v>58</v>
      </c>
      <c r="Y4" s="7" t="s">
        <v>59</v>
      </c>
      <c r="Z4" s="8" t="s">
        <v>19</v>
      </c>
    </row>
    <row r="5" spans="1:27" x14ac:dyDescent="0.45">
      <c r="A5" s="59" t="s">
        <v>22</v>
      </c>
      <c r="B5" s="10" t="s">
        <v>20</v>
      </c>
      <c r="C5" s="11">
        <v>1</v>
      </c>
      <c r="D5" s="12">
        <v>2.7341000000000002</v>
      </c>
      <c r="E5" s="10">
        <v>300</v>
      </c>
      <c r="F5" s="11">
        <v>2.9201999999999999</v>
      </c>
      <c r="G5" s="10">
        <f>1000-E5</f>
        <v>700</v>
      </c>
      <c r="H5" s="11">
        <v>3.5688</v>
      </c>
      <c r="I5" s="13">
        <f>F5-D5</f>
        <v>0.18609999999999971</v>
      </c>
      <c r="J5" s="13">
        <f>H5-F5</f>
        <v>0.64860000000000007</v>
      </c>
      <c r="K5" s="13">
        <f>J5+I5</f>
        <v>0.83469999999999978</v>
      </c>
      <c r="L5" s="14"/>
      <c r="M5" s="14"/>
      <c r="N5" s="14"/>
      <c r="O5" s="15">
        <f>L5/$F$2</f>
        <v>0</v>
      </c>
      <c r="P5" s="15">
        <f>M5/$G$2</f>
        <v>0</v>
      </c>
      <c r="Q5" s="15">
        <f>N5/$H$2</f>
        <v>0</v>
      </c>
      <c r="R5" s="17">
        <f>O5*$K5/$I5</f>
        <v>0</v>
      </c>
      <c r="S5" s="17">
        <f>P5*$K5/$I5</f>
        <v>0</v>
      </c>
      <c r="T5" s="16">
        <f t="shared" ref="T5:T24" si="0">Q5*$K5/$I5</f>
        <v>0</v>
      </c>
      <c r="U5" s="35">
        <v>93.886499999999998</v>
      </c>
      <c r="V5" s="35"/>
      <c r="W5" s="36">
        <f>AVERAGE(R5:R6)/100</f>
        <v>0</v>
      </c>
      <c r="X5" s="35">
        <f>AVERAGE(S5:S6)/100</f>
        <v>0</v>
      </c>
      <c r="Y5" s="35">
        <f>AVERAGE(T5:T6)/100</f>
        <v>0</v>
      </c>
      <c r="Z5" s="37">
        <f>AVERAGE(U5:V6)/100</f>
        <v>0.9378455</v>
      </c>
      <c r="AA5" s="2">
        <f>SUM(W5:Z5)</f>
        <v>0.9378455</v>
      </c>
    </row>
    <row r="6" spans="1:27" x14ac:dyDescent="0.45">
      <c r="A6" s="59"/>
      <c r="B6" s="11" t="s">
        <v>20</v>
      </c>
      <c r="C6" s="11">
        <v>2</v>
      </c>
      <c r="D6" s="11">
        <v>2.7246000000000001</v>
      </c>
      <c r="E6" s="11">
        <v>300</v>
      </c>
      <c r="F6" s="11">
        <v>2.8999000000000001</v>
      </c>
      <c r="G6" s="10">
        <f t="shared" ref="G6:G24" si="1">1000-E6</f>
        <v>700</v>
      </c>
      <c r="H6" s="11">
        <v>3.5398000000000001</v>
      </c>
      <c r="I6" s="13">
        <f t="shared" ref="I6:I24" si="2">F6-D6</f>
        <v>0.17530000000000001</v>
      </c>
      <c r="J6" s="13">
        <f t="shared" ref="J6:J24" si="3">H6-F6</f>
        <v>0.63989999999999991</v>
      </c>
      <c r="K6" s="13">
        <f t="shared" ref="K6:K24" si="4">J6+I6</f>
        <v>0.81519999999999992</v>
      </c>
      <c r="L6" s="14"/>
      <c r="M6" s="14"/>
      <c r="N6" s="14"/>
      <c r="O6" s="15">
        <f t="shared" ref="O6:O24" si="5">L6/$F$2</f>
        <v>0</v>
      </c>
      <c r="P6" s="15">
        <f t="shared" ref="P6:P24" si="6">M6/$G$2</f>
        <v>0</v>
      </c>
      <c r="Q6" s="15">
        <f t="shared" ref="Q6:Q24" si="7">N6/$H$2</f>
        <v>0</v>
      </c>
      <c r="R6" s="17">
        <f t="shared" ref="R6:S24" si="8">O6*$K6/$I6</f>
        <v>0</v>
      </c>
      <c r="S6" s="17">
        <f t="shared" si="8"/>
        <v>0</v>
      </c>
      <c r="T6" s="16">
        <f t="shared" si="0"/>
        <v>0</v>
      </c>
      <c r="U6" s="35">
        <v>93.682599999999994</v>
      </c>
      <c r="V6" s="35"/>
      <c r="W6" s="38"/>
      <c r="X6" s="2"/>
      <c r="Y6" s="2"/>
      <c r="Z6" s="39"/>
      <c r="AA6" s="2"/>
    </row>
    <row r="7" spans="1:27" x14ac:dyDescent="0.45">
      <c r="A7" s="59"/>
      <c r="B7" s="22" t="s">
        <v>21</v>
      </c>
      <c r="C7" s="22">
        <v>3</v>
      </c>
      <c r="D7" s="22">
        <v>2.8129</v>
      </c>
      <c r="E7" s="22">
        <v>100</v>
      </c>
      <c r="F7" s="22">
        <v>3.0062000000000002</v>
      </c>
      <c r="G7" s="9">
        <f t="shared" si="1"/>
        <v>900</v>
      </c>
      <c r="H7" s="22">
        <v>3.6126</v>
      </c>
      <c r="I7" s="19">
        <f t="shared" si="2"/>
        <v>0.19330000000000025</v>
      </c>
      <c r="J7" s="19">
        <f t="shared" si="3"/>
        <v>0.60639999999999983</v>
      </c>
      <c r="K7" s="19">
        <f t="shared" si="4"/>
        <v>0.79970000000000008</v>
      </c>
      <c r="N7" s="20"/>
      <c r="O7" s="50">
        <f t="shared" si="5"/>
        <v>0</v>
      </c>
      <c r="P7" s="50">
        <f t="shared" si="6"/>
        <v>0</v>
      </c>
      <c r="Q7" s="50">
        <f t="shared" si="7"/>
        <v>0</v>
      </c>
      <c r="R7" s="51">
        <f t="shared" si="8"/>
        <v>0</v>
      </c>
      <c r="S7" s="51">
        <f t="shared" si="8"/>
        <v>0</v>
      </c>
      <c r="T7" s="52">
        <f t="shared" si="0"/>
        <v>0</v>
      </c>
      <c r="U7" s="2">
        <v>8.9268999999999998</v>
      </c>
      <c r="V7" s="2"/>
      <c r="W7" s="38">
        <f>AVERAGE(R7:R8)/100</f>
        <v>0</v>
      </c>
      <c r="X7" s="2">
        <f>AVERAGE(S7:S8)/100</f>
        <v>0</v>
      </c>
      <c r="Y7" s="2">
        <f>AVERAGE(T7:T8)/100</f>
        <v>0</v>
      </c>
      <c r="Z7" s="39">
        <f>AVERAGE(U7:V8)/100</f>
        <v>8.8521000000000002E-2</v>
      </c>
      <c r="AA7" s="2">
        <f t="shared" ref="AA7:AA23" si="9">SUM(W7:Z7)</f>
        <v>8.8521000000000002E-2</v>
      </c>
    </row>
    <row r="8" spans="1:27" x14ac:dyDescent="0.45">
      <c r="A8" s="59"/>
      <c r="B8" s="22" t="s">
        <v>21</v>
      </c>
      <c r="C8" s="22">
        <v>4</v>
      </c>
      <c r="D8" s="22">
        <v>2.7707999999999999</v>
      </c>
      <c r="E8" s="22">
        <v>100</v>
      </c>
      <c r="F8" s="22">
        <v>2.9693000000000001</v>
      </c>
      <c r="G8" s="9">
        <f t="shared" si="1"/>
        <v>900</v>
      </c>
      <c r="H8" s="22">
        <v>3.6040000000000001</v>
      </c>
      <c r="I8" s="19">
        <f t="shared" si="2"/>
        <v>0.19850000000000012</v>
      </c>
      <c r="J8" s="19">
        <f t="shared" si="3"/>
        <v>0.63470000000000004</v>
      </c>
      <c r="K8" s="19">
        <f t="shared" si="4"/>
        <v>0.83320000000000016</v>
      </c>
      <c r="L8" s="20"/>
      <c r="M8" s="20"/>
      <c r="N8" s="20"/>
      <c r="O8" s="50">
        <f t="shared" si="5"/>
        <v>0</v>
      </c>
      <c r="P8" s="50">
        <f t="shared" si="6"/>
        <v>0</v>
      </c>
      <c r="Q8" s="50">
        <f t="shared" si="7"/>
        <v>0</v>
      </c>
      <c r="R8" s="51">
        <f t="shared" si="8"/>
        <v>0</v>
      </c>
      <c r="S8" s="51">
        <f t="shared" si="8"/>
        <v>0</v>
      </c>
      <c r="T8" s="52">
        <f t="shared" si="0"/>
        <v>0</v>
      </c>
      <c r="U8" s="2">
        <v>8.7773000000000003</v>
      </c>
      <c r="V8" s="2"/>
      <c r="W8" s="38"/>
      <c r="X8" s="2"/>
      <c r="Y8" s="2"/>
      <c r="Z8" s="39"/>
      <c r="AA8" s="2"/>
    </row>
    <row r="9" spans="1:27" x14ac:dyDescent="0.45">
      <c r="A9" s="59" t="s">
        <v>23</v>
      </c>
      <c r="B9" s="10" t="s">
        <v>20</v>
      </c>
      <c r="C9" s="11">
        <v>5</v>
      </c>
      <c r="D9" s="10">
        <v>2.7387999999999999</v>
      </c>
      <c r="E9" s="10">
        <v>300</v>
      </c>
      <c r="F9" s="11">
        <v>2.9091999999999998</v>
      </c>
      <c r="G9" s="10">
        <f t="shared" si="1"/>
        <v>700</v>
      </c>
      <c r="H9" s="11">
        <v>3.5436999999999999</v>
      </c>
      <c r="I9" s="13">
        <f t="shared" si="2"/>
        <v>0.17039999999999988</v>
      </c>
      <c r="J9" s="13">
        <f t="shared" si="3"/>
        <v>0.63450000000000006</v>
      </c>
      <c r="K9" s="13">
        <f t="shared" si="4"/>
        <v>0.80489999999999995</v>
      </c>
      <c r="L9" s="14"/>
      <c r="M9" s="14"/>
      <c r="N9" s="14"/>
      <c r="O9" s="15">
        <f t="shared" si="5"/>
        <v>0</v>
      </c>
      <c r="P9" s="15">
        <f t="shared" si="6"/>
        <v>0</v>
      </c>
      <c r="Q9" s="15">
        <f t="shared" si="7"/>
        <v>0</v>
      </c>
      <c r="R9" s="17">
        <f t="shared" si="8"/>
        <v>0</v>
      </c>
      <c r="S9" s="17">
        <f t="shared" si="8"/>
        <v>0</v>
      </c>
      <c r="T9" s="16">
        <f t="shared" si="0"/>
        <v>0</v>
      </c>
      <c r="U9" s="35">
        <v>2.3902999999999999</v>
      </c>
      <c r="V9" s="35"/>
      <c r="W9" s="36">
        <f>AVERAGE(R9:R10)/100</f>
        <v>0</v>
      </c>
      <c r="X9" s="35">
        <f>AVERAGE(S9:S10)/100</f>
        <v>0</v>
      </c>
      <c r="Y9" s="35">
        <f>AVERAGE(T9:T10)/100</f>
        <v>0</v>
      </c>
      <c r="Z9" s="37">
        <f t="shared" ref="Z9" si="10">AVERAGE(U9:V10)/100</f>
        <v>2.4306499999999998E-2</v>
      </c>
      <c r="AA9" s="2">
        <f t="shared" si="9"/>
        <v>2.4306499999999998E-2</v>
      </c>
    </row>
    <row r="10" spans="1:27" x14ac:dyDescent="0.45">
      <c r="A10" s="59"/>
      <c r="B10" s="11" t="s">
        <v>20</v>
      </c>
      <c r="C10" s="11">
        <v>6</v>
      </c>
      <c r="D10" s="11">
        <v>2.7302</v>
      </c>
      <c r="E10" s="11">
        <v>300</v>
      </c>
      <c r="F10" s="11">
        <v>2.9171999999999998</v>
      </c>
      <c r="G10" s="10">
        <f t="shared" si="1"/>
        <v>700</v>
      </c>
      <c r="H10" s="11">
        <v>3.5375000000000001</v>
      </c>
      <c r="I10" s="13">
        <f t="shared" si="2"/>
        <v>0.18699999999999983</v>
      </c>
      <c r="J10" s="13">
        <f t="shared" si="3"/>
        <v>0.6203000000000003</v>
      </c>
      <c r="K10" s="13">
        <f t="shared" si="4"/>
        <v>0.80730000000000013</v>
      </c>
      <c r="L10" s="14"/>
      <c r="M10" s="14"/>
      <c r="N10" s="14"/>
      <c r="O10" s="15">
        <f t="shared" si="5"/>
        <v>0</v>
      </c>
      <c r="P10" s="15">
        <f t="shared" si="6"/>
        <v>0</v>
      </c>
      <c r="Q10" s="15">
        <f t="shared" si="7"/>
        <v>0</v>
      </c>
      <c r="R10" s="17">
        <f t="shared" si="8"/>
        <v>0</v>
      </c>
      <c r="S10" s="17">
        <f t="shared" si="8"/>
        <v>0</v>
      </c>
      <c r="T10" s="16">
        <f t="shared" si="0"/>
        <v>0</v>
      </c>
      <c r="U10" s="35">
        <v>2.4710000000000001</v>
      </c>
      <c r="V10" s="35"/>
      <c r="W10" s="38"/>
      <c r="X10" s="2"/>
      <c r="Y10" s="2"/>
      <c r="Z10" s="39"/>
      <c r="AA10" s="2"/>
    </row>
    <row r="11" spans="1:27" x14ac:dyDescent="0.45">
      <c r="A11" s="59"/>
      <c r="B11" s="22" t="s">
        <v>21</v>
      </c>
      <c r="C11" s="22">
        <v>7</v>
      </c>
      <c r="D11" s="22">
        <v>2.7170999999999998</v>
      </c>
      <c r="E11" s="22">
        <v>100</v>
      </c>
      <c r="F11" s="22">
        <v>2.9165000000000001</v>
      </c>
      <c r="G11" s="9">
        <f t="shared" si="1"/>
        <v>900</v>
      </c>
      <c r="H11" s="22">
        <v>3.5383</v>
      </c>
      <c r="I11" s="19">
        <f t="shared" si="2"/>
        <v>0.19940000000000024</v>
      </c>
      <c r="J11" s="19">
        <f t="shared" si="3"/>
        <v>0.62179999999999991</v>
      </c>
      <c r="K11" s="19">
        <f t="shared" si="4"/>
        <v>0.82120000000000015</v>
      </c>
      <c r="L11" s="26"/>
      <c r="M11" s="26"/>
      <c r="N11" s="20"/>
      <c r="O11" s="50">
        <f t="shared" si="5"/>
        <v>0</v>
      </c>
      <c r="P11" s="50">
        <f t="shared" si="6"/>
        <v>0</v>
      </c>
      <c r="Q11" s="50">
        <f t="shared" si="7"/>
        <v>0</v>
      </c>
      <c r="R11" s="51">
        <f t="shared" si="8"/>
        <v>0</v>
      </c>
      <c r="S11" s="51">
        <f t="shared" si="8"/>
        <v>0</v>
      </c>
      <c r="T11" s="52">
        <f t="shared" si="0"/>
        <v>0</v>
      </c>
      <c r="U11" s="2">
        <v>97.439700000000002</v>
      </c>
      <c r="V11" s="2"/>
      <c r="W11" s="38">
        <f>AVERAGE(R11:R12)/100</f>
        <v>0</v>
      </c>
      <c r="X11" s="2">
        <f>AVERAGE(S11:S12)/100</f>
        <v>0</v>
      </c>
      <c r="Y11" s="2">
        <f>AVERAGE(T11:T12)/100</f>
        <v>0</v>
      </c>
      <c r="Z11" s="39">
        <f t="shared" ref="Z11" si="11">AVERAGE(U11:V12)/100</f>
        <v>0.98189899999999997</v>
      </c>
      <c r="AA11" s="2">
        <f t="shared" si="9"/>
        <v>0.98189899999999997</v>
      </c>
    </row>
    <row r="12" spans="1:27" x14ac:dyDescent="0.45">
      <c r="A12" s="59"/>
      <c r="B12" s="22" t="s">
        <v>21</v>
      </c>
      <c r="C12" s="22">
        <v>8</v>
      </c>
      <c r="D12" s="22">
        <v>2.7208000000000001</v>
      </c>
      <c r="E12" s="22">
        <v>100</v>
      </c>
      <c r="F12" s="22">
        <v>2.9277000000000002</v>
      </c>
      <c r="G12" s="9">
        <f t="shared" si="1"/>
        <v>900</v>
      </c>
      <c r="H12" s="22">
        <v>3.5449000000000002</v>
      </c>
      <c r="I12" s="19">
        <f t="shared" si="2"/>
        <v>0.20690000000000008</v>
      </c>
      <c r="J12" s="19">
        <f t="shared" si="3"/>
        <v>0.61719999999999997</v>
      </c>
      <c r="K12" s="19">
        <f t="shared" si="4"/>
        <v>0.82410000000000005</v>
      </c>
      <c r="L12" s="20"/>
      <c r="M12" s="20"/>
      <c r="N12" s="20"/>
      <c r="O12" s="50">
        <f t="shared" si="5"/>
        <v>0</v>
      </c>
      <c r="P12" s="50">
        <f t="shared" si="6"/>
        <v>0</v>
      </c>
      <c r="Q12" s="50">
        <f t="shared" si="7"/>
        <v>0</v>
      </c>
      <c r="R12" s="51">
        <f t="shared" si="8"/>
        <v>0</v>
      </c>
      <c r="S12" s="51">
        <f t="shared" si="8"/>
        <v>0</v>
      </c>
      <c r="T12" s="52">
        <f t="shared" si="0"/>
        <v>0</v>
      </c>
      <c r="U12" s="2">
        <v>98.940100000000001</v>
      </c>
      <c r="V12" s="2"/>
      <c r="W12" s="38"/>
      <c r="X12" s="2"/>
      <c r="Y12" s="2"/>
      <c r="Z12" s="39"/>
      <c r="AA12" s="2"/>
    </row>
    <row r="13" spans="1:27" x14ac:dyDescent="0.45">
      <c r="A13" s="59" t="s">
        <v>24</v>
      </c>
      <c r="B13" s="10" t="s">
        <v>20</v>
      </c>
      <c r="C13" s="11">
        <v>9</v>
      </c>
      <c r="D13" s="10">
        <v>2.8184</v>
      </c>
      <c r="E13" s="10">
        <v>300</v>
      </c>
      <c r="F13" s="11">
        <v>2.9998999999999998</v>
      </c>
      <c r="G13" s="10">
        <f t="shared" si="1"/>
        <v>700</v>
      </c>
      <c r="H13" s="11">
        <v>3.6118999999999999</v>
      </c>
      <c r="I13" s="13">
        <f t="shared" si="2"/>
        <v>0.18149999999999977</v>
      </c>
      <c r="J13" s="13">
        <f t="shared" si="3"/>
        <v>0.6120000000000001</v>
      </c>
      <c r="K13" s="13">
        <f t="shared" si="4"/>
        <v>0.79349999999999987</v>
      </c>
      <c r="L13" s="14"/>
      <c r="M13" s="14"/>
      <c r="N13" s="14"/>
      <c r="O13" s="15">
        <f t="shared" si="5"/>
        <v>0</v>
      </c>
      <c r="P13" s="15">
        <f t="shared" si="6"/>
        <v>0</v>
      </c>
      <c r="Q13" s="15">
        <f t="shared" si="7"/>
        <v>0</v>
      </c>
      <c r="R13" s="17">
        <f t="shared" si="8"/>
        <v>0</v>
      </c>
      <c r="S13" s="17">
        <f t="shared" si="8"/>
        <v>0</v>
      </c>
      <c r="T13" s="16">
        <f t="shared" si="0"/>
        <v>0</v>
      </c>
      <c r="U13" s="35">
        <v>4.4629000000000003</v>
      </c>
      <c r="V13" s="35"/>
      <c r="W13" s="36">
        <f>AVERAGE(R13:R14)/100</f>
        <v>0</v>
      </c>
      <c r="X13" s="35">
        <f>AVERAGE(S13:S14)/100</f>
        <v>0</v>
      </c>
      <c r="Y13" s="35">
        <f>AVERAGE(T13:T14)/100</f>
        <v>0</v>
      </c>
      <c r="Z13" s="37">
        <f t="shared" ref="Z13" si="12">AVERAGE(U13:V14)/100</f>
        <v>4.4105000000000005E-2</v>
      </c>
      <c r="AA13" s="2">
        <f t="shared" si="9"/>
        <v>4.4105000000000005E-2</v>
      </c>
    </row>
    <row r="14" spans="1:27" x14ac:dyDescent="0.45">
      <c r="A14" s="59"/>
      <c r="B14" s="10" t="s">
        <v>20</v>
      </c>
      <c r="C14" s="11">
        <v>10</v>
      </c>
      <c r="D14" s="11">
        <v>2.6974999999999998</v>
      </c>
      <c r="E14" s="11">
        <v>300</v>
      </c>
      <c r="F14" s="11">
        <v>2.8957999999999999</v>
      </c>
      <c r="G14" s="10">
        <f t="shared" si="1"/>
        <v>700</v>
      </c>
      <c r="H14" s="11">
        <v>3.5457999999999998</v>
      </c>
      <c r="I14" s="13">
        <f t="shared" si="2"/>
        <v>0.19830000000000014</v>
      </c>
      <c r="J14" s="13">
        <f t="shared" si="3"/>
        <v>0.64999999999999991</v>
      </c>
      <c r="K14" s="13">
        <f t="shared" si="4"/>
        <v>0.84830000000000005</v>
      </c>
      <c r="L14" s="14"/>
      <c r="M14" s="14"/>
      <c r="N14" s="14"/>
      <c r="O14" s="15">
        <f t="shared" si="5"/>
        <v>0</v>
      </c>
      <c r="P14" s="15">
        <f t="shared" si="6"/>
        <v>0</v>
      </c>
      <c r="Q14" s="15">
        <f t="shared" si="7"/>
        <v>0</v>
      </c>
      <c r="R14" s="17">
        <f t="shared" si="8"/>
        <v>0</v>
      </c>
      <c r="S14" s="17">
        <f t="shared" si="8"/>
        <v>0</v>
      </c>
      <c r="T14" s="16">
        <f t="shared" si="0"/>
        <v>0</v>
      </c>
      <c r="U14" s="35">
        <v>4.3581000000000003</v>
      </c>
      <c r="V14" s="35"/>
      <c r="W14" s="38"/>
      <c r="X14" s="2"/>
      <c r="Y14" s="2"/>
      <c r="Z14" s="39"/>
      <c r="AA14" s="2"/>
    </row>
    <row r="15" spans="1:27" x14ac:dyDescent="0.45">
      <c r="A15" s="59"/>
      <c r="B15" s="22" t="s">
        <v>21</v>
      </c>
      <c r="C15" s="22">
        <v>11</v>
      </c>
      <c r="D15" s="22">
        <v>2.7637</v>
      </c>
      <c r="E15" s="22">
        <v>100</v>
      </c>
      <c r="F15" s="22">
        <v>2.9687000000000001</v>
      </c>
      <c r="G15" s="9">
        <f t="shared" si="1"/>
        <v>900</v>
      </c>
      <c r="H15" s="22">
        <v>3.6076000000000001</v>
      </c>
      <c r="I15" s="19">
        <f t="shared" si="2"/>
        <v>0.20500000000000007</v>
      </c>
      <c r="J15" s="19">
        <f t="shared" si="3"/>
        <v>0.63890000000000002</v>
      </c>
      <c r="K15" s="19">
        <f t="shared" si="4"/>
        <v>0.84390000000000009</v>
      </c>
      <c r="L15" s="20"/>
      <c r="M15" s="20"/>
      <c r="N15" s="27"/>
      <c r="O15" s="50">
        <f t="shared" si="5"/>
        <v>0</v>
      </c>
      <c r="P15" s="50">
        <f t="shared" si="6"/>
        <v>0</v>
      </c>
      <c r="Q15" s="50">
        <f t="shared" si="7"/>
        <v>0</v>
      </c>
      <c r="R15" s="51">
        <f t="shared" si="8"/>
        <v>0</v>
      </c>
      <c r="S15" s="51">
        <f t="shared" si="8"/>
        <v>0</v>
      </c>
      <c r="T15" s="52">
        <f t="shared" si="0"/>
        <v>0</v>
      </c>
      <c r="U15" s="2">
        <v>99.730900000000005</v>
      </c>
      <c r="V15" s="2"/>
      <c r="W15" s="38">
        <f>AVERAGE(R15:R16)/100</f>
        <v>0</v>
      </c>
      <c r="X15" s="2">
        <f>AVERAGE(S15:S16)/100</f>
        <v>0</v>
      </c>
      <c r="Y15" s="2">
        <f>AVERAGE(T15:T16)/100</f>
        <v>0</v>
      </c>
      <c r="Z15" s="39">
        <f t="shared" ref="Z15" si="13">AVERAGE(U15:V16)/100</f>
        <v>0.99393650000000011</v>
      </c>
      <c r="AA15" s="2">
        <f t="shared" si="9"/>
        <v>0.99393650000000011</v>
      </c>
    </row>
    <row r="16" spans="1:27" x14ac:dyDescent="0.45">
      <c r="A16" s="59"/>
      <c r="B16" s="22" t="s">
        <v>21</v>
      </c>
      <c r="C16" s="22">
        <v>12</v>
      </c>
      <c r="D16" s="22">
        <v>2.7027999999999999</v>
      </c>
      <c r="E16" s="22">
        <v>100</v>
      </c>
      <c r="F16" s="22">
        <v>2.9102000000000001</v>
      </c>
      <c r="G16" s="9">
        <f t="shared" si="1"/>
        <v>900</v>
      </c>
      <c r="H16" s="22">
        <v>3.5749</v>
      </c>
      <c r="I16" s="19">
        <f t="shared" si="2"/>
        <v>0.20740000000000025</v>
      </c>
      <c r="J16" s="19">
        <f t="shared" si="3"/>
        <v>0.66469999999999985</v>
      </c>
      <c r="K16" s="19">
        <f t="shared" si="4"/>
        <v>0.8721000000000001</v>
      </c>
      <c r="L16" s="20"/>
      <c r="M16" s="20"/>
      <c r="N16" s="20"/>
      <c r="O16" s="50">
        <f t="shared" si="5"/>
        <v>0</v>
      </c>
      <c r="P16" s="50">
        <f t="shared" si="6"/>
        <v>0</v>
      </c>
      <c r="Q16" s="50">
        <f t="shared" si="7"/>
        <v>0</v>
      </c>
      <c r="R16" s="51">
        <f t="shared" si="8"/>
        <v>0</v>
      </c>
      <c r="S16" s="51">
        <f t="shared" si="8"/>
        <v>0</v>
      </c>
      <c r="T16" s="52">
        <f t="shared" si="0"/>
        <v>0</v>
      </c>
      <c r="U16" s="2">
        <v>99.056399999999996</v>
      </c>
      <c r="V16" s="2"/>
      <c r="W16" s="38"/>
      <c r="X16" s="2"/>
      <c r="Y16" s="2"/>
      <c r="Z16" s="39"/>
      <c r="AA16" s="2"/>
    </row>
    <row r="17" spans="1:27" x14ac:dyDescent="0.45">
      <c r="A17" s="59" t="s">
        <v>25</v>
      </c>
      <c r="B17" s="10" t="s">
        <v>20</v>
      </c>
      <c r="C17" s="11">
        <v>13</v>
      </c>
      <c r="D17" s="10">
        <v>2.7303999999999999</v>
      </c>
      <c r="E17" s="10">
        <v>300</v>
      </c>
      <c r="F17" s="11">
        <v>2.9163000000000001</v>
      </c>
      <c r="G17" s="10">
        <f t="shared" si="1"/>
        <v>700</v>
      </c>
      <c r="H17" s="11">
        <v>3.4647000000000001</v>
      </c>
      <c r="I17" s="13">
        <f t="shared" si="2"/>
        <v>0.18590000000000018</v>
      </c>
      <c r="J17" s="13">
        <f t="shared" si="3"/>
        <v>0.5484</v>
      </c>
      <c r="K17" s="13">
        <f t="shared" si="4"/>
        <v>0.73430000000000017</v>
      </c>
      <c r="L17" s="14"/>
      <c r="M17" s="14"/>
      <c r="N17" s="14"/>
      <c r="O17" s="15">
        <f t="shared" si="5"/>
        <v>0</v>
      </c>
      <c r="P17" s="15">
        <f t="shared" si="6"/>
        <v>0</v>
      </c>
      <c r="Q17" s="15">
        <f t="shared" si="7"/>
        <v>0</v>
      </c>
      <c r="R17" s="17">
        <f t="shared" si="8"/>
        <v>0</v>
      </c>
      <c r="S17" s="17">
        <f t="shared" si="8"/>
        <v>0</v>
      </c>
      <c r="T17" s="16">
        <f t="shared" si="0"/>
        <v>0</v>
      </c>
      <c r="U17" s="35">
        <v>3.3914</v>
      </c>
      <c r="V17" s="35"/>
      <c r="W17" s="38">
        <f>AVERAGE(R17:R18)/100</f>
        <v>0</v>
      </c>
      <c r="X17" s="2">
        <f>AVERAGE(S17:S18)/100</f>
        <v>0</v>
      </c>
      <c r="Y17" s="2">
        <f>AVERAGE(T17:T18)/100</f>
        <v>0</v>
      </c>
      <c r="Z17" s="39">
        <f t="shared" ref="Z17" si="14">AVERAGE(U17:V18)/100</f>
        <v>3.3411499999999997E-2</v>
      </c>
      <c r="AA17" s="2">
        <f t="shared" si="9"/>
        <v>3.3411499999999997E-2</v>
      </c>
    </row>
    <row r="18" spans="1:27" x14ac:dyDescent="0.45">
      <c r="A18" s="59"/>
      <c r="B18" s="11" t="s">
        <v>20</v>
      </c>
      <c r="C18" s="11">
        <v>14</v>
      </c>
      <c r="D18" s="11">
        <v>2.7801</v>
      </c>
      <c r="E18" s="11">
        <v>300</v>
      </c>
      <c r="F18" s="11">
        <v>2.9754999999999998</v>
      </c>
      <c r="G18" s="10">
        <f t="shared" si="1"/>
        <v>700</v>
      </c>
      <c r="H18" s="11">
        <v>3.5430000000000001</v>
      </c>
      <c r="I18" s="13">
        <f t="shared" si="2"/>
        <v>0.1953999999999998</v>
      </c>
      <c r="J18" s="13">
        <f t="shared" si="3"/>
        <v>0.56750000000000034</v>
      </c>
      <c r="K18" s="13">
        <f t="shared" si="4"/>
        <v>0.76290000000000013</v>
      </c>
      <c r="L18" s="14"/>
      <c r="M18" s="14"/>
      <c r="N18" s="14"/>
      <c r="O18" s="15">
        <f t="shared" si="5"/>
        <v>0</v>
      </c>
      <c r="P18" s="15">
        <f t="shared" si="6"/>
        <v>0</v>
      </c>
      <c r="Q18" s="15">
        <f t="shared" si="7"/>
        <v>0</v>
      </c>
      <c r="R18" s="17">
        <f t="shared" si="8"/>
        <v>0</v>
      </c>
      <c r="S18" s="17">
        <f t="shared" si="8"/>
        <v>0</v>
      </c>
      <c r="T18" s="16">
        <f t="shared" si="0"/>
        <v>0</v>
      </c>
      <c r="U18" s="35">
        <v>3.2909000000000002</v>
      </c>
      <c r="V18" s="35"/>
      <c r="W18" s="38"/>
      <c r="X18" s="2"/>
      <c r="Y18" s="2"/>
      <c r="Z18" s="39"/>
      <c r="AA18" s="2"/>
    </row>
    <row r="19" spans="1:27" x14ac:dyDescent="0.45">
      <c r="A19" s="59"/>
      <c r="B19" s="22" t="s">
        <v>21</v>
      </c>
      <c r="C19" s="22">
        <v>15</v>
      </c>
      <c r="D19" s="22">
        <v>2.7360000000000002</v>
      </c>
      <c r="E19" s="22">
        <v>100</v>
      </c>
      <c r="F19" s="22">
        <v>2.9398</v>
      </c>
      <c r="G19" s="9">
        <f t="shared" si="1"/>
        <v>900</v>
      </c>
      <c r="H19" s="22">
        <v>3.5196999999999998</v>
      </c>
      <c r="I19" s="19">
        <f t="shared" si="2"/>
        <v>0.20379999999999976</v>
      </c>
      <c r="J19" s="19">
        <f t="shared" si="3"/>
        <v>0.57989999999999986</v>
      </c>
      <c r="K19" s="19">
        <f t="shared" si="4"/>
        <v>0.78369999999999962</v>
      </c>
      <c r="L19" s="20"/>
      <c r="M19" s="20"/>
      <c r="N19" s="20"/>
      <c r="O19" s="50">
        <f t="shared" si="5"/>
        <v>0</v>
      </c>
      <c r="P19" s="50">
        <f t="shared" si="6"/>
        <v>0</v>
      </c>
      <c r="Q19" s="50">
        <f t="shared" si="7"/>
        <v>0</v>
      </c>
      <c r="R19" s="51">
        <f t="shared" si="8"/>
        <v>0</v>
      </c>
      <c r="S19" s="51">
        <f t="shared" si="8"/>
        <v>0</v>
      </c>
      <c r="T19" s="52">
        <f t="shared" si="0"/>
        <v>0</v>
      </c>
      <c r="U19" s="2">
        <v>98.249499999999998</v>
      </c>
      <c r="V19" s="2"/>
      <c r="W19" s="38">
        <f>AVERAGE(R19:R20)/100</f>
        <v>0</v>
      </c>
      <c r="X19" s="2">
        <f>AVERAGE(S19:S20)/100</f>
        <v>0</v>
      </c>
      <c r="Y19" s="2">
        <f>AVERAGE(T19:T20)/100</f>
        <v>0</v>
      </c>
      <c r="Z19" s="39">
        <f t="shared" ref="Z19" si="15">AVERAGE(U19:V20)/100</f>
        <v>0.98819249999999992</v>
      </c>
      <c r="AA19" s="2">
        <f t="shared" si="9"/>
        <v>0.98819249999999992</v>
      </c>
    </row>
    <row r="20" spans="1:27" x14ac:dyDescent="0.45">
      <c r="A20" s="59"/>
      <c r="B20" s="22" t="s">
        <v>21</v>
      </c>
      <c r="C20" s="22">
        <v>16</v>
      </c>
      <c r="D20" s="22">
        <v>2.7440000000000002</v>
      </c>
      <c r="E20" s="22">
        <v>100</v>
      </c>
      <c r="F20" s="22">
        <v>2.9481000000000002</v>
      </c>
      <c r="G20" s="9">
        <f t="shared" si="1"/>
        <v>900</v>
      </c>
      <c r="H20" s="22">
        <v>3.5278</v>
      </c>
      <c r="I20" s="19">
        <f t="shared" si="2"/>
        <v>0.20409999999999995</v>
      </c>
      <c r="J20" s="19">
        <f t="shared" si="3"/>
        <v>0.57969999999999988</v>
      </c>
      <c r="K20" s="19">
        <f t="shared" si="4"/>
        <v>0.78379999999999983</v>
      </c>
      <c r="L20" s="20"/>
      <c r="M20" s="20"/>
      <c r="N20" s="20"/>
      <c r="O20" s="50">
        <f t="shared" si="5"/>
        <v>0</v>
      </c>
      <c r="P20" s="50">
        <f t="shared" si="6"/>
        <v>0</v>
      </c>
      <c r="Q20" s="50">
        <f t="shared" si="7"/>
        <v>0</v>
      </c>
      <c r="R20" s="51">
        <f t="shared" si="8"/>
        <v>0</v>
      </c>
      <c r="S20" s="51">
        <f t="shared" si="8"/>
        <v>0</v>
      </c>
      <c r="T20" s="52">
        <f t="shared" si="0"/>
        <v>0</v>
      </c>
      <c r="U20" s="2">
        <v>99.388999999999996</v>
      </c>
      <c r="V20" s="2"/>
      <c r="W20" s="38"/>
      <c r="X20" s="2"/>
      <c r="Y20" s="2"/>
      <c r="Z20" s="39"/>
      <c r="AA20" s="2"/>
    </row>
    <row r="21" spans="1:27" x14ac:dyDescent="0.45">
      <c r="A21" s="59" t="s">
        <v>26</v>
      </c>
      <c r="B21" s="10" t="s">
        <v>20</v>
      </c>
      <c r="C21" s="11">
        <v>17</v>
      </c>
      <c r="D21" s="10">
        <v>2.7303000000000002</v>
      </c>
      <c r="E21" s="10">
        <v>300</v>
      </c>
      <c r="F21" s="11">
        <v>2.9152</v>
      </c>
      <c r="G21" s="10">
        <f t="shared" si="1"/>
        <v>700</v>
      </c>
      <c r="H21" s="11">
        <v>3.4771999999999998</v>
      </c>
      <c r="I21" s="13">
        <f t="shared" si="2"/>
        <v>0.18489999999999984</v>
      </c>
      <c r="J21" s="13">
        <f t="shared" si="3"/>
        <v>0.56199999999999983</v>
      </c>
      <c r="K21" s="13">
        <f t="shared" si="4"/>
        <v>0.74689999999999968</v>
      </c>
      <c r="L21" s="14"/>
      <c r="M21" s="14"/>
      <c r="N21" s="14"/>
      <c r="O21" s="15">
        <f t="shared" si="5"/>
        <v>0</v>
      </c>
      <c r="P21" s="15">
        <f t="shared" si="6"/>
        <v>0</v>
      </c>
      <c r="Q21" s="15">
        <f t="shared" si="7"/>
        <v>0</v>
      </c>
      <c r="R21" s="17">
        <f t="shared" si="8"/>
        <v>0</v>
      </c>
      <c r="S21" s="17">
        <f t="shared" si="8"/>
        <v>0</v>
      </c>
      <c r="T21" s="16">
        <f t="shared" si="0"/>
        <v>0</v>
      </c>
      <c r="U21" s="35">
        <v>5.883</v>
      </c>
      <c r="V21" s="35"/>
      <c r="W21" s="36">
        <f>AVERAGE(R21:R22)/100</f>
        <v>0</v>
      </c>
      <c r="X21" s="35">
        <f>AVERAGE(S21:S22)/100</f>
        <v>0</v>
      </c>
      <c r="Y21" s="35">
        <f>AVERAGE(T21:T22)/100</f>
        <v>0</v>
      </c>
      <c r="Z21" s="37">
        <f t="shared" ref="Z21" si="16">AVERAGE(U21:V22)/100</f>
        <v>5.8100000000000006E-2</v>
      </c>
      <c r="AA21" s="2">
        <f t="shared" si="9"/>
        <v>5.8100000000000006E-2</v>
      </c>
    </row>
    <row r="22" spans="1:27" x14ac:dyDescent="0.45">
      <c r="A22" s="59"/>
      <c r="B22" s="11" t="s">
        <v>20</v>
      </c>
      <c r="C22" s="11">
        <v>18</v>
      </c>
      <c r="D22" s="11">
        <v>2.7637999999999998</v>
      </c>
      <c r="E22" s="11">
        <v>300</v>
      </c>
      <c r="F22" s="11">
        <v>2.9464000000000001</v>
      </c>
      <c r="G22" s="10">
        <f t="shared" si="1"/>
        <v>700</v>
      </c>
      <c r="H22" s="11">
        <v>3.5158</v>
      </c>
      <c r="I22" s="13">
        <f t="shared" si="2"/>
        <v>0.18260000000000032</v>
      </c>
      <c r="J22" s="13">
        <f t="shared" si="3"/>
        <v>0.56939999999999991</v>
      </c>
      <c r="K22" s="13">
        <f t="shared" si="4"/>
        <v>0.75200000000000022</v>
      </c>
      <c r="L22" s="14"/>
      <c r="M22" s="14"/>
      <c r="N22" s="14"/>
      <c r="O22" s="15">
        <f t="shared" si="5"/>
        <v>0</v>
      </c>
      <c r="P22" s="15">
        <f t="shared" si="6"/>
        <v>0</v>
      </c>
      <c r="Q22" s="15">
        <f t="shared" si="7"/>
        <v>0</v>
      </c>
      <c r="R22" s="17">
        <f t="shared" si="8"/>
        <v>0</v>
      </c>
      <c r="S22" s="17">
        <f t="shared" si="8"/>
        <v>0</v>
      </c>
      <c r="T22" s="16">
        <f t="shared" si="0"/>
        <v>0</v>
      </c>
      <c r="U22" s="35">
        <v>5.7370000000000001</v>
      </c>
      <c r="V22" s="35"/>
      <c r="W22" s="38"/>
      <c r="X22" s="2"/>
      <c r="Y22" s="2"/>
      <c r="Z22" s="39"/>
      <c r="AA22" s="2"/>
    </row>
    <row r="23" spans="1:27" x14ac:dyDescent="0.45">
      <c r="A23" s="59"/>
      <c r="B23" s="22" t="s">
        <v>21</v>
      </c>
      <c r="C23" s="22">
        <v>19</v>
      </c>
      <c r="D23" s="22">
        <v>2.7480000000000002</v>
      </c>
      <c r="E23" s="22">
        <v>100</v>
      </c>
      <c r="F23" s="22">
        <v>2.9478</v>
      </c>
      <c r="G23" s="9">
        <f t="shared" si="1"/>
        <v>900</v>
      </c>
      <c r="H23" s="22">
        <v>3.5236999999999998</v>
      </c>
      <c r="I23" s="19">
        <f t="shared" si="2"/>
        <v>0.19979999999999976</v>
      </c>
      <c r="J23" s="19">
        <f t="shared" si="3"/>
        <v>0.57589999999999986</v>
      </c>
      <c r="K23" s="19">
        <f t="shared" si="4"/>
        <v>0.77569999999999961</v>
      </c>
      <c r="L23" s="20"/>
      <c r="M23" s="20"/>
      <c r="N23" s="20"/>
      <c r="O23" s="50">
        <f t="shared" si="5"/>
        <v>0</v>
      </c>
      <c r="P23" s="50">
        <f t="shared" si="6"/>
        <v>0</v>
      </c>
      <c r="Q23" s="50">
        <f t="shared" si="7"/>
        <v>0</v>
      </c>
      <c r="R23" s="51">
        <f t="shared" si="8"/>
        <v>0</v>
      </c>
      <c r="S23" s="51">
        <f t="shared" si="8"/>
        <v>0</v>
      </c>
      <c r="T23" s="52">
        <f t="shared" si="0"/>
        <v>0</v>
      </c>
      <c r="U23" s="2">
        <v>98.2209</v>
      </c>
      <c r="V23" s="2"/>
      <c r="W23" s="38">
        <f>AVERAGE(R23:R24)/100</f>
        <v>0</v>
      </c>
      <c r="X23" s="2">
        <f>AVERAGE(S23:S24)/100</f>
        <v>0</v>
      </c>
      <c r="Y23" s="2">
        <f>AVERAGE(T23:T24)/100</f>
        <v>0</v>
      </c>
      <c r="Z23" s="39">
        <f t="shared" ref="Z23" si="17">AVERAGE(U23:V24)/100</f>
        <v>0.9787094999999999</v>
      </c>
      <c r="AA23" s="2">
        <f t="shared" si="9"/>
        <v>0.9787094999999999</v>
      </c>
    </row>
    <row r="24" spans="1:27" ht="14.65" thickBot="1" x14ac:dyDescent="0.5">
      <c r="A24" s="59"/>
      <c r="B24" s="22" t="s">
        <v>21</v>
      </c>
      <c r="C24" s="22">
        <v>20</v>
      </c>
      <c r="D24" s="22">
        <v>2.7551999999999999</v>
      </c>
      <c r="E24" s="22">
        <v>100</v>
      </c>
      <c r="F24" s="22">
        <v>2.9607999999999999</v>
      </c>
      <c r="G24" s="9">
        <f t="shared" si="1"/>
        <v>900</v>
      </c>
      <c r="H24" s="22">
        <v>3.5478999999999998</v>
      </c>
      <c r="I24" s="19">
        <f t="shared" si="2"/>
        <v>0.2056</v>
      </c>
      <c r="J24" s="19">
        <f t="shared" si="3"/>
        <v>0.58709999999999996</v>
      </c>
      <c r="K24" s="19">
        <f t="shared" si="4"/>
        <v>0.79269999999999996</v>
      </c>
      <c r="L24" s="20"/>
      <c r="M24" s="20"/>
      <c r="N24" s="20"/>
      <c r="O24" s="50">
        <f t="shared" si="5"/>
        <v>0</v>
      </c>
      <c r="P24" s="50">
        <f t="shared" si="6"/>
        <v>0</v>
      </c>
      <c r="Q24" s="50">
        <f t="shared" si="7"/>
        <v>0</v>
      </c>
      <c r="R24" s="51">
        <f t="shared" si="8"/>
        <v>0</v>
      </c>
      <c r="S24" s="51">
        <f t="shared" si="8"/>
        <v>0</v>
      </c>
      <c r="T24" s="52">
        <f t="shared" si="0"/>
        <v>0</v>
      </c>
      <c r="U24" s="40">
        <v>97.521000000000001</v>
      </c>
      <c r="V24" s="40"/>
      <c r="W24" s="41"/>
      <c r="X24" s="40"/>
      <c r="Y24" s="40"/>
      <c r="Z24" s="42"/>
      <c r="AA24" s="2"/>
    </row>
  </sheetData>
  <mergeCells count="8">
    <mergeCell ref="U3:V3"/>
    <mergeCell ref="A21:A24"/>
    <mergeCell ref="O3:Q3"/>
    <mergeCell ref="R3:T3"/>
    <mergeCell ref="A5:A8"/>
    <mergeCell ref="A9:A12"/>
    <mergeCell ref="A13:A16"/>
    <mergeCell ref="A17:A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2825-2CCF-422F-A731-B88C0B93043E}">
  <sheetPr>
    <tabColor theme="7"/>
  </sheetPr>
  <dimension ref="A1:AA24"/>
  <sheetViews>
    <sheetView topLeftCell="E1" workbookViewId="0">
      <selection activeCell="O3" sqref="O3:Q3"/>
    </sheetView>
  </sheetViews>
  <sheetFormatPr defaultRowHeight="14.25" x14ac:dyDescent="0.45"/>
  <cols>
    <col min="4" max="4" width="8.33203125" customWidth="1"/>
    <col min="5" max="5" width="10.53125" customWidth="1"/>
    <col min="6" max="6" width="13.59765625" customWidth="1"/>
    <col min="7" max="7" width="10.6640625" style="2" customWidth="1"/>
    <col min="8" max="8" width="12.73046875" bestFit="1" customWidth="1"/>
    <col min="12" max="12" width="10.46484375" bestFit="1" customWidth="1"/>
    <col min="13" max="13" width="10.46484375" customWidth="1"/>
    <col min="14" max="14" width="12.59765625" bestFit="1" customWidth="1"/>
    <col min="15" max="15" width="11.1328125" bestFit="1" customWidth="1"/>
    <col min="16" max="16" width="11.1328125" customWidth="1"/>
    <col min="17" max="17" width="13.6640625" bestFit="1" customWidth="1"/>
    <col min="18" max="18" width="11.1328125" bestFit="1" customWidth="1"/>
    <col min="19" max="19" width="11.1328125" customWidth="1"/>
    <col min="20" max="20" width="13.6640625" bestFit="1" customWidth="1"/>
    <col min="21" max="22" width="9.53125" customWidth="1"/>
  </cols>
  <sheetData>
    <row r="1" spans="1:27" ht="28.9" thickBot="1" x14ac:dyDescent="0.9">
      <c r="F1" s="47" t="s">
        <v>44</v>
      </c>
      <c r="G1" s="47" t="s">
        <v>48</v>
      </c>
    </row>
    <row r="2" spans="1:27" ht="14.65" thickBot="1" x14ac:dyDescent="0.5">
      <c r="E2" t="s">
        <v>5</v>
      </c>
      <c r="F2">
        <v>187.3142</v>
      </c>
      <c r="G2">
        <v>176.38489999999999</v>
      </c>
      <c r="H2" s="1"/>
    </row>
    <row r="3" spans="1:27" ht="14.65" thickBot="1" x14ac:dyDescent="0.5">
      <c r="M3" t="s">
        <v>60</v>
      </c>
      <c r="N3" t="s">
        <v>65</v>
      </c>
      <c r="O3" s="60" t="s">
        <v>6</v>
      </c>
      <c r="P3" s="61"/>
      <c r="Q3" s="62"/>
      <c r="R3" s="61" t="s">
        <v>7</v>
      </c>
      <c r="S3" s="61"/>
      <c r="T3" s="62"/>
      <c r="U3" s="63" t="s">
        <v>46</v>
      </c>
      <c r="V3" s="64"/>
    </row>
    <row r="4" spans="1:27" ht="14.65" thickBot="1" x14ac:dyDescent="0.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42</v>
      </c>
      <c r="H4" s="3" t="s">
        <v>14</v>
      </c>
      <c r="I4" s="4" t="s">
        <v>15</v>
      </c>
      <c r="J4" s="4" t="s">
        <v>43</v>
      </c>
      <c r="K4" s="4" t="s">
        <v>16</v>
      </c>
      <c r="L4" s="4" t="s">
        <v>17</v>
      </c>
      <c r="M4" s="48" t="s">
        <v>63</v>
      </c>
      <c r="N4" s="5" t="s">
        <v>55</v>
      </c>
      <c r="O4" s="31" t="s">
        <v>45</v>
      </c>
      <c r="P4" s="49" t="s">
        <v>56</v>
      </c>
      <c r="Q4" s="32" t="s">
        <v>57</v>
      </c>
      <c r="R4" s="31" t="s">
        <v>45</v>
      </c>
      <c r="S4" s="49" t="s">
        <v>56</v>
      </c>
      <c r="T4" s="32" t="s">
        <v>57</v>
      </c>
      <c r="U4" s="7">
        <v>1</v>
      </c>
      <c r="V4" s="7">
        <v>2</v>
      </c>
      <c r="W4" s="6" t="s">
        <v>18</v>
      </c>
      <c r="X4" s="7" t="s">
        <v>58</v>
      </c>
      <c r="Y4" s="7" t="s">
        <v>59</v>
      </c>
      <c r="Z4" s="8" t="s">
        <v>19</v>
      </c>
    </row>
    <row r="5" spans="1:27" x14ac:dyDescent="0.45">
      <c r="A5" s="59" t="s">
        <v>27</v>
      </c>
      <c r="B5" s="10" t="s">
        <v>20</v>
      </c>
      <c r="C5" s="11">
        <v>1</v>
      </c>
      <c r="D5" s="12">
        <v>2.7012999999999998</v>
      </c>
      <c r="E5" s="10">
        <v>300</v>
      </c>
      <c r="F5" s="11">
        <v>2.8199000000000001</v>
      </c>
      <c r="G5" s="10">
        <f>1000-E5</f>
        <v>700</v>
      </c>
      <c r="H5" s="11">
        <v>3.3725999999999998</v>
      </c>
      <c r="I5" s="13">
        <f>F5-D5</f>
        <v>0.11860000000000026</v>
      </c>
      <c r="J5" s="13">
        <f>H5-F5</f>
        <v>0.55269999999999975</v>
      </c>
      <c r="K5" s="13">
        <f>J5+I5</f>
        <v>0.67130000000000001</v>
      </c>
      <c r="L5" s="14"/>
      <c r="M5" s="14"/>
      <c r="N5" s="14"/>
      <c r="O5" s="15">
        <f>L5/$F$2</f>
        <v>0</v>
      </c>
      <c r="P5" s="54"/>
      <c r="Q5" s="16">
        <f>N5/$G$2</f>
        <v>0</v>
      </c>
      <c r="R5" s="17">
        <f t="shared" ref="R5:R24" si="0">O5*$K5/$I5</f>
        <v>0</v>
      </c>
      <c r="S5" s="54"/>
      <c r="T5" s="16">
        <f t="shared" ref="T5:T20" si="1">Q5*$K5/$I5</f>
        <v>0</v>
      </c>
      <c r="U5" s="35">
        <v>94.860200000000006</v>
      </c>
      <c r="V5" s="35"/>
      <c r="W5" s="43">
        <f>AVERAGE(R5:R6)/100</f>
        <v>0</v>
      </c>
      <c r="X5" s="44"/>
      <c r="Y5" s="44">
        <f>AVERAGE(T5:T6)/100</f>
        <v>0</v>
      </c>
      <c r="Z5" s="45">
        <f>AVERAGE(U5:V6)/100</f>
        <v>0.97503499999999987</v>
      </c>
      <c r="AA5" s="2">
        <f>SUM(W5:Z5)</f>
        <v>0.97503499999999987</v>
      </c>
    </row>
    <row r="6" spans="1:27" x14ac:dyDescent="0.45">
      <c r="A6" s="59"/>
      <c r="B6" s="11" t="s">
        <v>20</v>
      </c>
      <c r="C6" s="11">
        <v>2</v>
      </c>
      <c r="D6" s="11">
        <v>2.7071999999999998</v>
      </c>
      <c r="E6" s="11">
        <v>300</v>
      </c>
      <c r="F6" s="11">
        <v>2.8273999999999999</v>
      </c>
      <c r="G6" s="10">
        <f t="shared" ref="G6:G24" si="2">1000-E6</f>
        <v>700</v>
      </c>
      <c r="H6" s="11">
        <v>3.4003000000000001</v>
      </c>
      <c r="I6" s="13">
        <f t="shared" ref="I6:I24" si="3">F6-D6</f>
        <v>0.12020000000000008</v>
      </c>
      <c r="J6" s="13">
        <f t="shared" ref="J6:J24" si="4">H6-F6</f>
        <v>0.57290000000000019</v>
      </c>
      <c r="K6" s="13">
        <f t="shared" ref="K6:K24" si="5">J6+I6</f>
        <v>0.69310000000000027</v>
      </c>
      <c r="L6" s="14"/>
      <c r="M6" s="14"/>
      <c r="N6" s="14"/>
      <c r="O6" s="15">
        <f t="shared" ref="O6:O24" si="6">L6/$F$2</f>
        <v>0</v>
      </c>
      <c r="P6" s="54"/>
      <c r="Q6" s="16">
        <f t="shared" ref="Q6:Q24" si="7">N6/$G$2</f>
        <v>0</v>
      </c>
      <c r="R6" s="17">
        <f t="shared" si="0"/>
        <v>0</v>
      </c>
      <c r="S6" s="54"/>
      <c r="T6" s="16">
        <f t="shared" si="1"/>
        <v>0</v>
      </c>
      <c r="U6" s="35">
        <v>97.835999999999999</v>
      </c>
      <c r="V6" s="35">
        <v>99.814300000000003</v>
      </c>
      <c r="W6" s="21"/>
      <c r="Z6" s="39"/>
      <c r="AA6" s="2"/>
    </row>
    <row r="7" spans="1:27" x14ac:dyDescent="0.45">
      <c r="A7" s="59"/>
      <c r="B7" s="22" t="s">
        <v>21</v>
      </c>
      <c r="C7" s="22">
        <v>3</v>
      </c>
      <c r="D7" s="22">
        <v>2.7707999999999999</v>
      </c>
      <c r="E7" s="22">
        <v>100</v>
      </c>
      <c r="F7" s="22">
        <v>2.8919999999999999</v>
      </c>
      <c r="G7" s="9">
        <f t="shared" si="2"/>
        <v>900</v>
      </c>
      <c r="H7" s="22">
        <v>3.4466999999999999</v>
      </c>
      <c r="I7" s="19">
        <f t="shared" si="3"/>
        <v>0.12119999999999997</v>
      </c>
      <c r="J7" s="19">
        <f t="shared" si="4"/>
        <v>0.55469999999999997</v>
      </c>
      <c r="K7" s="19">
        <f t="shared" si="5"/>
        <v>0.67589999999999995</v>
      </c>
      <c r="N7" s="20"/>
      <c r="O7" s="23">
        <f t="shared" si="6"/>
        <v>0</v>
      </c>
      <c r="P7" s="55"/>
      <c r="Q7" s="24">
        <f t="shared" si="7"/>
        <v>0</v>
      </c>
      <c r="R7" s="25">
        <f t="shared" si="0"/>
        <v>0</v>
      </c>
      <c r="S7" s="55"/>
      <c r="T7" s="24">
        <f t="shared" si="1"/>
        <v>0</v>
      </c>
      <c r="U7" s="2">
        <v>8.0239999999999991</v>
      </c>
      <c r="V7" s="2"/>
      <c r="W7" s="21">
        <f>AVERAGE(R7:R8)/100</f>
        <v>0</v>
      </c>
      <c r="Y7">
        <f>AVERAGE(T7:T8)/100</f>
        <v>0</v>
      </c>
      <c r="Z7" s="39">
        <f>AVERAGE(U7:V8)/100</f>
        <v>8.0074000000000006E-2</v>
      </c>
      <c r="AA7" s="2">
        <f t="shared" ref="AA7:AA23" si="8">SUM(W7:Z7)</f>
        <v>8.0074000000000006E-2</v>
      </c>
    </row>
    <row r="8" spans="1:27" x14ac:dyDescent="0.45">
      <c r="A8" s="59"/>
      <c r="B8" s="22" t="s">
        <v>21</v>
      </c>
      <c r="C8" s="22">
        <v>4</v>
      </c>
      <c r="D8" s="22">
        <v>2.6999</v>
      </c>
      <c r="E8" s="22">
        <v>100</v>
      </c>
      <c r="F8" s="22">
        <v>2.8161</v>
      </c>
      <c r="G8" s="9">
        <f t="shared" si="2"/>
        <v>900</v>
      </c>
      <c r="H8" s="22">
        <v>3.3773</v>
      </c>
      <c r="I8" s="19">
        <f t="shared" si="3"/>
        <v>0.11620000000000008</v>
      </c>
      <c r="J8" s="19">
        <f t="shared" si="4"/>
        <v>0.56119999999999992</v>
      </c>
      <c r="K8" s="19">
        <f t="shared" si="5"/>
        <v>0.6774</v>
      </c>
      <c r="L8" s="20"/>
      <c r="M8" s="20"/>
      <c r="N8" s="20"/>
      <c r="O8" s="23">
        <f t="shared" si="6"/>
        <v>0</v>
      </c>
      <c r="P8" s="55"/>
      <c r="Q8" s="24">
        <f t="shared" si="7"/>
        <v>0</v>
      </c>
      <c r="R8" s="25">
        <f t="shared" si="0"/>
        <v>0</v>
      </c>
      <c r="S8" s="55"/>
      <c r="T8" s="24">
        <f t="shared" si="1"/>
        <v>0</v>
      </c>
      <c r="U8" s="2">
        <v>7.9908000000000001</v>
      </c>
      <c r="V8" s="2"/>
      <c r="W8" s="21"/>
      <c r="Z8" s="39"/>
      <c r="AA8" s="2"/>
    </row>
    <row r="9" spans="1:27" x14ac:dyDescent="0.45">
      <c r="A9" s="59" t="s">
        <v>28</v>
      </c>
      <c r="B9" s="10" t="s">
        <v>20</v>
      </c>
      <c r="C9" s="11">
        <v>5</v>
      </c>
      <c r="D9" s="10">
        <v>2.7244999999999999</v>
      </c>
      <c r="E9" s="10">
        <v>300</v>
      </c>
      <c r="F9" s="11">
        <v>2.8418999999999999</v>
      </c>
      <c r="G9" s="10">
        <f t="shared" si="2"/>
        <v>700</v>
      </c>
      <c r="H9" s="11">
        <v>3.4066000000000001</v>
      </c>
      <c r="I9" s="13">
        <f t="shared" si="3"/>
        <v>0.11739999999999995</v>
      </c>
      <c r="J9" s="13">
        <f t="shared" si="4"/>
        <v>0.5647000000000002</v>
      </c>
      <c r="K9" s="13">
        <f t="shared" si="5"/>
        <v>0.68210000000000015</v>
      </c>
      <c r="L9" s="14"/>
      <c r="M9" s="14"/>
      <c r="N9" s="14"/>
      <c r="O9" s="15">
        <f t="shared" si="6"/>
        <v>0</v>
      </c>
      <c r="P9" s="54"/>
      <c r="Q9" s="16">
        <f t="shared" si="7"/>
        <v>0</v>
      </c>
      <c r="R9" s="17">
        <f t="shared" si="0"/>
        <v>0</v>
      </c>
      <c r="S9" s="54"/>
      <c r="T9" s="16">
        <f t="shared" si="1"/>
        <v>0</v>
      </c>
      <c r="U9" s="35">
        <v>3.2517999999999998</v>
      </c>
      <c r="V9" s="35"/>
      <c r="W9" s="18">
        <f>AVERAGE(R9:R10)/100</f>
        <v>0</v>
      </c>
      <c r="X9" s="28"/>
      <c r="Y9" s="28">
        <f>AVERAGE(T9:T10)/100</f>
        <v>0</v>
      </c>
      <c r="Z9" s="37">
        <f t="shared" ref="Z9" si="9">AVERAGE(U9:V10)/100</f>
        <v>3.2440499999999997E-2</v>
      </c>
      <c r="AA9" s="2">
        <f t="shared" si="8"/>
        <v>3.2440499999999997E-2</v>
      </c>
    </row>
    <row r="10" spans="1:27" x14ac:dyDescent="0.45">
      <c r="A10" s="59"/>
      <c r="B10" s="11" t="s">
        <v>20</v>
      </c>
      <c r="C10" s="11">
        <v>6</v>
      </c>
      <c r="D10" s="11">
        <v>2.7725</v>
      </c>
      <c r="E10" s="11">
        <v>300</v>
      </c>
      <c r="F10" s="11">
        <v>2.8896000000000002</v>
      </c>
      <c r="G10" s="10">
        <f t="shared" si="2"/>
        <v>700</v>
      </c>
      <c r="H10" s="11">
        <v>3.4569999999999999</v>
      </c>
      <c r="I10" s="13">
        <f t="shared" si="3"/>
        <v>0.1171000000000002</v>
      </c>
      <c r="J10" s="13">
        <f t="shared" si="4"/>
        <v>0.56739999999999968</v>
      </c>
      <c r="K10" s="13">
        <f t="shared" si="5"/>
        <v>0.68449999999999989</v>
      </c>
      <c r="L10" s="14"/>
      <c r="M10" s="14"/>
      <c r="N10" s="14"/>
      <c r="O10" s="15">
        <f t="shared" si="6"/>
        <v>0</v>
      </c>
      <c r="P10" s="54"/>
      <c r="Q10" s="16">
        <f t="shared" si="7"/>
        <v>0</v>
      </c>
      <c r="R10" s="17">
        <f t="shared" si="0"/>
        <v>0</v>
      </c>
      <c r="S10" s="54"/>
      <c r="T10" s="16">
        <f t="shared" si="1"/>
        <v>0</v>
      </c>
      <c r="U10" s="35">
        <v>3.2363</v>
      </c>
      <c r="V10" s="35"/>
      <c r="W10" s="21"/>
      <c r="Z10" s="39"/>
      <c r="AA10" s="2"/>
    </row>
    <row r="11" spans="1:27" x14ac:dyDescent="0.45">
      <c r="A11" s="59"/>
      <c r="B11" s="22" t="s">
        <v>21</v>
      </c>
      <c r="C11" s="22">
        <v>7</v>
      </c>
      <c r="D11" s="22">
        <v>2.7079</v>
      </c>
      <c r="E11" s="22">
        <v>100</v>
      </c>
      <c r="F11" s="22">
        <v>2.8283</v>
      </c>
      <c r="G11" s="9">
        <f t="shared" si="2"/>
        <v>900</v>
      </c>
      <c r="H11" s="22">
        <v>3.3915000000000002</v>
      </c>
      <c r="I11" s="19">
        <f t="shared" si="3"/>
        <v>0.12040000000000006</v>
      </c>
      <c r="J11" s="19">
        <f t="shared" si="4"/>
        <v>0.56320000000000014</v>
      </c>
      <c r="K11" s="19">
        <f t="shared" si="5"/>
        <v>0.68360000000000021</v>
      </c>
      <c r="L11" s="26"/>
      <c r="M11" s="26"/>
      <c r="N11" s="20"/>
      <c r="O11" s="23">
        <f t="shared" si="6"/>
        <v>0</v>
      </c>
      <c r="P11" s="55"/>
      <c r="Q11" s="24">
        <f t="shared" si="7"/>
        <v>0</v>
      </c>
      <c r="R11" s="25">
        <f t="shared" si="0"/>
        <v>0</v>
      </c>
      <c r="S11" s="55"/>
      <c r="T11" s="24">
        <f t="shared" si="1"/>
        <v>0</v>
      </c>
      <c r="U11" s="2">
        <v>85.215299999999999</v>
      </c>
      <c r="V11" s="2"/>
      <c r="W11" s="21">
        <f>AVERAGE(R11:R12)/100</f>
        <v>0</v>
      </c>
      <c r="Y11">
        <f>AVERAGE(T11:T12)/100</f>
        <v>0</v>
      </c>
      <c r="Z11" s="39">
        <f t="shared" ref="Z11" si="10">AVERAGE(U11:V12)/100</f>
        <v>0.84485700000000008</v>
      </c>
      <c r="AA11" s="2">
        <f t="shared" si="8"/>
        <v>0.84485700000000008</v>
      </c>
    </row>
    <row r="12" spans="1:27" x14ac:dyDescent="0.45">
      <c r="A12" s="59"/>
      <c r="B12" s="22" t="s">
        <v>21</v>
      </c>
      <c r="C12" s="22">
        <v>8</v>
      </c>
      <c r="D12" s="22">
        <v>2.7898999999999998</v>
      </c>
      <c r="E12" s="22">
        <v>100</v>
      </c>
      <c r="F12" s="22">
        <v>2.911</v>
      </c>
      <c r="G12" s="9">
        <f t="shared" si="2"/>
        <v>900</v>
      </c>
      <c r="H12" s="22">
        <v>3.4729999999999999</v>
      </c>
      <c r="I12" s="19">
        <f t="shared" si="3"/>
        <v>0.12110000000000021</v>
      </c>
      <c r="J12" s="19">
        <f t="shared" si="4"/>
        <v>0.56199999999999983</v>
      </c>
      <c r="K12" s="19">
        <f t="shared" si="5"/>
        <v>0.68310000000000004</v>
      </c>
      <c r="L12" s="20"/>
      <c r="M12" s="20"/>
      <c r="N12" s="20"/>
      <c r="O12" s="23">
        <f t="shared" si="6"/>
        <v>0</v>
      </c>
      <c r="P12" s="55"/>
      <c r="Q12" s="24">
        <f t="shared" si="7"/>
        <v>0</v>
      </c>
      <c r="R12" s="25">
        <f t="shared" si="0"/>
        <v>0</v>
      </c>
      <c r="S12" s="55"/>
      <c r="T12" s="24">
        <f t="shared" si="1"/>
        <v>0</v>
      </c>
      <c r="U12" s="2">
        <v>83.756100000000004</v>
      </c>
      <c r="V12" s="2"/>
      <c r="W12" s="21"/>
      <c r="Z12" s="39"/>
      <c r="AA12" s="2"/>
    </row>
    <row r="13" spans="1:27" x14ac:dyDescent="0.45">
      <c r="A13" s="59" t="s">
        <v>30</v>
      </c>
      <c r="B13" s="10" t="s">
        <v>20</v>
      </c>
      <c r="C13" s="11">
        <v>9</v>
      </c>
      <c r="D13" s="10">
        <v>2.6989999999999998</v>
      </c>
      <c r="E13" s="10">
        <v>300</v>
      </c>
      <c r="F13" s="11">
        <v>2.8788</v>
      </c>
      <c r="G13" s="10">
        <f t="shared" si="2"/>
        <v>700</v>
      </c>
      <c r="H13" s="11">
        <v>3.4598</v>
      </c>
      <c r="I13" s="13">
        <f t="shared" si="3"/>
        <v>0.17980000000000018</v>
      </c>
      <c r="J13" s="13">
        <f t="shared" si="4"/>
        <v>0.58099999999999996</v>
      </c>
      <c r="K13" s="13">
        <f t="shared" si="5"/>
        <v>0.76080000000000014</v>
      </c>
      <c r="L13" s="14"/>
      <c r="M13" s="14"/>
      <c r="N13" s="14"/>
      <c r="O13" s="15">
        <f t="shared" si="6"/>
        <v>0</v>
      </c>
      <c r="P13" s="54"/>
      <c r="Q13" s="16">
        <f t="shared" si="7"/>
        <v>0</v>
      </c>
      <c r="R13" s="17">
        <f t="shared" si="0"/>
        <v>0</v>
      </c>
      <c r="S13" s="54"/>
      <c r="T13" s="16">
        <f t="shared" si="1"/>
        <v>0</v>
      </c>
      <c r="U13" s="35">
        <v>4.6407999999999996</v>
      </c>
      <c r="V13" s="35"/>
      <c r="W13" s="18">
        <f>AVERAGE(R13:R14)/100</f>
        <v>0</v>
      </c>
      <c r="X13" s="28"/>
      <c r="Y13" s="28">
        <f>AVERAGE(T13:T14)/100</f>
        <v>0</v>
      </c>
      <c r="Z13" s="37">
        <f t="shared" ref="Z13" si="11">AVERAGE(U13:V14)/100</f>
        <v>4.2930666666666673E-2</v>
      </c>
      <c r="AA13" s="2">
        <f t="shared" si="8"/>
        <v>4.2930666666666673E-2</v>
      </c>
    </row>
    <row r="14" spans="1:27" x14ac:dyDescent="0.45">
      <c r="A14" s="59"/>
      <c r="B14" s="10" t="s">
        <v>20</v>
      </c>
      <c r="C14" s="11">
        <v>10</v>
      </c>
      <c r="D14" s="11">
        <v>2.7273999999999998</v>
      </c>
      <c r="E14" s="11">
        <v>300</v>
      </c>
      <c r="F14" s="11">
        <v>2.9304000000000001</v>
      </c>
      <c r="G14" s="10">
        <f t="shared" si="2"/>
        <v>700</v>
      </c>
      <c r="H14" s="11">
        <v>3.4872000000000001</v>
      </c>
      <c r="I14" s="13">
        <f t="shared" si="3"/>
        <v>0.20300000000000029</v>
      </c>
      <c r="J14" s="13">
        <f t="shared" si="4"/>
        <v>0.55679999999999996</v>
      </c>
      <c r="K14" s="13">
        <f t="shared" si="5"/>
        <v>0.75980000000000025</v>
      </c>
      <c r="L14" s="14"/>
      <c r="M14" s="14"/>
      <c r="N14" s="14"/>
      <c r="O14" s="15">
        <f t="shared" si="6"/>
        <v>0</v>
      </c>
      <c r="P14" s="54"/>
      <c r="Q14" s="16">
        <f t="shared" si="7"/>
        <v>0</v>
      </c>
      <c r="R14" s="17">
        <f t="shared" si="0"/>
        <v>0</v>
      </c>
      <c r="S14" s="54"/>
      <c r="T14" s="16">
        <f t="shared" si="1"/>
        <v>0</v>
      </c>
      <c r="U14" s="35">
        <v>4.1703000000000001</v>
      </c>
      <c r="V14" s="35">
        <v>4.0681000000000003</v>
      </c>
      <c r="W14" s="21"/>
      <c r="Z14" s="39"/>
      <c r="AA14" s="2"/>
    </row>
    <row r="15" spans="1:27" x14ac:dyDescent="0.45">
      <c r="A15" s="59"/>
      <c r="B15" s="22" t="s">
        <v>21</v>
      </c>
      <c r="C15" s="22">
        <v>11</v>
      </c>
      <c r="D15" s="22">
        <v>2.6932</v>
      </c>
      <c r="E15" s="22">
        <v>100</v>
      </c>
      <c r="F15" s="22">
        <v>2.8994</v>
      </c>
      <c r="G15" s="9">
        <f t="shared" si="2"/>
        <v>900</v>
      </c>
      <c r="H15" s="22">
        <v>3.4786999999999999</v>
      </c>
      <c r="I15" s="19">
        <f t="shared" si="3"/>
        <v>0.20619999999999994</v>
      </c>
      <c r="J15" s="19">
        <f t="shared" si="4"/>
        <v>0.57929999999999993</v>
      </c>
      <c r="K15" s="19">
        <f t="shared" si="5"/>
        <v>0.78549999999999986</v>
      </c>
      <c r="L15" s="20"/>
      <c r="M15" s="20"/>
      <c r="N15" s="27"/>
      <c r="O15" s="23">
        <f t="shared" si="6"/>
        <v>0</v>
      </c>
      <c r="P15" s="55"/>
      <c r="Q15" s="24">
        <f t="shared" si="7"/>
        <v>0</v>
      </c>
      <c r="R15" s="25">
        <f t="shared" si="0"/>
        <v>0</v>
      </c>
      <c r="S15" s="55"/>
      <c r="T15" s="24">
        <f t="shared" si="1"/>
        <v>0</v>
      </c>
      <c r="U15" s="2">
        <v>99.319100000000006</v>
      </c>
      <c r="V15" s="2"/>
      <c r="W15" s="21">
        <f>AVERAGE(R15:R16)/100</f>
        <v>0</v>
      </c>
      <c r="Y15">
        <f>AVERAGE(T15:T16)/100</f>
        <v>0</v>
      </c>
      <c r="Z15" s="39">
        <f t="shared" ref="Z15" si="12">AVERAGE(U15:V16)/100</f>
        <v>0.99657749999999989</v>
      </c>
      <c r="AA15" s="2">
        <f t="shared" si="8"/>
        <v>0.99657749999999989</v>
      </c>
    </row>
    <row r="16" spans="1:27" x14ac:dyDescent="0.45">
      <c r="A16" s="59"/>
      <c r="B16" s="22" t="s">
        <v>21</v>
      </c>
      <c r="C16" s="22">
        <v>12</v>
      </c>
      <c r="D16" s="22">
        <v>2.7189000000000001</v>
      </c>
      <c r="E16" s="22">
        <v>100</v>
      </c>
      <c r="F16" s="22">
        <v>2.9127000000000001</v>
      </c>
      <c r="G16" s="9">
        <f t="shared" si="2"/>
        <v>900</v>
      </c>
      <c r="H16" s="22">
        <v>3.4666999999999999</v>
      </c>
      <c r="I16" s="19">
        <f t="shared" si="3"/>
        <v>0.19379999999999997</v>
      </c>
      <c r="J16" s="19">
        <f t="shared" si="4"/>
        <v>0.55399999999999983</v>
      </c>
      <c r="K16" s="19">
        <f t="shared" si="5"/>
        <v>0.7477999999999998</v>
      </c>
      <c r="L16" s="20"/>
      <c r="M16" s="20"/>
      <c r="N16" s="20"/>
      <c r="O16" s="23">
        <f t="shared" si="6"/>
        <v>0</v>
      </c>
      <c r="P16" s="55"/>
      <c r="Q16" s="24">
        <f t="shared" si="7"/>
        <v>0</v>
      </c>
      <c r="R16" s="25">
        <f t="shared" si="0"/>
        <v>0</v>
      </c>
      <c r="S16" s="55"/>
      <c r="T16" s="24">
        <f t="shared" si="1"/>
        <v>0</v>
      </c>
      <c r="U16" s="2">
        <v>99.996399999999994</v>
      </c>
      <c r="V16" s="2"/>
      <c r="W16" s="21"/>
      <c r="Z16" s="39"/>
      <c r="AA16" s="2"/>
    </row>
    <row r="17" spans="1:27" x14ac:dyDescent="0.45">
      <c r="A17" s="59" t="s">
        <v>29</v>
      </c>
      <c r="B17" s="10" t="s">
        <v>20</v>
      </c>
      <c r="C17" s="11">
        <v>13</v>
      </c>
      <c r="D17" s="10">
        <v>2.7179000000000002</v>
      </c>
      <c r="E17" s="10">
        <v>300</v>
      </c>
      <c r="F17" s="11">
        <v>2.9028999999999998</v>
      </c>
      <c r="G17" s="10">
        <f t="shared" si="2"/>
        <v>700</v>
      </c>
      <c r="H17" s="11">
        <v>3.4529999999999998</v>
      </c>
      <c r="I17" s="13">
        <f t="shared" si="3"/>
        <v>0.18499999999999961</v>
      </c>
      <c r="J17" s="13">
        <f t="shared" si="4"/>
        <v>0.55010000000000003</v>
      </c>
      <c r="K17" s="13">
        <f t="shared" si="5"/>
        <v>0.73509999999999964</v>
      </c>
      <c r="L17" s="14"/>
      <c r="M17" s="14"/>
      <c r="N17" s="14"/>
      <c r="O17" s="15">
        <f t="shared" si="6"/>
        <v>0</v>
      </c>
      <c r="P17" s="54"/>
      <c r="Q17" s="16">
        <f t="shared" si="7"/>
        <v>0</v>
      </c>
      <c r="R17" s="17">
        <f t="shared" si="0"/>
        <v>0</v>
      </c>
      <c r="S17" s="54"/>
      <c r="T17" s="16">
        <f t="shared" si="1"/>
        <v>0</v>
      </c>
      <c r="U17" s="35">
        <v>3.5476000000000001</v>
      </c>
      <c r="V17" s="35"/>
      <c r="W17" s="18">
        <f>AVERAGE(R17:R18)/100</f>
        <v>0</v>
      </c>
      <c r="X17" s="28"/>
      <c r="Y17" s="28">
        <f>AVERAGE(T17:T18)/100</f>
        <v>0</v>
      </c>
      <c r="Z17" s="37">
        <f t="shared" ref="Z17" si="13">AVERAGE(U17:V18)/100</f>
        <v>3.57665E-2</v>
      </c>
      <c r="AA17" s="2">
        <f t="shared" si="8"/>
        <v>3.57665E-2</v>
      </c>
    </row>
    <row r="18" spans="1:27" x14ac:dyDescent="0.45">
      <c r="A18" s="59"/>
      <c r="B18" s="11" t="s">
        <v>20</v>
      </c>
      <c r="C18" s="11">
        <v>14</v>
      </c>
      <c r="D18" s="11">
        <v>2.754</v>
      </c>
      <c r="E18" s="11">
        <v>300</v>
      </c>
      <c r="F18" s="11">
        <v>2.9499</v>
      </c>
      <c r="G18" s="10">
        <f t="shared" si="2"/>
        <v>700</v>
      </c>
      <c r="H18" s="11">
        <v>3.516</v>
      </c>
      <c r="I18" s="13">
        <f t="shared" si="3"/>
        <v>0.19589999999999996</v>
      </c>
      <c r="J18" s="13">
        <f t="shared" si="4"/>
        <v>0.56610000000000005</v>
      </c>
      <c r="K18" s="13">
        <f t="shared" si="5"/>
        <v>0.76200000000000001</v>
      </c>
      <c r="L18" s="14"/>
      <c r="M18" s="14"/>
      <c r="N18" s="14"/>
      <c r="O18" s="15">
        <f t="shared" si="6"/>
        <v>0</v>
      </c>
      <c r="P18" s="54"/>
      <c r="Q18" s="16">
        <f t="shared" si="7"/>
        <v>0</v>
      </c>
      <c r="R18" s="17">
        <f t="shared" si="0"/>
        <v>0</v>
      </c>
      <c r="S18" s="54"/>
      <c r="T18" s="16">
        <f t="shared" si="1"/>
        <v>0</v>
      </c>
      <c r="U18" s="35">
        <v>3.6057000000000001</v>
      </c>
      <c r="V18" s="35"/>
      <c r="W18" s="21"/>
      <c r="Z18" s="39"/>
      <c r="AA18" s="2"/>
    </row>
    <row r="19" spans="1:27" x14ac:dyDescent="0.45">
      <c r="A19" s="59"/>
      <c r="B19" s="22" t="s">
        <v>21</v>
      </c>
      <c r="C19" s="22">
        <v>15</v>
      </c>
      <c r="D19" s="22">
        <v>2.8123999999999998</v>
      </c>
      <c r="E19" s="22">
        <v>100</v>
      </c>
      <c r="F19" s="22">
        <v>3.0131000000000001</v>
      </c>
      <c r="G19" s="9">
        <f t="shared" si="2"/>
        <v>900</v>
      </c>
      <c r="H19" s="22">
        <v>3.5794000000000001</v>
      </c>
      <c r="I19" s="19">
        <f t="shared" si="3"/>
        <v>0.20070000000000032</v>
      </c>
      <c r="J19" s="19">
        <f t="shared" si="4"/>
        <v>0.56630000000000003</v>
      </c>
      <c r="K19" s="19">
        <f t="shared" si="5"/>
        <v>0.76700000000000035</v>
      </c>
      <c r="L19" s="20"/>
      <c r="M19" s="20"/>
      <c r="N19" s="20"/>
      <c r="O19" s="23">
        <f t="shared" si="6"/>
        <v>0</v>
      </c>
      <c r="P19" s="55"/>
      <c r="Q19" s="24">
        <f t="shared" si="7"/>
        <v>0</v>
      </c>
      <c r="R19" s="25">
        <f t="shared" si="0"/>
        <v>0</v>
      </c>
      <c r="S19" s="55"/>
      <c r="T19" s="24">
        <f t="shared" si="1"/>
        <v>0</v>
      </c>
      <c r="U19" s="2">
        <v>101.1918</v>
      </c>
      <c r="V19" s="2">
        <v>94.560400000000001</v>
      </c>
      <c r="W19" s="21">
        <f>AVERAGE(R19:R20)/100</f>
        <v>0</v>
      </c>
      <c r="Y19">
        <f>AVERAGE(T19:T20)/100</f>
        <v>0</v>
      </c>
      <c r="Z19" s="39">
        <f t="shared" ref="Z19" si="14">AVERAGE(U19:V20)/100</f>
        <v>0.98417399999999999</v>
      </c>
      <c r="AA19" s="2">
        <f t="shared" si="8"/>
        <v>0.98417399999999999</v>
      </c>
    </row>
    <row r="20" spans="1:27" x14ac:dyDescent="0.45">
      <c r="A20" s="59"/>
      <c r="B20" s="22" t="s">
        <v>21</v>
      </c>
      <c r="C20" s="22">
        <v>16</v>
      </c>
      <c r="D20" s="22">
        <v>2.7545999999999999</v>
      </c>
      <c r="E20" s="22">
        <v>100</v>
      </c>
      <c r="F20" s="22">
        <v>2.9584000000000001</v>
      </c>
      <c r="G20" s="9">
        <f t="shared" si="2"/>
        <v>900</v>
      </c>
      <c r="H20" s="22">
        <v>3.5211999999999999</v>
      </c>
      <c r="I20" s="19">
        <f t="shared" si="3"/>
        <v>0.2038000000000002</v>
      </c>
      <c r="J20" s="19">
        <f t="shared" si="4"/>
        <v>0.56279999999999974</v>
      </c>
      <c r="K20" s="19">
        <f t="shared" si="5"/>
        <v>0.76659999999999995</v>
      </c>
      <c r="L20" s="20"/>
      <c r="M20" s="20"/>
      <c r="N20" s="20"/>
      <c r="O20" s="23">
        <f t="shared" si="6"/>
        <v>0</v>
      </c>
      <c r="P20" s="55"/>
      <c r="Q20" s="24">
        <f t="shared" si="7"/>
        <v>0</v>
      </c>
      <c r="R20" s="25">
        <f t="shared" si="0"/>
        <v>0</v>
      </c>
      <c r="S20" s="55"/>
      <c r="T20" s="24">
        <f t="shared" si="1"/>
        <v>0</v>
      </c>
      <c r="U20" s="2">
        <v>99.5</v>
      </c>
      <c r="V20" s="2"/>
      <c r="W20" s="21"/>
      <c r="Z20" s="39"/>
      <c r="AA20" s="2"/>
    </row>
    <row r="21" spans="1:27" x14ac:dyDescent="0.45">
      <c r="A21" s="59" t="s">
        <v>31</v>
      </c>
      <c r="B21" s="10" t="s">
        <v>20</v>
      </c>
      <c r="C21" s="11">
        <v>17</v>
      </c>
      <c r="D21" s="10">
        <v>2.7277</v>
      </c>
      <c r="E21" s="10">
        <v>300</v>
      </c>
      <c r="F21" s="11">
        <v>2.9308999999999998</v>
      </c>
      <c r="G21" s="10">
        <f t="shared" si="2"/>
        <v>700</v>
      </c>
      <c r="H21" s="11">
        <v>3.4876</v>
      </c>
      <c r="I21" s="13">
        <f t="shared" si="3"/>
        <v>0.20319999999999983</v>
      </c>
      <c r="J21" s="13">
        <f t="shared" si="4"/>
        <v>0.55670000000000019</v>
      </c>
      <c r="K21" s="13">
        <f t="shared" si="5"/>
        <v>0.75990000000000002</v>
      </c>
      <c r="L21" s="14"/>
      <c r="M21" s="14"/>
      <c r="N21" s="14"/>
      <c r="O21" s="15">
        <f t="shared" si="6"/>
        <v>0</v>
      </c>
      <c r="P21" s="54"/>
      <c r="Q21" s="16">
        <f t="shared" si="7"/>
        <v>0</v>
      </c>
      <c r="R21" s="17">
        <f t="shared" si="0"/>
        <v>0</v>
      </c>
      <c r="S21" s="54"/>
      <c r="T21" s="16">
        <f t="shared" ref="T21:T24" si="15">Q21*$K21/$I21</f>
        <v>0</v>
      </c>
      <c r="U21" s="35"/>
      <c r="V21" s="35"/>
      <c r="W21" s="18">
        <f>AVERAGE(R21:R22)/100</f>
        <v>0</v>
      </c>
      <c r="X21" s="28"/>
      <c r="Y21" s="28">
        <f>AVERAGE(T21:T22)/100</f>
        <v>0</v>
      </c>
      <c r="Z21" s="37">
        <f t="shared" ref="Z21" si="16">AVERAGE(U21:V22)/100</f>
        <v>0.95476399999999995</v>
      </c>
      <c r="AA21" s="2">
        <f t="shared" si="8"/>
        <v>0.95476399999999995</v>
      </c>
    </row>
    <row r="22" spans="1:27" x14ac:dyDescent="0.45">
      <c r="A22" s="59"/>
      <c r="B22" s="11" t="s">
        <v>20</v>
      </c>
      <c r="C22" s="11">
        <v>18</v>
      </c>
      <c r="D22" s="11">
        <v>2.7235999999999998</v>
      </c>
      <c r="E22" s="11">
        <v>300</v>
      </c>
      <c r="F22" s="11">
        <v>2.9478</v>
      </c>
      <c r="G22" s="10">
        <f t="shared" si="2"/>
        <v>700</v>
      </c>
      <c r="H22" s="11">
        <v>3.5160999999999998</v>
      </c>
      <c r="I22" s="13">
        <f t="shared" si="3"/>
        <v>0.22420000000000018</v>
      </c>
      <c r="J22" s="13">
        <f t="shared" si="4"/>
        <v>0.56829999999999981</v>
      </c>
      <c r="K22" s="13">
        <f t="shared" si="5"/>
        <v>0.79249999999999998</v>
      </c>
      <c r="L22" s="14"/>
      <c r="M22" s="14"/>
      <c r="N22" s="14"/>
      <c r="O22" s="15">
        <f t="shared" si="6"/>
        <v>0</v>
      </c>
      <c r="P22" s="54"/>
      <c r="Q22" s="16">
        <f t="shared" si="7"/>
        <v>0</v>
      </c>
      <c r="R22" s="17">
        <f t="shared" si="0"/>
        <v>0</v>
      </c>
      <c r="S22" s="54"/>
      <c r="T22" s="16">
        <f t="shared" si="15"/>
        <v>0</v>
      </c>
      <c r="U22" s="35">
        <v>96.487499999999997</v>
      </c>
      <c r="V22" s="35">
        <v>94.465299999999999</v>
      </c>
      <c r="W22" s="21"/>
      <c r="Z22" s="39"/>
      <c r="AA22" s="2"/>
    </row>
    <row r="23" spans="1:27" x14ac:dyDescent="0.45">
      <c r="A23" s="59"/>
      <c r="B23" s="22" t="s">
        <v>21</v>
      </c>
      <c r="C23" s="22">
        <v>19</v>
      </c>
      <c r="D23" s="22">
        <v>2.7656999999999998</v>
      </c>
      <c r="E23" s="22">
        <v>100</v>
      </c>
      <c r="F23" s="22">
        <v>2.9727999999999999</v>
      </c>
      <c r="G23" s="9">
        <f t="shared" si="2"/>
        <v>900</v>
      </c>
      <c r="H23" s="22">
        <v>3.6819999999999999</v>
      </c>
      <c r="I23" s="19">
        <f t="shared" si="3"/>
        <v>0.20710000000000006</v>
      </c>
      <c r="J23" s="19">
        <f t="shared" si="4"/>
        <v>0.70920000000000005</v>
      </c>
      <c r="K23" s="19">
        <f t="shared" si="5"/>
        <v>0.91630000000000011</v>
      </c>
      <c r="L23" s="20"/>
      <c r="M23" s="20"/>
      <c r="N23" s="20"/>
      <c r="O23" s="23">
        <f t="shared" si="6"/>
        <v>0</v>
      </c>
      <c r="P23" s="55"/>
      <c r="Q23" s="24">
        <f t="shared" si="7"/>
        <v>0</v>
      </c>
      <c r="R23" s="25">
        <f t="shared" si="0"/>
        <v>0</v>
      </c>
      <c r="S23" s="55"/>
      <c r="T23" s="24">
        <f t="shared" si="15"/>
        <v>0</v>
      </c>
      <c r="U23" s="2">
        <v>5.7</v>
      </c>
      <c r="V23" s="2"/>
      <c r="W23" s="21">
        <f>AVERAGE(R23:R24)/100</f>
        <v>0</v>
      </c>
      <c r="Y23">
        <f>AVERAGE(T23:T24)/100</f>
        <v>0</v>
      </c>
      <c r="Z23" s="39">
        <f t="shared" ref="Z23" si="17">AVERAGE(U23:V24)/100</f>
        <v>5.6660000000000002E-2</v>
      </c>
      <c r="AA23" s="2">
        <f t="shared" si="8"/>
        <v>5.6660000000000002E-2</v>
      </c>
    </row>
    <row r="24" spans="1:27" ht="14.65" thickBot="1" x14ac:dyDescent="0.5">
      <c r="A24" s="59"/>
      <c r="B24" s="22" t="s">
        <v>21</v>
      </c>
      <c r="C24" s="22">
        <v>20</v>
      </c>
      <c r="D24" s="22">
        <v>2.7534999999999998</v>
      </c>
      <c r="E24" s="22">
        <v>100</v>
      </c>
      <c r="F24" s="22">
        <v>2.9725000000000001</v>
      </c>
      <c r="G24" s="9">
        <f t="shared" si="2"/>
        <v>900</v>
      </c>
      <c r="H24" s="22">
        <v>3.5466000000000002</v>
      </c>
      <c r="I24" s="19">
        <f t="shared" si="3"/>
        <v>0.21900000000000031</v>
      </c>
      <c r="J24" s="19">
        <f t="shared" si="4"/>
        <v>0.57410000000000005</v>
      </c>
      <c r="K24" s="19">
        <f t="shared" si="5"/>
        <v>0.79310000000000036</v>
      </c>
      <c r="L24" s="20"/>
      <c r="M24" s="20"/>
      <c r="N24" s="20"/>
      <c r="O24" s="34">
        <f t="shared" si="6"/>
        <v>0</v>
      </c>
      <c r="P24" s="56"/>
      <c r="Q24" s="33">
        <f t="shared" si="7"/>
        <v>0</v>
      </c>
      <c r="R24" s="25">
        <f t="shared" si="0"/>
        <v>0</v>
      </c>
      <c r="S24" s="55"/>
      <c r="T24" s="24">
        <f t="shared" si="15"/>
        <v>0</v>
      </c>
      <c r="U24" s="40">
        <v>5.6319999999999997</v>
      </c>
      <c r="V24" s="40"/>
      <c r="W24" s="29"/>
      <c r="X24" s="30"/>
      <c r="Y24" s="30"/>
      <c r="Z24" s="42"/>
      <c r="AA24" s="2"/>
    </row>
  </sheetData>
  <mergeCells count="8">
    <mergeCell ref="U3:V3"/>
    <mergeCell ref="A21:A24"/>
    <mergeCell ref="O3:Q3"/>
    <mergeCell ref="R3:T3"/>
    <mergeCell ref="A5:A8"/>
    <mergeCell ref="A9:A12"/>
    <mergeCell ref="A13:A16"/>
    <mergeCell ref="A17:A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9C674-A175-433D-AEC8-7EAEFF3C0A1B}">
  <sheetPr>
    <tabColor theme="7"/>
  </sheetPr>
  <dimension ref="A1:AA24"/>
  <sheetViews>
    <sheetView workbookViewId="0">
      <selection activeCell="M5" sqref="M5"/>
    </sheetView>
  </sheetViews>
  <sheetFormatPr defaultRowHeight="14.25" x14ac:dyDescent="0.45"/>
  <cols>
    <col min="4" max="4" width="8.33203125" customWidth="1"/>
    <col min="5" max="5" width="10.53125" customWidth="1"/>
    <col min="6" max="6" width="13.59765625" customWidth="1"/>
    <col min="7" max="7" width="10.6640625" style="2" customWidth="1"/>
    <col min="8" max="8" width="12.73046875" bestFit="1" customWidth="1"/>
    <col min="12" max="12" width="10.46484375" bestFit="1" customWidth="1"/>
    <col min="13" max="13" width="10.46484375" customWidth="1"/>
    <col min="14" max="14" width="12.59765625" bestFit="1" customWidth="1"/>
    <col min="15" max="15" width="11.1328125" bestFit="1" customWidth="1"/>
    <col min="16" max="16" width="11.1328125" customWidth="1"/>
    <col min="17" max="17" width="13.6640625" bestFit="1" customWidth="1"/>
    <col min="18" max="18" width="11.1328125" bestFit="1" customWidth="1"/>
    <col min="19" max="19" width="11.1328125" customWidth="1"/>
    <col min="20" max="20" width="13.6640625" bestFit="1" customWidth="1"/>
    <col min="21" max="22" width="9.53125" customWidth="1"/>
  </cols>
  <sheetData>
    <row r="1" spans="1:27" ht="28.9" thickBot="1" x14ac:dyDescent="0.9">
      <c r="F1" s="47" t="s">
        <v>44</v>
      </c>
      <c r="G1" s="47" t="s">
        <v>49</v>
      </c>
    </row>
    <row r="2" spans="1:27" ht="14.65" thickBot="1" x14ac:dyDescent="0.5">
      <c r="E2" t="s">
        <v>5</v>
      </c>
      <c r="F2">
        <v>187.3142</v>
      </c>
      <c r="G2">
        <v>176.38489999999999</v>
      </c>
      <c r="H2" s="1"/>
    </row>
    <row r="3" spans="1:27" ht="14.65" thickBot="1" x14ac:dyDescent="0.5">
      <c r="M3" t="s">
        <v>60</v>
      </c>
      <c r="N3" t="s">
        <v>66</v>
      </c>
      <c r="O3" s="60" t="s">
        <v>6</v>
      </c>
      <c r="P3" s="61"/>
      <c r="Q3" s="62"/>
      <c r="R3" s="61" t="s">
        <v>7</v>
      </c>
      <c r="S3" s="61"/>
      <c r="T3" s="62"/>
      <c r="U3" s="63" t="s">
        <v>46</v>
      </c>
      <c r="V3" s="64"/>
    </row>
    <row r="4" spans="1:27" ht="14.65" thickBot="1" x14ac:dyDescent="0.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42</v>
      </c>
      <c r="H4" s="3" t="s">
        <v>14</v>
      </c>
      <c r="I4" s="4" t="s">
        <v>15</v>
      </c>
      <c r="J4" s="4" t="s">
        <v>43</v>
      </c>
      <c r="K4" s="4" t="s">
        <v>16</v>
      </c>
      <c r="L4" s="4" t="s">
        <v>17</v>
      </c>
      <c r="M4" s="48" t="s">
        <v>63</v>
      </c>
      <c r="N4" s="5" t="s">
        <v>55</v>
      </c>
      <c r="O4" s="31" t="s">
        <v>45</v>
      </c>
      <c r="P4" s="49" t="s">
        <v>56</v>
      </c>
      <c r="Q4" s="32" t="s">
        <v>57</v>
      </c>
      <c r="R4" s="31" t="s">
        <v>45</v>
      </c>
      <c r="S4" s="49" t="s">
        <v>56</v>
      </c>
      <c r="T4" s="32" t="s">
        <v>57</v>
      </c>
      <c r="U4" s="7">
        <v>1</v>
      </c>
      <c r="V4" s="7">
        <v>2</v>
      </c>
      <c r="W4" s="6" t="s">
        <v>18</v>
      </c>
      <c r="X4" s="7" t="s">
        <v>58</v>
      </c>
      <c r="Y4" s="7" t="s">
        <v>59</v>
      </c>
      <c r="Z4" s="8" t="s">
        <v>19</v>
      </c>
    </row>
    <row r="5" spans="1:27" x14ac:dyDescent="0.45">
      <c r="A5" s="59" t="s">
        <v>32</v>
      </c>
      <c r="B5" s="10" t="s">
        <v>20</v>
      </c>
      <c r="C5" s="11">
        <v>1</v>
      </c>
      <c r="D5" s="12">
        <v>2.8195999999999999</v>
      </c>
      <c r="E5" s="10">
        <v>300</v>
      </c>
      <c r="F5" s="11">
        <v>3.0137</v>
      </c>
      <c r="G5" s="10">
        <f>1000-E5</f>
        <v>700</v>
      </c>
      <c r="H5" s="11">
        <v>3.5710999999999999</v>
      </c>
      <c r="I5" s="13">
        <f>F5-D5</f>
        <v>0.19410000000000016</v>
      </c>
      <c r="J5" s="13">
        <f>H5-F5</f>
        <v>0.5573999999999999</v>
      </c>
      <c r="K5" s="13">
        <f>J5+I5</f>
        <v>0.75150000000000006</v>
      </c>
      <c r="L5" s="14"/>
      <c r="M5" s="14"/>
      <c r="N5" s="14"/>
      <c r="O5" s="15">
        <f>L5/$F$2</f>
        <v>0</v>
      </c>
      <c r="P5" s="54"/>
      <c r="Q5" s="16">
        <f>N5/$G$2</f>
        <v>0</v>
      </c>
      <c r="R5" s="17">
        <f t="shared" ref="R5:R24" si="0">O5*$K5/$I5</f>
        <v>0</v>
      </c>
      <c r="S5" s="54"/>
      <c r="T5" s="16">
        <f t="shared" ref="T5:T20" si="1">Q5*$K5/$I5</f>
        <v>0</v>
      </c>
      <c r="U5" s="35">
        <v>96.256900000000002</v>
      </c>
      <c r="V5" s="35"/>
      <c r="W5" s="43">
        <f>AVERAGE(R5:R6)/100</f>
        <v>0</v>
      </c>
      <c r="X5" s="44"/>
      <c r="Y5" s="44">
        <f>AVERAGE(T5:T6)/100</f>
        <v>0</v>
      </c>
      <c r="Z5" s="45">
        <f>AVERAGE(U5:V6)/100</f>
        <v>0.97172999999999998</v>
      </c>
      <c r="AA5" s="2">
        <f>SUM(W5:Z5)</f>
        <v>0.97172999999999998</v>
      </c>
    </row>
    <row r="6" spans="1:27" x14ac:dyDescent="0.45">
      <c r="A6" s="59"/>
      <c r="B6" s="11" t="s">
        <v>20</v>
      </c>
      <c r="C6" s="11">
        <v>2</v>
      </c>
      <c r="D6" s="11">
        <v>2.8654999999999999</v>
      </c>
      <c r="E6" s="11">
        <v>300</v>
      </c>
      <c r="F6" s="11">
        <v>3.0706000000000002</v>
      </c>
      <c r="G6" s="10">
        <f t="shared" ref="G6:G24" si="2">1000-E6</f>
        <v>700</v>
      </c>
      <c r="H6" s="11">
        <v>3.6825999999999999</v>
      </c>
      <c r="I6" s="13">
        <f t="shared" ref="I6:I24" si="3">F6-D6</f>
        <v>0.20510000000000028</v>
      </c>
      <c r="J6" s="13">
        <f t="shared" ref="J6:J24" si="4">H6-F6</f>
        <v>0.61199999999999966</v>
      </c>
      <c r="K6" s="13">
        <f t="shared" ref="K6:K24" si="5">J6+I6</f>
        <v>0.81709999999999994</v>
      </c>
      <c r="L6" s="14"/>
      <c r="M6" s="14"/>
      <c r="N6" s="14"/>
      <c r="O6" s="15">
        <f t="shared" ref="O6:O24" si="6">L6/$F$2</f>
        <v>0</v>
      </c>
      <c r="P6" s="54"/>
      <c r="Q6" s="16">
        <f t="shared" ref="Q6:Q24" si="7">N6/$G$2</f>
        <v>0</v>
      </c>
      <c r="R6" s="17">
        <f t="shared" si="0"/>
        <v>0</v>
      </c>
      <c r="S6" s="54"/>
      <c r="T6" s="16">
        <f t="shared" si="1"/>
        <v>0</v>
      </c>
      <c r="U6" s="35">
        <v>98.089100000000002</v>
      </c>
      <c r="V6" s="35"/>
      <c r="W6" s="21"/>
      <c r="Z6" s="39"/>
      <c r="AA6" s="2"/>
    </row>
    <row r="7" spans="1:27" x14ac:dyDescent="0.45">
      <c r="A7" s="59"/>
      <c r="B7" s="22" t="s">
        <v>21</v>
      </c>
      <c r="C7" s="22">
        <v>3</v>
      </c>
      <c r="D7" s="22">
        <v>2.7972999999999999</v>
      </c>
      <c r="E7" s="22">
        <v>100</v>
      </c>
      <c r="F7" s="22">
        <v>2.9822000000000002</v>
      </c>
      <c r="G7" s="9">
        <f t="shared" si="2"/>
        <v>900</v>
      </c>
      <c r="H7" s="22">
        <v>3.5876999999999999</v>
      </c>
      <c r="I7" s="19">
        <f t="shared" si="3"/>
        <v>0.18490000000000029</v>
      </c>
      <c r="J7" s="19">
        <f t="shared" si="4"/>
        <v>0.60549999999999971</v>
      </c>
      <c r="K7" s="19">
        <f t="shared" si="5"/>
        <v>0.79039999999999999</v>
      </c>
      <c r="N7" s="20"/>
      <c r="O7" s="23">
        <f t="shared" si="6"/>
        <v>0</v>
      </c>
      <c r="P7" s="55"/>
      <c r="Q7" s="24">
        <f t="shared" si="7"/>
        <v>0</v>
      </c>
      <c r="R7" s="25">
        <f t="shared" si="0"/>
        <v>0</v>
      </c>
      <c r="S7" s="55"/>
      <c r="T7" s="24">
        <f t="shared" si="1"/>
        <v>0</v>
      </c>
      <c r="U7" s="2">
        <v>7.7272999999999996</v>
      </c>
      <c r="V7" s="2"/>
      <c r="W7" s="21">
        <f>AVERAGE(R7:R8)/100</f>
        <v>0</v>
      </c>
      <c r="Y7">
        <f>AVERAGE(T7:T8)/100</f>
        <v>0</v>
      </c>
      <c r="Z7" s="39">
        <f>AVERAGE(U7:V8)/100</f>
        <v>7.8757499999999994E-2</v>
      </c>
      <c r="AA7" s="2">
        <f t="shared" ref="AA7:AA23" si="8">SUM(W7:Z7)</f>
        <v>7.8757499999999994E-2</v>
      </c>
    </row>
    <row r="8" spans="1:27" x14ac:dyDescent="0.45">
      <c r="A8" s="59"/>
      <c r="B8" s="22" t="s">
        <v>21</v>
      </c>
      <c r="C8" s="22">
        <v>4</v>
      </c>
      <c r="D8" s="22">
        <v>2.7953000000000001</v>
      </c>
      <c r="E8" s="22">
        <v>100</v>
      </c>
      <c r="F8" s="22">
        <v>3.0093000000000001</v>
      </c>
      <c r="G8" s="9">
        <f t="shared" si="2"/>
        <v>900</v>
      </c>
      <c r="H8" s="22">
        <v>3.5657999999999999</v>
      </c>
      <c r="I8" s="19">
        <f t="shared" si="3"/>
        <v>0.21399999999999997</v>
      </c>
      <c r="J8" s="19">
        <f t="shared" si="4"/>
        <v>0.55649999999999977</v>
      </c>
      <c r="K8" s="19">
        <f t="shared" si="5"/>
        <v>0.77049999999999974</v>
      </c>
      <c r="L8" s="20"/>
      <c r="M8" s="20"/>
      <c r="N8" s="20"/>
      <c r="O8" s="23">
        <f t="shared" si="6"/>
        <v>0</v>
      </c>
      <c r="P8" s="55"/>
      <c r="Q8" s="24">
        <f t="shared" si="7"/>
        <v>0</v>
      </c>
      <c r="R8" s="25">
        <f t="shared" si="0"/>
        <v>0</v>
      </c>
      <c r="S8" s="55"/>
      <c r="T8" s="24">
        <f t="shared" si="1"/>
        <v>0</v>
      </c>
      <c r="U8" s="2">
        <v>8.0242000000000004</v>
      </c>
      <c r="V8" s="2"/>
      <c r="W8" s="21"/>
      <c r="Z8" s="39"/>
      <c r="AA8" s="2"/>
    </row>
    <row r="9" spans="1:27" x14ac:dyDescent="0.45">
      <c r="A9" s="59" t="s">
        <v>33</v>
      </c>
      <c r="B9" s="10" t="s">
        <v>20</v>
      </c>
      <c r="C9" s="11">
        <v>5</v>
      </c>
      <c r="D9" s="10">
        <v>2.7911000000000001</v>
      </c>
      <c r="E9" s="10">
        <v>300</v>
      </c>
      <c r="F9" s="11">
        <v>2.9916999999999998</v>
      </c>
      <c r="G9" s="10">
        <f t="shared" si="2"/>
        <v>700</v>
      </c>
      <c r="H9" s="11">
        <v>3.6113</v>
      </c>
      <c r="I9" s="13">
        <f t="shared" si="3"/>
        <v>0.20059999999999967</v>
      </c>
      <c r="J9" s="13">
        <f t="shared" si="4"/>
        <v>0.61960000000000015</v>
      </c>
      <c r="K9" s="13">
        <f t="shared" si="5"/>
        <v>0.82019999999999982</v>
      </c>
      <c r="L9" s="14"/>
      <c r="M9" s="14"/>
      <c r="N9" s="14"/>
      <c r="O9" s="15">
        <f t="shared" si="6"/>
        <v>0</v>
      </c>
      <c r="P9" s="54"/>
      <c r="Q9" s="16">
        <f t="shared" si="7"/>
        <v>0</v>
      </c>
      <c r="R9" s="17">
        <f t="shared" si="0"/>
        <v>0</v>
      </c>
      <c r="S9" s="54"/>
      <c r="T9" s="16">
        <f t="shared" si="1"/>
        <v>0</v>
      </c>
      <c r="U9" s="35">
        <v>98.7791</v>
      </c>
      <c r="V9" s="35"/>
      <c r="W9" s="18">
        <f>AVERAGE(R9:R10)/100</f>
        <v>0</v>
      </c>
      <c r="X9" s="28"/>
      <c r="Y9" s="28">
        <f>AVERAGE(T9:T10)/100</f>
        <v>0</v>
      </c>
      <c r="Z9" s="37">
        <f t="shared" ref="Z9" si="9">AVERAGE(U9:V10)/100</f>
        <v>0.98031750000000006</v>
      </c>
      <c r="AA9" s="2">
        <f t="shared" si="8"/>
        <v>0.98031750000000006</v>
      </c>
    </row>
    <row r="10" spans="1:27" x14ac:dyDescent="0.45">
      <c r="A10" s="59"/>
      <c r="B10" s="11" t="s">
        <v>20</v>
      </c>
      <c r="C10" s="11">
        <v>6</v>
      </c>
      <c r="D10" s="11">
        <v>2.8056999999999999</v>
      </c>
      <c r="E10" s="11">
        <v>300</v>
      </c>
      <c r="F10" s="11">
        <v>3.0124</v>
      </c>
      <c r="G10" s="10">
        <f t="shared" si="2"/>
        <v>700</v>
      </c>
      <c r="H10" s="11">
        <v>3.6202000000000001</v>
      </c>
      <c r="I10" s="13">
        <f t="shared" si="3"/>
        <v>0.20670000000000011</v>
      </c>
      <c r="J10" s="13">
        <f t="shared" si="4"/>
        <v>0.60780000000000012</v>
      </c>
      <c r="K10" s="13">
        <f t="shared" si="5"/>
        <v>0.81450000000000022</v>
      </c>
      <c r="L10" s="14"/>
      <c r="M10" s="14"/>
      <c r="N10" s="14"/>
      <c r="O10" s="15">
        <f t="shared" si="6"/>
        <v>0</v>
      </c>
      <c r="P10" s="54"/>
      <c r="Q10" s="16">
        <f t="shared" si="7"/>
        <v>0</v>
      </c>
      <c r="R10" s="17">
        <f t="shared" si="0"/>
        <v>0</v>
      </c>
      <c r="S10" s="54"/>
      <c r="T10" s="16">
        <f t="shared" si="1"/>
        <v>0</v>
      </c>
      <c r="U10" s="35">
        <v>97.284400000000005</v>
      </c>
      <c r="V10" s="35"/>
      <c r="W10" s="21"/>
      <c r="Z10" s="39"/>
      <c r="AA10" s="2"/>
    </row>
    <row r="11" spans="1:27" x14ac:dyDescent="0.45">
      <c r="A11" s="59"/>
      <c r="B11" s="22" t="s">
        <v>21</v>
      </c>
      <c r="C11" s="22">
        <v>7</v>
      </c>
      <c r="D11" s="22">
        <v>2.8658000000000001</v>
      </c>
      <c r="E11" s="22">
        <v>100</v>
      </c>
      <c r="F11" s="22">
        <v>3.0529999999999999</v>
      </c>
      <c r="G11" s="9">
        <f t="shared" si="2"/>
        <v>900</v>
      </c>
      <c r="H11" s="22">
        <v>3.6779999999999999</v>
      </c>
      <c r="I11" s="19">
        <f t="shared" si="3"/>
        <v>0.18719999999999981</v>
      </c>
      <c r="J11" s="19">
        <f t="shared" si="4"/>
        <v>0.625</v>
      </c>
      <c r="K11" s="19">
        <f t="shared" si="5"/>
        <v>0.81219999999999981</v>
      </c>
      <c r="L11" s="26"/>
      <c r="M11" s="26"/>
      <c r="N11" s="20"/>
      <c r="O11" s="23">
        <f t="shared" si="6"/>
        <v>0</v>
      </c>
      <c r="P11" s="55"/>
      <c r="Q11" s="24">
        <f t="shared" si="7"/>
        <v>0</v>
      </c>
      <c r="R11" s="25">
        <f t="shared" si="0"/>
        <v>0</v>
      </c>
      <c r="S11" s="55"/>
      <c r="T11" s="24">
        <f t="shared" si="1"/>
        <v>0</v>
      </c>
      <c r="U11" s="2">
        <v>2.9293</v>
      </c>
      <c r="V11" s="2"/>
      <c r="W11" s="21">
        <f>AVERAGE(R11:R12)/100</f>
        <v>0</v>
      </c>
      <c r="Y11">
        <f>AVERAGE(T11:T12)/100</f>
        <v>0</v>
      </c>
      <c r="Z11" s="39">
        <f t="shared" ref="Z11" si="10">AVERAGE(U11:V12)/100</f>
        <v>2.9239999999999999E-2</v>
      </c>
      <c r="AA11" s="2">
        <f t="shared" si="8"/>
        <v>2.9239999999999999E-2</v>
      </c>
    </row>
    <row r="12" spans="1:27" x14ac:dyDescent="0.45">
      <c r="A12" s="59"/>
      <c r="B12" s="22" t="s">
        <v>21</v>
      </c>
      <c r="C12" s="22">
        <v>8</v>
      </c>
      <c r="D12" s="22">
        <v>2.8542999999999998</v>
      </c>
      <c r="E12" s="22">
        <v>100</v>
      </c>
      <c r="F12" s="22">
        <v>3.0651999999999999</v>
      </c>
      <c r="G12" s="9">
        <f t="shared" si="2"/>
        <v>900</v>
      </c>
      <c r="H12" s="22">
        <v>3.6766999999999999</v>
      </c>
      <c r="I12" s="19">
        <f t="shared" si="3"/>
        <v>0.21090000000000009</v>
      </c>
      <c r="J12" s="19">
        <f t="shared" si="4"/>
        <v>0.61149999999999993</v>
      </c>
      <c r="K12" s="19">
        <f t="shared" si="5"/>
        <v>0.82240000000000002</v>
      </c>
      <c r="L12" s="20"/>
      <c r="M12" s="20"/>
      <c r="N12" s="20"/>
      <c r="O12" s="23">
        <f t="shared" si="6"/>
        <v>0</v>
      </c>
      <c r="P12" s="55"/>
      <c r="Q12" s="24">
        <f t="shared" si="7"/>
        <v>0</v>
      </c>
      <c r="R12" s="25">
        <f t="shared" si="0"/>
        <v>0</v>
      </c>
      <c r="S12" s="55"/>
      <c r="T12" s="24">
        <f t="shared" si="1"/>
        <v>0</v>
      </c>
      <c r="U12" s="2">
        <v>2.9186999999999999</v>
      </c>
      <c r="V12" s="2"/>
      <c r="W12" s="21"/>
      <c r="Z12" s="39"/>
      <c r="AA12" s="2"/>
    </row>
    <row r="13" spans="1:27" x14ac:dyDescent="0.45">
      <c r="A13" s="59" t="s">
        <v>34</v>
      </c>
      <c r="B13" s="10" t="s">
        <v>20</v>
      </c>
      <c r="C13" s="11">
        <v>9</v>
      </c>
      <c r="D13" s="10">
        <v>2.8603000000000001</v>
      </c>
      <c r="E13" s="10">
        <v>300</v>
      </c>
      <c r="F13" s="11">
        <v>3.0592999999999999</v>
      </c>
      <c r="G13" s="10">
        <f t="shared" si="2"/>
        <v>700</v>
      </c>
      <c r="H13" s="11">
        <v>3.6800999999999999</v>
      </c>
      <c r="I13" s="13">
        <f t="shared" si="3"/>
        <v>0.19899999999999984</v>
      </c>
      <c r="J13" s="13">
        <f t="shared" si="4"/>
        <v>0.62080000000000002</v>
      </c>
      <c r="K13" s="13">
        <f t="shared" si="5"/>
        <v>0.81979999999999986</v>
      </c>
      <c r="L13" s="14"/>
      <c r="M13" s="14"/>
      <c r="N13" s="14"/>
      <c r="O13" s="15">
        <f t="shared" si="6"/>
        <v>0</v>
      </c>
      <c r="P13" s="54"/>
      <c r="Q13" s="16">
        <f t="shared" si="7"/>
        <v>0</v>
      </c>
      <c r="R13" s="17">
        <f t="shared" si="0"/>
        <v>0</v>
      </c>
      <c r="S13" s="54"/>
      <c r="T13" s="16">
        <f t="shared" si="1"/>
        <v>0</v>
      </c>
      <c r="U13" s="35">
        <v>97.497600000000006</v>
      </c>
      <c r="V13" s="35"/>
      <c r="W13" s="18">
        <f>AVERAGE(R13:R14)/100</f>
        <v>0</v>
      </c>
      <c r="X13" s="28"/>
      <c r="Y13" s="28">
        <f>AVERAGE(T13:T14)/100</f>
        <v>0</v>
      </c>
      <c r="Z13" s="37">
        <f t="shared" ref="Z13" si="11">AVERAGE(U13:V14)/100</f>
        <v>0.97286550000000005</v>
      </c>
      <c r="AA13" s="2">
        <f t="shared" si="8"/>
        <v>0.97286550000000005</v>
      </c>
    </row>
    <row r="14" spans="1:27" x14ac:dyDescent="0.45">
      <c r="A14" s="59"/>
      <c r="B14" s="10" t="s">
        <v>20</v>
      </c>
      <c r="C14" s="11">
        <v>10</v>
      </c>
      <c r="D14" s="11">
        <v>2.8429000000000002</v>
      </c>
      <c r="E14" s="11">
        <v>300</v>
      </c>
      <c r="F14" s="11">
        <v>3.0459999999999998</v>
      </c>
      <c r="G14" s="10">
        <f t="shared" si="2"/>
        <v>700</v>
      </c>
      <c r="H14" s="11">
        <v>3.6530999999999998</v>
      </c>
      <c r="I14" s="13">
        <f t="shared" si="3"/>
        <v>0.20309999999999961</v>
      </c>
      <c r="J14" s="13">
        <f t="shared" si="4"/>
        <v>0.60709999999999997</v>
      </c>
      <c r="K14" s="13">
        <f t="shared" si="5"/>
        <v>0.81019999999999959</v>
      </c>
      <c r="L14" s="14"/>
      <c r="M14" s="14"/>
      <c r="N14" s="14"/>
      <c r="O14" s="15">
        <f t="shared" si="6"/>
        <v>0</v>
      </c>
      <c r="P14" s="54"/>
      <c r="Q14" s="16">
        <f t="shared" si="7"/>
        <v>0</v>
      </c>
      <c r="R14" s="17">
        <f t="shared" si="0"/>
        <v>0</v>
      </c>
      <c r="S14" s="54"/>
      <c r="T14" s="16">
        <f t="shared" si="1"/>
        <v>0</v>
      </c>
      <c r="U14" s="35">
        <v>97.075500000000005</v>
      </c>
      <c r="V14" s="35"/>
      <c r="W14" s="21"/>
      <c r="Z14" s="39"/>
      <c r="AA14" s="2"/>
    </row>
    <row r="15" spans="1:27" x14ac:dyDescent="0.45">
      <c r="A15" s="59"/>
      <c r="B15" s="22" t="s">
        <v>21</v>
      </c>
      <c r="C15" s="22">
        <v>11</v>
      </c>
      <c r="D15" s="22">
        <v>2.8675999999999999</v>
      </c>
      <c r="E15" s="22">
        <v>100</v>
      </c>
      <c r="F15" s="22">
        <v>3.0560999999999998</v>
      </c>
      <c r="G15" s="9">
        <f t="shared" si="2"/>
        <v>900</v>
      </c>
      <c r="H15" s="22">
        <v>3.6339000000000001</v>
      </c>
      <c r="I15" s="19">
        <f t="shared" si="3"/>
        <v>0.18849999999999989</v>
      </c>
      <c r="J15" s="19">
        <f t="shared" si="4"/>
        <v>0.57780000000000031</v>
      </c>
      <c r="K15" s="19">
        <f t="shared" si="5"/>
        <v>0.7663000000000002</v>
      </c>
      <c r="L15" s="20"/>
      <c r="M15" s="20"/>
      <c r="N15" s="27"/>
      <c r="O15" s="23">
        <f t="shared" si="6"/>
        <v>0</v>
      </c>
      <c r="P15" s="55"/>
      <c r="Q15" s="24">
        <f t="shared" si="7"/>
        <v>0</v>
      </c>
      <c r="R15" s="25">
        <f t="shared" si="0"/>
        <v>0</v>
      </c>
      <c r="S15" s="55"/>
      <c r="T15" s="24">
        <f t="shared" si="1"/>
        <v>0</v>
      </c>
      <c r="U15" s="2">
        <v>4.1294000000000004</v>
      </c>
      <c r="V15" s="2"/>
      <c r="W15" s="21">
        <f>AVERAGE(R15:R16)/100</f>
        <v>0</v>
      </c>
      <c r="Y15">
        <f>AVERAGE(T15:T16)/100</f>
        <v>0</v>
      </c>
      <c r="Z15" s="39">
        <f t="shared" ref="Z15" si="12">AVERAGE(U15:V16)/100</f>
        <v>4.1919999999999999E-2</v>
      </c>
      <c r="AA15" s="2">
        <f t="shared" si="8"/>
        <v>4.1919999999999999E-2</v>
      </c>
    </row>
    <row r="16" spans="1:27" x14ac:dyDescent="0.45">
      <c r="A16" s="59"/>
      <c r="B16" s="22" t="s">
        <v>21</v>
      </c>
      <c r="C16" s="22">
        <v>12</v>
      </c>
      <c r="D16" s="22">
        <v>2.8544</v>
      </c>
      <c r="E16" s="22">
        <v>100</v>
      </c>
      <c r="F16" s="22">
        <v>3.0581999999999998</v>
      </c>
      <c r="G16" s="9">
        <f t="shared" si="2"/>
        <v>900</v>
      </c>
      <c r="H16" s="22">
        <v>3.6349</v>
      </c>
      <c r="I16" s="19">
        <f t="shared" si="3"/>
        <v>0.20379999999999976</v>
      </c>
      <c r="J16" s="19">
        <f t="shared" si="4"/>
        <v>0.57670000000000021</v>
      </c>
      <c r="K16" s="19">
        <f t="shared" si="5"/>
        <v>0.78049999999999997</v>
      </c>
      <c r="L16" s="20"/>
      <c r="M16" s="20"/>
      <c r="N16" s="20"/>
      <c r="O16" s="23">
        <f t="shared" si="6"/>
        <v>0</v>
      </c>
      <c r="P16" s="55"/>
      <c r="Q16" s="24">
        <f t="shared" si="7"/>
        <v>0</v>
      </c>
      <c r="R16" s="25">
        <f t="shared" si="0"/>
        <v>0</v>
      </c>
      <c r="S16" s="55"/>
      <c r="T16" s="24">
        <f t="shared" si="1"/>
        <v>0</v>
      </c>
      <c r="U16" s="2">
        <v>4.2545999999999999</v>
      </c>
      <c r="V16" s="2"/>
      <c r="W16" s="21"/>
      <c r="Z16" s="39"/>
      <c r="AA16" s="2"/>
    </row>
    <row r="17" spans="1:27" x14ac:dyDescent="0.45">
      <c r="A17" s="59" t="s">
        <v>35</v>
      </c>
      <c r="B17" s="10" t="s">
        <v>20</v>
      </c>
      <c r="C17" s="11">
        <v>13</v>
      </c>
      <c r="D17" s="10">
        <v>2.7934000000000001</v>
      </c>
      <c r="E17" s="10">
        <v>300</v>
      </c>
      <c r="F17" s="11">
        <v>2.9943</v>
      </c>
      <c r="G17" s="10">
        <f t="shared" si="2"/>
        <v>700</v>
      </c>
      <c r="H17" s="11">
        <v>3.6160000000000001</v>
      </c>
      <c r="I17" s="13">
        <f t="shared" si="3"/>
        <v>0.20089999999999986</v>
      </c>
      <c r="J17" s="13">
        <f t="shared" si="4"/>
        <v>0.62170000000000014</v>
      </c>
      <c r="K17" s="13">
        <f t="shared" si="5"/>
        <v>0.8226</v>
      </c>
      <c r="L17" s="14"/>
      <c r="M17" s="14"/>
      <c r="N17" s="14"/>
      <c r="O17" s="15">
        <f t="shared" si="6"/>
        <v>0</v>
      </c>
      <c r="P17" s="54"/>
      <c r="Q17" s="16">
        <f t="shared" si="7"/>
        <v>0</v>
      </c>
      <c r="R17" s="17">
        <f t="shared" si="0"/>
        <v>0</v>
      </c>
      <c r="S17" s="54"/>
      <c r="T17" s="16">
        <f t="shared" si="1"/>
        <v>0</v>
      </c>
      <c r="U17" s="35">
        <v>94.045299999999997</v>
      </c>
      <c r="V17" s="35"/>
      <c r="W17" s="18">
        <f>AVERAGE(R17:R18)/100</f>
        <v>0</v>
      </c>
      <c r="X17" s="28"/>
      <c r="Y17" s="28">
        <f>AVERAGE(T17:T18)/100</f>
        <v>0</v>
      </c>
      <c r="Z17" s="37">
        <f t="shared" ref="Z17" si="13">AVERAGE(U17:V18)/100</f>
        <v>0.93822900000000009</v>
      </c>
      <c r="AA17" s="2">
        <f t="shared" si="8"/>
        <v>0.93822900000000009</v>
      </c>
    </row>
    <row r="18" spans="1:27" x14ac:dyDescent="0.45">
      <c r="A18" s="59"/>
      <c r="B18" s="11" t="s">
        <v>20</v>
      </c>
      <c r="C18" s="11">
        <v>14</v>
      </c>
      <c r="D18" s="11">
        <v>2.8597000000000001</v>
      </c>
      <c r="E18" s="11">
        <v>300</v>
      </c>
      <c r="F18" s="11">
        <v>3.0661999999999998</v>
      </c>
      <c r="G18" s="10">
        <f t="shared" si="2"/>
        <v>700</v>
      </c>
      <c r="H18" s="11">
        <v>3.6960999999999999</v>
      </c>
      <c r="I18" s="13">
        <f t="shared" si="3"/>
        <v>0.20649999999999968</v>
      </c>
      <c r="J18" s="13">
        <f t="shared" si="4"/>
        <v>0.62990000000000013</v>
      </c>
      <c r="K18" s="13">
        <f t="shared" si="5"/>
        <v>0.83639999999999981</v>
      </c>
      <c r="L18" s="14"/>
      <c r="M18" s="14"/>
      <c r="N18" s="14"/>
      <c r="O18" s="15">
        <f t="shared" si="6"/>
        <v>0</v>
      </c>
      <c r="P18" s="54"/>
      <c r="Q18" s="16">
        <f t="shared" si="7"/>
        <v>0</v>
      </c>
      <c r="R18" s="17">
        <f t="shared" si="0"/>
        <v>0</v>
      </c>
      <c r="S18" s="54"/>
      <c r="T18" s="16">
        <f t="shared" si="1"/>
        <v>0</v>
      </c>
      <c r="U18" s="35">
        <v>93.600499999999997</v>
      </c>
      <c r="V18" s="35"/>
      <c r="W18" s="21"/>
      <c r="Z18" s="39"/>
      <c r="AA18" s="2"/>
    </row>
    <row r="19" spans="1:27" x14ac:dyDescent="0.45">
      <c r="A19" s="59"/>
      <c r="B19" s="22" t="s">
        <v>21</v>
      </c>
      <c r="C19" s="22">
        <v>15</v>
      </c>
      <c r="D19" s="22">
        <v>2.7970000000000002</v>
      </c>
      <c r="E19" s="22">
        <v>100</v>
      </c>
      <c r="F19" s="22">
        <v>2.9859</v>
      </c>
      <c r="G19" s="9">
        <f t="shared" si="2"/>
        <v>900</v>
      </c>
      <c r="H19" s="22">
        <v>2.5977999999999999</v>
      </c>
      <c r="I19" s="19">
        <f t="shared" si="3"/>
        <v>0.18889999999999985</v>
      </c>
      <c r="J19" s="19">
        <f t="shared" si="4"/>
        <v>-0.38810000000000011</v>
      </c>
      <c r="K19" s="19">
        <f t="shared" si="5"/>
        <v>-0.19920000000000027</v>
      </c>
      <c r="L19" s="20"/>
      <c r="M19" s="20"/>
      <c r="N19" s="20"/>
      <c r="O19" s="23">
        <f t="shared" si="6"/>
        <v>0</v>
      </c>
      <c r="P19" s="55"/>
      <c r="Q19" s="24">
        <f t="shared" si="7"/>
        <v>0</v>
      </c>
      <c r="R19" s="25">
        <f t="shared" si="0"/>
        <v>0</v>
      </c>
      <c r="S19" s="55"/>
      <c r="T19" s="24">
        <f t="shared" si="1"/>
        <v>0</v>
      </c>
      <c r="U19" s="2">
        <v>5.4714</v>
      </c>
      <c r="V19" s="2"/>
      <c r="W19" s="21">
        <f>AVERAGE(R19:R20)/100</f>
        <v>0</v>
      </c>
      <c r="Y19">
        <f>AVERAGE(T19:T20)/100</f>
        <v>0</v>
      </c>
      <c r="Z19" s="39">
        <f t="shared" ref="Z19" si="14">AVERAGE(U19:V20)/100</f>
        <v>5.5789499999999999E-2</v>
      </c>
      <c r="AA19" s="2">
        <f t="shared" si="8"/>
        <v>5.5789499999999999E-2</v>
      </c>
    </row>
    <row r="20" spans="1:27" x14ac:dyDescent="0.45">
      <c r="A20" s="59"/>
      <c r="B20" s="22" t="s">
        <v>21</v>
      </c>
      <c r="C20" s="22">
        <v>16</v>
      </c>
      <c r="D20" s="22">
        <v>2.8439999999999999</v>
      </c>
      <c r="E20" s="22">
        <v>100</v>
      </c>
      <c r="F20" s="22">
        <v>3.0682</v>
      </c>
      <c r="G20" s="9">
        <f t="shared" si="2"/>
        <v>900</v>
      </c>
      <c r="H20" s="22">
        <v>3.6787999999999998</v>
      </c>
      <c r="I20" s="19">
        <f t="shared" si="3"/>
        <v>0.22420000000000018</v>
      </c>
      <c r="J20" s="19">
        <f t="shared" si="4"/>
        <v>0.61059999999999981</v>
      </c>
      <c r="K20" s="19">
        <f t="shared" si="5"/>
        <v>0.83479999999999999</v>
      </c>
      <c r="L20" s="20"/>
      <c r="M20" s="20"/>
      <c r="N20" s="20"/>
      <c r="O20" s="23">
        <f t="shared" si="6"/>
        <v>0</v>
      </c>
      <c r="P20" s="55"/>
      <c r="Q20" s="24">
        <f t="shared" si="7"/>
        <v>0</v>
      </c>
      <c r="R20" s="25">
        <f t="shared" si="0"/>
        <v>0</v>
      </c>
      <c r="S20" s="55"/>
      <c r="T20" s="24">
        <f t="shared" si="1"/>
        <v>0</v>
      </c>
      <c r="U20" s="2">
        <v>5.6864999999999997</v>
      </c>
      <c r="V20" s="2"/>
      <c r="W20" s="21"/>
      <c r="Z20" s="39"/>
      <c r="AA20" s="2"/>
    </row>
    <row r="21" spans="1:27" x14ac:dyDescent="0.45">
      <c r="A21" s="59" t="s">
        <v>36</v>
      </c>
      <c r="B21" s="10" t="s">
        <v>20</v>
      </c>
      <c r="C21" s="11">
        <v>17</v>
      </c>
      <c r="D21" s="10">
        <v>2.8170999999999999</v>
      </c>
      <c r="E21" s="10">
        <v>300</v>
      </c>
      <c r="F21" s="11">
        <v>3.0182000000000002</v>
      </c>
      <c r="G21" s="10">
        <f t="shared" si="2"/>
        <v>700</v>
      </c>
      <c r="H21" s="11">
        <v>3.6413000000000002</v>
      </c>
      <c r="I21" s="13">
        <f t="shared" si="3"/>
        <v>0.20110000000000028</v>
      </c>
      <c r="J21" s="13">
        <f t="shared" si="4"/>
        <v>0.62309999999999999</v>
      </c>
      <c r="K21" s="13">
        <f t="shared" si="5"/>
        <v>0.82420000000000027</v>
      </c>
      <c r="L21" s="14"/>
      <c r="M21" s="14"/>
      <c r="N21" s="14"/>
      <c r="O21" s="15">
        <f t="shared" si="6"/>
        <v>0</v>
      </c>
      <c r="P21" s="54"/>
      <c r="Q21" s="16">
        <f t="shared" si="7"/>
        <v>0</v>
      </c>
      <c r="R21" s="17">
        <f t="shared" si="0"/>
        <v>0</v>
      </c>
      <c r="S21" s="54"/>
      <c r="T21" s="16">
        <f t="shared" ref="T21:T24" si="15">Q21*$K21/$I21</f>
        <v>0</v>
      </c>
      <c r="U21" s="35">
        <v>99.635900000000007</v>
      </c>
      <c r="V21" s="35"/>
      <c r="W21" s="18">
        <f>AVERAGE(R21:R22)/100</f>
        <v>0</v>
      </c>
      <c r="X21" s="28"/>
      <c r="Y21" s="28">
        <f>AVERAGE(T21:T22)/100</f>
        <v>0</v>
      </c>
      <c r="Z21" s="37">
        <f t="shared" ref="Z21" si="16">AVERAGE(U21:V22)/100</f>
        <v>0.99300949999999999</v>
      </c>
      <c r="AA21" s="2">
        <f t="shared" si="8"/>
        <v>0.99300949999999999</v>
      </c>
    </row>
    <row r="22" spans="1:27" x14ac:dyDescent="0.45">
      <c r="A22" s="59"/>
      <c r="B22" s="11" t="s">
        <v>20</v>
      </c>
      <c r="C22" s="11">
        <v>18</v>
      </c>
      <c r="D22" s="11">
        <v>2.8546</v>
      </c>
      <c r="E22" s="11">
        <v>300</v>
      </c>
      <c r="F22" s="11">
        <v>3.0634000000000001</v>
      </c>
      <c r="G22" s="10">
        <f t="shared" si="2"/>
        <v>700</v>
      </c>
      <c r="H22" s="11">
        <v>3.6714000000000002</v>
      </c>
      <c r="I22" s="13">
        <f t="shared" si="3"/>
        <v>0.2088000000000001</v>
      </c>
      <c r="J22" s="13">
        <f t="shared" si="4"/>
        <v>0.6080000000000001</v>
      </c>
      <c r="K22" s="13">
        <f t="shared" si="5"/>
        <v>0.81680000000000019</v>
      </c>
      <c r="L22" s="14"/>
      <c r="M22" s="14"/>
      <c r="N22" s="14"/>
      <c r="O22" s="15">
        <f t="shared" si="6"/>
        <v>0</v>
      </c>
      <c r="P22" s="54"/>
      <c r="Q22" s="16">
        <f t="shared" si="7"/>
        <v>0</v>
      </c>
      <c r="R22" s="17">
        <f t="shared" si="0"/>
        <v>0</v>
      </c>
      <c r="S22" s="54"/>
      <c r="T22" s="16">
        <f t="shared" si="15"/>
        <v>0</v>
      </c>
      <c r="U22" s="35">
        <v>98.965999999999994</v>
      </c>
      <c r="V22" s="35"/>
      <c r="W22" s="21"/>
      <c r="Z22" s="39"/>
      <c r="AA22" s="2"/>
    </row>
    <row r="23" spans="1:27" x14ac:dyDescent="0.45">
      <c r="A23" s="59"/>
      <c r="B23" s="22" t="s">
        <v>21</v>
      </c>
      <c r="C23" s="22">
        <v>19</v>
      </c>
      <c r="D23" s="22">
        <v>2.8414999999999999</v>
      </c>
      <c r="E23" s="22">
        <v>100</v>
      </c>
      <c r="F23" s="22">
        <v>3.0318000000000001</v>
      </c>
      <c r="G23" s="9">
        <f t="shared" si="2"/>
        <v>900</v>
      </c>
      <c r="H23" s="22">
        <v>3.6221999999999999</v>
      </c>
      <c r="I23" s="19">
        <f t="shared" si="3"/>
        <v>0.19030000000000014</v>
      </c>
      <c r="J23" s="19">
        <f t="shared" si="4"/>
        <v>0.59039999999999981</v>
      </c>
      <c r="K23" s="19">
        <f t="shared" si="5"/>
        <v>0.78069999999999995</v>
      </c>
      <c r="L23" s="20"/>
      <c r="M23" s="20"/>
      <c r="N23" s="20"/>
      <c r="O23" s="23">
        <f t="shared" si="6"/>
        <v>0</v>
      </c>
      <c r="P23" s="55"/>
      <c r="Q23" s="24">
        <f t="shared" si="7"/>
        <v>0</v>
      </c>
      <c r="R23" s="25">
        <f t="shared" si="0"/>
        <v>0</v>
      </c>
      <c r="S23" s="55"/>
      <c r="T23" s="24">
        <f t="shared" si="15"/>
        <v>0</v>
      </c>
      <c r="U23" s="2">
        <v>3.5236000000000001</v>
      </c>
      <c r="V23" s="2"/>
      <c r="W23" s="21">
        <f>AVERAGE(R23:R24)/100</f>
        <v>0</v>
      </c>
      <c r="Y23">
        <f>AVERAGE(T23:T24)/100</f>
        <v>0</v>
      </c>
      <c r="Z23" s="39">
        <f t="shared" ref="Z23" si="17">AVERAGE(U23:V24)/100</f>
        <v>3.5160499999999997E-2</v>
      </c>
      <c r="AA23" s="2">
        <f t="shared" si="8"/>
        <v>3.5160499999999997E-2</v>
      </c>
    </row>
    <row r="24" spans="1:27" ht="14.65" thickBot="1" x14ac:dyDescent="0.5">
      <c r="A24" s="59"/>
      <c r="B24" s="22" t="s">
        <v>21</v>
      </c>
      <c r="C24" s="22">
        <v>20</v>
      </c>
      <c r="D24" s="22">
        <v>2.8374999999999999</v>
      </c>
      <c r="E24" s="22">
        <v>100</v>
      </c>
      <c r="F24" s="22">
        <v>3.0545</v>
      </c>
      <c r="G24" s="9">
        <f t="shared" si="2"/>
        <v>900</v>
      </c>
      <c r="H24" s="22">
        <v>3.6627999999999998</v>
      </c>
      <c r="I24" s="19">
        <f t="shared" si="3"/>
        <v>0.21700000000000008</v>
      </c>
      <c r="J24" s="19">
        <f t="shared" si="4"/>
        <v>0.60829999999999984</v>
      </c>
      <c r="K24" s="19">
        <f t="shared" si="5"/>
        <v>0.82529999999999992</v>
      </c>
      <c r="L24" s="20"/>
      <c r="M24" s="20"/>
      <c r="N24" s="20"/>
      <c r="O24" s="34">
        <f t="shared" si="6"/>
        <v>0</v>
      </c>
      <c r="P24" s="56"/>
      <c r="Q24" s="33">
        <f t="shared" si="7"/>
        <v>0</v>
      </c>
      <c r="R24" s="25">
        <f t="shared" si="0"/>
        <v>0</v>
      </c>
      <c r="S24" s="55"/>
      <c r="T24" s="24">
        <f t="shared" si="15"/>
        <v>0</v>
      </c>
      <c r="U24" s="40">
        <v>3.5085000000000002</v>
      </c>
      <c r="V24" s="40"/>
      <c r="W24" s="29"/>
      <c r="X24" s="30"/>
      <c r="Y24" s="30"/>
      <c r="Z24" s="42"/>
      <c r="AA24" s="2"/>
    </row>
  </sheetData>
  <mergeCells count="8">
    <mergeCell ref="A17:A20"/>
    <mergeCell ref="A21:A24"/>
    <mergeCell ref="O3:Q3"/>
    <mergeCell ref="R3:T3"/>
    <mergeCell ref="U3:V3"/>
    <mergeCell ref="A5:A8"/>
    <mergeCell ref="A9:A12"/>
    <mergeCell ref="A13:A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6651-4BB9-43F2-B8F8-1BD52FFA8D65}">
  <sheetPr>
    <tabColor theme="7"/>
  </sheetPr>
  <dimension ref="A1:AA24"/>
  <sheetViews>
    <sheetView topLeftCell="F1" workbookViewId="0">
      <selection activeCell="N3" sqref="N3"/>
    </sheetView>
  </sheetViews>
  <sheetFormatPr defaultRowHeight="14.25" x14ac:dyDescent="0.45"/>
  <cols>
    <col min="4" max="4" width="8.33203125" customWidth="1"/>
    <col min="5" max="5" width="10.53125" customWidth="1"/>
    <col min="6" max="6" width="13.59765625" customWidth="1"/>
    <col min="7" max="7" width="10.6640625" style="2" customWidth="1"/>
    <col min="8" max="8" width="12.73046875" bestFit="1" customWidth="1"/>
    <col min="12" max="12" width="10.46484375" bestFit="1" customWidth="1"/>
    <col min="13" max="13" width="10.46484375" customWidth="1"/>
    <col min="14" max="14" width="12.59765625" bestFit="1" customWidth="1"/>
    <col min="15" max="15" width="11.1328125" bestFit="1" customWidth="1"/>
    <col min="16" max="16" width="11.1328125" customWidth="1"/>
    <col min="17" max="17" width="13.6640625" bestFit="1" customWidth="1"/>
    <col min="18" max="18" width="11.1328125" bestFit="1" customWidth="1"/>
    <col min="19" max="19" width="11.1328125" customWidth="1"/>
    <col min="20" max="20" width="13.6640625" bestFit="1" customWidth="1"/>
    <col min="21" max="22" width="9.53125" customWidth="1"/>
  </cols>
  <sheetData>
    <row r="1" spans="1:27" ht="28.9" thickBot="1" x14ac:dyDescent="0.9">
      <c r="F1" s="47" t="s">
        <v>44</v>
      </c>
      <c r="G1" s="47" t="s">
        <v>50</v>
      </c>
    </row>
    <row r="2" spans="1:27" ht="14.65" thickBot="1" x14ac:dyDescent="0.5">
      <c r="E2" t="s">
        <v>5</v>
      </c>
      <c r="F2">
        <v>363.57560000000001</v>
      </c>
      <c r="G2"/>
      <c r="H2" s="1"/>
    </row>
    <row r="3" spans="1:27" ht="14.65" thickBot="1" x14ac:dyDescent="0.5">
      <c r="M3" t="s">
        <v>60</v>
      </c>
      <c r="N3" t="s">
        <v>67</v>
      </c>
      <c r="O3" s="60" t="s">
        <v>6</v>
      </c>
      <c r="P3" s="61"/>
      <c r="Q3" s="62"/>
      <c r="R3" s="61" t="s">
        <v>7</v>
      </c>
      <c r="S3" s="61"/>
      <c r="T3" s="62"/>
      <c r="U3" s="63" t="s">
        <v>46</v>
      </c>
      <c r="V3" s="64"/>
    </row>
    <row r="4" spans="1:27" ht="14.65" thickBot="1" x14ac:dyDescent="0.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42</v>
      </c>
      <c r="H4" s="3" t="s">
        <v>14</v>
      </c>
      <c r="I4" s="4" t="s">
        <v>15</v>
      </c>
      <c r="J4" s="4" t="s">
        <v>43</v>
      </c>
      <c r="K4" s="4" t="s">
        <v>16</v>
      </c>
      <c r="L4" s="4" t="s">
        <v>17</v>
      </c>
      <c r="M4" s="48" t="s">
        <v>63</v>
      </c>
      <c r="N4" s="5" t="s">
        <v>55</v>
      </c>
      <c r="O4" s="31" t="s">
        <v>45</v>
      </c>
      <c r="P4" s="49" t="s">
        <v>56</v>
      </c>
      <c r="Q4" s="32" t="s">
        <v>57</v>
      </c>
      <c r="R4" s="31" t="s">
        <v>45</v>
      </c>
      <c r="S4" s="49" t="s">
        <v>56</v>
      </c>
      <c r="T4" s="32" t="s">
        <v>57</v>
      </c>
      <c r="U4" s="7">
        <v>1</v>
      </c>
      <c r="V4" s="7">
        <v>2</v>
      </c>
      <c r="W4" s="6" t="s">
        <v>18</v>
      </c>
      <c r="X4" s="7" t="s">
        <v>58</v>
      </c>
      <c r="Y4" s="7" t="s">
        <v>59</v>
      </c>
      <c r="Z4" s="8" t="s">
        <v>19</v>
      </c>
    </row>
    <row r="5" spans="1:27" x14ac:dyDescent="0.45">
      <c r="A5" s="59" t="s">
        <v>37</v>
      </c>
      <c r="B5" s="10" t="s">
        <v>20</v>
      </c>
      <c r="C5" s="11">
        <v>1</v>
      </c>
      <c r="D5" s="12">
        <v>2.8241999999999998</v>
      </c>
      <c r="E5" s="10">
        <v>300</v>
      </c>
      <c r="F5" s="11">
        <v>2.9878</v>
      </c>
      <c r="G5" s="10">
        <f>1000-E5</f>
        <v>700</v>
      </c>
      <c r="H5" s="11">
        <v>3.6215000000000002</v>
      </c>
      <c r="I5" s="13">
        <f>F5-D5</f>
        <v>0.16360000000000019</v>
      </c>
      <c r="J5" s="13">
        <f>H5-F5</f>
        <v>0.63370000000000015</v>
      </c>
      <c r="K5" s="13">
        <f>J5+I5</f>
        <v>0.79730000000000034</v>
      </c>
      <c r="L5" s="14"/>
      <c r="M5" s="14"/>
      <c r="N5" s="14"/>
      <c r="O5" s="15">
        <f>L5/$F$2</f>
        <v>0</v>
      </c>
      <c r="P5" s="54"/>
      <c r="Q5" s="16" t="e">
        <f>N5/$G$2</f>
        <v>#DIV/0!</v>
      </c>
      <c r="R5" s="17">
        <f t="shared" ref="R5:R24" si="0">O5*$K5/$I5</f>
        <v>0</v>
      </c>
      <c r="S5" s="54"/>
      <c r="T5" s="16" t="e">
        <f t="shared" ref="T5:T20" si="1">Q5*$K5/$I5</f>
        <v>#DIV/0!</v>
      </c>
      <c r="U5" s="35">
        <v>1.6603000000000001</v>
      </c>
      <c r="V5" s="35"/>
      <c r="W5" s="43">
        <f>AVERAGE(R5:R6)/100</f>
        <v>0</v>
      </c>
      <c r="X5" s="44"/>
      <c r="Y5" s="44" t="e">
        <f>AVERAGE(T5:T6)/100</f>
        <v>#DIV/0!</v>
      </c>
      <c r="Z5" s="45">
        <f>AVERAGE(U5:V6)/100</f>
        <v>1.6400000000000001E-2</v>
      </c>
      <c r="AA5" s="2" t="e">
        <f>SUM(W5:Z5)</f>
        <v>#DIV/0!</v>
      </c>
    </row>
    <row r="6" spans="1:27" x14ac:dyDescent="0.45">
      <c r="A6" s="59"/>
      <c r="B6" s="11" t="s">
        <v>20</v>
      </c>
      <c r="C6" s="11">
        <v>2</v>
      </c>
      <c r="D6" s="11">
        <v>2.8409</v>
      </c>
      <c r="E6" s="11">
        <v>300</v>
      </c>
      <c r="F6" s="11">
        <v>3.0310999999999999</v>
      </c>
      <c r="G6" s="10">
        <f t="shared" ref="G6:G24" si="2">1000-E6</f>
        <v>700</v>
      </c>
      <c r="H6" s="11">
        <v>3.661</v>
      </c>
      <c r="I6" s="13">
        <f t="shared" ref="I6:I24" si="3">F6-D6</f>
        <v>0.19019999999999992</v>
      </c>
      <c r="J6" s="13">
        <f t="shared" ref="J6:J24" si="4">H6-F6</f>
        <v>0.62990000000000013</v>
      </c>
      <c r="K6" s="13">
        <f t="shared" ref="K6:K24" si="5">J6+I6</f>
        <v>0.82010000000000005</v>
      </c>
      <c r="L6" s="14"/>
      <c r="M6" s="14"/>
      <c r="N6" s="14"/>
      <c r="O6" s="15">
        <f t="shared" ref="O6:O24" si="6">L6/$F$2</f>
        <v>0</v>
      </c>
      <c r="P6" s="54"/>
      <c r="Q6" s="16" t="e">
        <f t="shared" ref="Q6:Q24" si="7">N6/$G$2</f>
        <v>#DIV/0!</v>
      </c>
      <c r="R6" s="17">
        <f t="shared" si="0"/>
        <v>0</v>
      </c>
      <c r="S6" s="54"/>
      <c r="T6" s="16" t="e">
        <f t="shared" si="1"/>
        <v>#DIV/0!</v>
      </c>
      <c r="U6" s="35">
        <v>1.6196999999999999</v>
      </c>
      <c r="V6" s="35"/>
      <c r="W6" s="21"/>
      <c r="Z6" s="39"/>
      <c r="AA6" s="2"/>
    </row>
    <row r="7" spans="1:27" x14ac:dyDescent="0.45">
      <c r="A7" s="59"/>
      <c r="B7" s="22" t="s">
        <v>21</v>
      </c>
      <c r="C7" s="22">
        <v>3</v>
      </c>
      <c r="D7" s="22">
        <v>2.7509999999999999</v>
      </c>
      <c r="E7" s="22">
        <v>100</v>
      </c>
      <c r="F7" s="22">
        <v>2.9514999999999998</v>
      </c>
      <c r="G7" s="9">
        <f t="shared" si="2"/>
        <v>900</v>
      </c>
      <c r="H7" s="22">
        <v>3.5893999999999999</v>
      </c>
      <c r="I7" s="19">
        <f t="shared" si="3"/>
        <v>0.2004999999999999</v>
      </c>
      <c r="J7" s="19">
        <f t="shared" si="4"/>
        <v>0.63790000000000013</v>
      </c>
      <c r="K7" s="19">
        <f t="shared" si="5"/>
        <v>0.83840000000000003</v>
      </c>
      <c r="N7" s="20"/>
      <c r="O7" s="23">
        <f t="shared" si="6"/>
        <v>0</v>
      </c>
      <c r="P7" s="55"/>
      <c r="Q7" s="24" t="e">
        <f t="shared" si="7"/>
        <v>#DIV/0!</v>
      </c>
      <c r="R7" s="25">
        <f t="shared" si="0"/>
        <v>0</v>
      </c>
      <c r="S7" s="55"/>
      <c r="T7" s="24" t="e">
        <f t="shared" si="1"/>
        <v>#DIV/0!</v>
      </c>
      <c r="U7" s="2">
        <v>98.087500000000006</v>
      </c>
      <c r="V7" s="2"/>
      <c r="W7" s="21">
        <f>AVERAGE(R7:R8)/100</f>
        <v>0</v>
      </c>
      <c r="Y7" t="e">
        <f>AVERAGE(T7:T8)/100</f>
        <v>#DIV/0!</v>
      </c>
      <c r="Z7" s="39">
        <f>AVERAGE(U7:V8)/100</f>
        <v>0.98447750000000012</v>
      </c>
      <c r="AA7" s="2" t="e">
        <f t="shared" ref="AA7:AA23" si="8">SUM(W7:Z7)</f>
        <v>#DIV/0!</v>
      </c>
    </row>
    <row r="8" spans="1:27" x14ac:dyDescent="0.45">
      <c r="A8" s="59"/>
      <c r="B8" s="22" t="s">
        <v>21</v>
      </c>
      <c r="C8" s="22">
        <v>4</v>
      </c>
      <c r="D8" s="22">
        <v>2.7360000000000002</v>
      </c>
      <c r="E8" s="22">
        <v>100</v>
      </c>
      <c r="F8" s="22">
        <v>2.9445999999999999</v>
      </c>
      <c r="G8" s="9">
        <f t="shared" si="2"/>
        <v>900</v>
      </c>
      <c r="H8" s="22">
        <v>3.5794000000000001</v>
      </c>
      <c r="I8" s="19">
        <f t="shared" si="3"/>
        <v>0.20859999999999967</v>
      </c>
      <c r="J8" s="19">
        <f t="shared" si="4"/>
        <v>0.63480000000000025</v>
      </c>
      <c r="K8" s="19">
        <f t="shared" si="5"/>
        <v>0.84339999999999993</v>
      </c>
      <c r="L8" s="20"/>
      <c r="M8" s="20"/>
      <c r="N8" s="20"/>
      <c r="O8" s="23">
        <f t="shared" si="6"/>
        <v>0</v>
      </c>
      <c r="P8" s="55"/>
      <c r="Q8" s="24" t="e">
        <f t="shared" si="7"/>
        <v>#DIV/0!</v>
      </c>
      <c r="R8" s="25">
        <f t="shared" si="0"/>
        <v>0</v>
      </c>
      <c r="S8" s="55"/>
      <c r="T8" s="24" t="e">
        <f t="shared" si="1"/>
        <v>#DIV/0!</v>
      </c>
      <c r="U8" s="2">
        <v>98.808000000000007</v>
      </c>
      <c r="V8" s="2"/>
      <c r="W8" s="21"/>
      <c r="Z8" s="39"/>
      <c r="AA8" s="2"/>
    </row>
    <row r="9" spans="1:27" x14ac:dyDescent="0.45">
      <c r="A9" s="59" t="s">
        <v>38</v>
      </c>
      <c r="B9" s="10" t="s">
        <v>20</v>
      </c>
      <c r="C9" s="11">
        <v>5</v>
      </c>
      <c r="D9" s="10">
        <v>2.7519999999999998</v>
      </c>
      <c r="E9" s="10">
        <v>300</v>
      </c>
      <c r="F9" s="11">
        <v>2.8708999999999998</v>
      </c>
      <c r="G9" s="10">
        <f t="shared" si="2"/>
        <v>700</v>
      </c>
      <c r="H9" s="11">
        <v>3.5013000000000001</v>
      </c>
      <c r="I9" s="13">
        <f t="shared" si="3"/>
        <v>0.11890000000000001</v>
      </c>
      <c r="J9" s="13">
        <f t="shared" si="4"/>
        <v>0.63040000000000029</v>
      </c>
      <c r="K9" s="13">
        <f t="shared" si="5"/>
        <v>0.7493000000000003</v>
      </c>
      <c r="L9" s="14"/>
      <c r="M9" s="14"/>
      <c r="N9" s="14"/>
      <c r="O9" s="15">
        <f t="shared" si="6"/>
        <v>0</v>
      </c>
      <c r="P9" s="54"/>
      <c r="Q9" s="16" t="e">
        <f t="shared" si="7"/>
        <v>#DIV/0!</v>
      </c>
      <c r="R9" s="17">
        <f t="shared" si="0"/>
        <v>0</v>
      </c>
      <c r="S9" s="54"/>
      <c r="T9" s="16" t="e">
        <f t="shared" si="1"/>
        <v>#DIV/0!</v>
      </c>
      <c r="U9" s="35">
        <v>88.713999999999999</v>
      </c>
      <c r="V9" s="35"/>
      <c r="W9" s="18">
        <f>AVERAGE(R9:R10)/100</f>
        <v>0</v>
      </c>
      <c r="X9" s="28"/>
      <c r="Y9" s="28" t="e">
        <f>AVERAGE(T9:T10)/100</f>
        <v>#DIV/0!</v>
      </c>
      <c r="Z9" s="37">
        <f t="shared" ref="Z9" si="9">AVERAGE(U9:V10)/100</f>
        <v>0.89314400000000005</v>
      </c>
      <c r="AA9" s="2" t="e">
        <f t="shared" si="8"/>
        <v>#DIV/0!</v>
      </c>
    </row>
    <row r="10" spans="1:27" x14ac:dyDescent="0.45">
      <c r="A10" s="59"/>
      <c r="B10" s="11" t="s">
        <v>20</v>
      </c>
      <c r="C10" s="11">
        <v>6</v>
      </c>
      <c r="D10" s="11">
        <v>2.8169</v>
      </c>
      <c r="E10" s="11">
        <v>300</v>
      </c>
      <c r="F10" s="11">
        <v>2.9386999999999999</v>
      </c>
      <c r="G10" s="10">
        <f t="shared" si="2"/>
        <v>700</v>
      </c>
      <c r="H10" s="11">
        <v>3.5666000000000002</v>
      </c>
      <c r="I10" s="13">
        <f t="shared" si="3"/>
        <v>0.12179999999999991</v>
      </c>
      <c r="J10" s="13">
        <f t="shared" si="4"/>
        <v>0.62790000000000035</v>
      </c>
      <c r="K10" s="13">
        <f t="shared" si="5"/>
        <v>0.74970000000000026</v>
      </c>
      <c r="L10" s="14"/>
      <c r="M10" s="14"/>
      <c r="N10" s="14"/>
      <c r="O10" s="15">
        <f t="shared" si="6"/>
        <v>0</v>
      </c>
      <c r="P10" s="54"/>
      <c r="Q10" s="16" t="e">
        <f t="shared" si="7"/>
        <v>#DIV/0!</v>
      </c>
      <c r="R10" s="17">
        <f t="shared" si="0"/>
        <v>0</v>
      </c>
      <c r="S10" s="54"/>
      <c r="T10" s="16" t="e">
        <f t="shared" si="1"/>
        <v>#DIV/0!</v>
      </c>
      <c r="U10" s="35">
        <v>89.9148</v>
      </c>
      <c r="V10" s="35"/>
      <c r="W10" s="21"/>
      <c r="Z10" s="39"/>
      <c r="AA10" s="2"/>
    </row>
    <row r="11" spans="1:27" x14ac:dyDescent="0.45">
      <c r="A11" s="59"/>
      <c r="B11" s="22" t="s">
        <v>21</v>
      </c>
      <c r="C11" s="22">
        <v>7</v>
      </c>
      <c r="D11" s="22">
        <v>2.7959000000000001</v>
      </c>
      <c r="E11" s="22">
        <v>100</v>
      </c>
      <c r="F11" s="22">
        <v>2.9182000000000001</v>
      </c>
      <c r="G11" s="9">
        <f t="shared" si="2"/>
        <v>900</v>
      </c>
      <c r="H11" s="22">
        <v>3.5465</v>
      </c>
      <c r="I11" s="19">
        <f t="shared" si="3"/>
        <v>0.12230000000000008</v>
      </c>
      <c r="J11" s="19">
        <f t="shared" si="4"/>
        <v>0.62829999999999986</v>
      </c>
      <c r="K11" s="19">
        <f t="shared" si="5"/>
        <v>0.75059999999999993</v>
      </c>
      <c r="L11" s="26"/>
      <c r="M11" s="26"/>
      <c r="N11" s="20"/>
      <c r="O11" s="23">
        <f t="shared" si="6"/>
        <v>0</v>
      </c>
      <c r="P11" s="55"/>
      <c r="Q11" s="24" t="e">
        <f t="shared" si="7"/>
        <v>#DIV/0!</v>
      </c>
      <c r="R11" s="25">
        <f t="shared" si="0"/>
        <v>0</v>
      </c>
      <c r="S11" s="55"/>
      <c r="T11" s="24" t="e">
        <f t="shared" si="1"/>
        <v>#DIV/0!</v>
      </c>
      <c r="U11" s="2">
        <v>8.0779999999999994</v>
      </c>
      <c r="V11" s="2"/>
      <c r="W11" s="21">
        <f>AVERAGE(R11:R12)/100</f>
        <v>0</v>
      </c>
      <c r="Y11" t="e">
        <f>AVERAGE(T11:T12)/100</f>
        <v>#DIV/0!</v>
      </c>
      <c r="Z11" s="39">
        <f t="shared" ref="Z11" si="10">AVERAGE(U11:V12)/100</f>
        <v>8.1532999999999994E-2</v>
      </c>
      <c r="AA11" s="2" t="e">
        <f t="shared" si="8"/>
        <v>#DIV/0!</v>
      </c>
    </row>
    <row r="12" spans="1:27" x14ac:dyDescent="0.45">
      <c r="A12" s="59"/>
      <c r="B12" s="22" t="s">
        <v>21</v>
      </c>
      <c r="C12" s="22">
        <v>8</v>
      </c>
      <c r="D12" s="22">
        <v>2.8006000000000002</v>
      </c>
      <c r="E12" s="22">
        <v>100</v>
      </c>
      <c r="F12" s="22">
        <v>2.931</v>
      </c>
      <c r="G12" s="9">
        <f t="shared" si="2"/>
        <v>900</v>
      </c>
      <c r="H12" s="22">
        <v>3.5407999999999999</v>
      </c>
      <c r="I12" s="19">
        <f t="shared" si="3"/>
        <v>0.13039999999999985</v>
      </c>
      <c r="J12" s="19">
        <f t="shared" si="4"/>
        <v>0.6097999999999999</v>
      </c>
      <c r="K12" s="19">
        <f t="shared" si="5"/>
        <v>0.74019999999999975</v>
      </c>
      <c r="L12" s="20"/>
      <c r="M12" s="20"/>
      <c r="N12" s="20"/>
      <c r="O12" s="23">
        <f t="shared" si="6"/>
        <v>0</v>
      </c>
      <c r="P12" s="55"/>
      <c r="Q12" s="24" t="e">
        <f t="shared" si="7"/>
        <v>#DIV/0!</v>
      </c>
      <c r="R12" s="25">
        <f t="shared" si="0"/>
        <v>0</v>
      </c>
      <c r="S12" s="55"/>
      <c r="T12" s="24" t="e">
        <f t="shared" si="1"/>
        <v>#DIV/0!</v>
      </c>
      <c r="U12" s="2">
        <v>8.2286000000000001</v>
      </c>
      <c r="V12" s="2"/>
      <c r="W12" s="21"/>
      <c r="Z12" s="39"/>
      <c r="AA12" s="2"/>
    </row>
    <row r="13" spans="1:27" x14ac:dyDescent="0.45">
      <c r="A13" s="59" t="s">
        <v>39</v>
      </c>
      <c r="B13" s="10" t="s">
        <v>20</v>
      </c>
      <c r="C13" s="11">
        <v>9</v>
      </c>
      <c r="D13" s="10">
        <v>2.7584</v>
      </c>
      <c r="E13" s="10">
        <v>300</v>
      </c>
      <c r="F13" s="11">
        <v>2.9397000000000002</v>
      </c>
      <c r="G13" s="10">
        <f t="shared" si="2"/>
        <v>700</v>
      </c>
      <c r="H13" s="11">
        <v>3.58</v>
      </c>
      <c r="I13" s="13">
        <f t="shared" si="3"/>
        <v>0.18130000000000024</v>
      </c>
      <c r="J13" s="13">
        <f t="shared" si="4"/>
        <v>0.64029999999999987</v>
      </c>
      <c r="K13" s="13">
        <f t="shared" si="5"/>
        <v>0.82160000000000011</v>
      </c>
      <c r="L13" s="14"/>
      <c r="M13" s="14"/>
      <c r="N13" s="14"/>
      <c r="O13" s="15">
        <f t="shared" si="6"/>
        <v>0</v>
      </c>
      <c r="P13" s="54"/>
      <c r="Q13" s="16" t="e">
        <f t="shared" si="7"/>
        <v>#DIV/0!</v>
      </c>
      <c r="R13" s="17">
        <f t="shared" si="0"/>
        <v>0</v>
      </c>
      <c r="S13" s="54"/>
      <c r="T13" s="16" t="e">
        <f t="shared" si="1"/>
        <v>#DIV/0!</v>
      </c>
      <c r="U13" s="35">
        <v>3.6076999999999999</v>
      </c>
      <c r="V13" s="35"/>
      <c r="W13" s="18">
        <f>AVERAGE(R13:R14)/100</f>
        <v>0</v>
      </c>
      <c r="X13" s="28"/>
      <c r="Y13" s="28" t="e">
        <f>AVERAGE(T13:T14)/100</f>
        <v>#DIV/0!</v>
      </c>
      <c r="Z13" s="37">
        <f t="shared" ref="Z13" si="11">AVERAGE(U13:V14)/100</f>
        <v>3.56555E-2</v>
      </c>
      <c r="AA13" s="2" t="e">
        <f t="shared" si="8"/>
        <v>#DIV/0!</v>
      </c>
    </row>
    <row r="14" spans="1:27" x14ac:dyDescent="0.45">
      <c r="A14" s="59"/>
      <c r="B14" s="10" t="s">
        <v>20</v>
      </c>
      <c r="C14" s="11">
        <v>10</v>
      </c>
      <c r="D14" s="11">
        <v>2.7290999999999999</v>
      </c>
      <c r="E14" s="11">
        <v>300</v>
      </c>
      <c r="F14" s="11">
        <v>2.9304000000000001</v>
      </c>
      <c r="G14" s="10">
        <f t="shared" si="2"/>
        <v>700</v>
      </c>
      <c r="H14" s="11">
        <v>3.5726</v>
      </c>
      <c r="I14" s="13">
        <f t="shared" si="3"/>
        <v>0.20130000000000026</v>
      </c>
      <c r="J14" s="13">
        <f t="shared" si="4"/>
        <v>0.64219999999999988</v>
      </c>
      <c r="K14" s="13">
        <f t="shared" si="5"/>
        <v>0.84350000000000014</v>
      </c>
      <c r="L14" s="14"/>
      <c r="M14" s="14"/>
      <c r="N14" s="14"/>
      <c r="O14" s="15">
        <f t="shared" si="6"/>
        <v>0</v>
      </c>
      <c r="P14" s="54"/>
      <c r="Q14" s="16" t="e">
        <f t="shared" si="7"/>
        <v>#DIV/0!</v>
      </c>
      <c r="R14" s="17">
        <f t="shared" si="0"/>
        <v>0</v>
      </c>
      <c r="S14" s="54"/>
      <c r="T14" s="16" t="e">
        <f t="shared" si="1"/>
        <v>#DIV/0!</v>
      </c>
      <c r="U14" s="35">
        <v>3.5234000000000001</v>
      </c>
      <c r="V14" s="35"/>
      <c r="W14" s="21"/>
      <c r="Z14" s="39"/>
      <c r="AA14" s="2"/>
    </row>
    <row r="15" spans="1:27" x14ac:dyDescent="0.45">
      <c r="A15" s="59"/>
      <c r="B15" s="22" t="s">
        <v>21</v>
      </c>
      <c r="C15" s="22">
        <v>11</v>
      </c>
      <c r="D15" s="22">
        <v>2.7738999999999998</v>
      </c>
      <c r="E15" s="22">
        <v>100</v>
      </c>
      <c r="F15" s="22">
        <v>2.9727000000000001</v>
      </c>
      <c r="G15" s="9">
        <f t="shared" si="2"/>
        <v>900</v>
      </c>
      <c r="H15" s="22">
        <v>3.6067</v>
      </c>
      <c r="I15" s="19">
        <f t="shared" si="3"/>
        <v>0.19880000000000031</v>
      </c>
      <c r="J15" s="19">
        <f t="shared" si="4"/>
        <v>0.6339999999999999</v>
      </c>
      <c r="K15" s="19">
        <f t="shared" si="5"/>
        <v>0.83280000000000021</v>
      </c>
      <c r="L15" s="20"/>
      <c r="M15" s="20"/>
      <c r="N15" s="27"/>
      <c r="O15" s="23">
        <f t="shared" si="6"/>
        <v>0</v>
      </c>
      <c r="P15" s="55"/>
      <c r="Q15" s="24" t="e">
        <f t="shared" si="7"/>
        <v>#DIV/0!</v>
      </c>
      <c r="R15" s="25">
        <f t="shared" si="0"/>
        <v>0</v>
      </c>
      <c r="S15" s="55"/>
      <c r="T15" s="24" t="e">
        <f t="shared" si="1"/>
        <v>#DIV/0!</v>
      </c>
      <c r="U15" s="2">
        <v>98.1203</v>
      </c>
      <c r="V15" s="2"/>
      <c r="W15" s="21">
        <f>AVERAGE(R15:R16)/100</f>
        <v>0</v>
      </c>
      <c r="Y15" t="e">
        <f>AVERAGE(T15:T16)/100</f>
        <v>#DIV/0!</v>
      </c>
      <c r="Z15" s="39">
        <f t="shared" ref="Z15" si="12">AVERAGE(U15:V16)/100</f>
        <v>0.97560949999999991</v>
      </c>
      <c r="AA15" s="2" t="e">
        <f t="shared" si="8"/>
        <v>#DIV/0!</v>
      </c>
    </row>
    <row r="16" spans="1:27" x14ac:dyDescent="0.45">
      <c r="A16" s="59"/>
      <c r="B16" s="22" t="s">
        <v>21</v>
      </c>
      <c r="C16" s="22">
        <v>12</v>
      </c>
      <c r="D16" s="22">
        <v>2.7728999999999999</v>
      </c>
      <c r="E16" s="22">
        <v>100</v>
      </c>
      <c r="F16" s="22">
        <v>2.9821</v>
      </c>
      <c r="G16" s="9">
        <f t="shared" si="2"/>
        <v>900</v>
      </c>
      <c r="H16" s="22">
        <v>3.6175000000000002</v>
      </c>
      <c r="I16" s="19">
        <f t="shared" si="3"/>
        <v>0.20920000000000005</v>
      </c>
      <c r="J16" s="19">
        <f t="shared" si="4"/>
        <v>0.63540000000000019</v>
      </c>
      <c r="K16" s="19">
        <f t="shared" si="5"/>
        <v>0.84460000000000024</v>
      </c>
      <c r="L16" s="20"/>
      <c r="M16" s="20"/>
      <c r="N16" s="20"/>
      <c r="O16" s="23">
        <f t="shared" si="6"/>
        <v>0</v>
      </c>
      <c r="P16" s="55"/>
      <c r="Q16" s="24" t="e">
        <f t="shared" si="7"/>
        <v>#DIV/0!</v>
      </c>
      <c r="R16" s="25">
        <f t="shared" si="0"/>
        <v>0</v>
      </c>
      <c r="S16" s="55"/>
      <c r="T16" s="24" t="e">
        <f t="shared" si="1"/>
        <v>#DIV/0!</v>
      </c>
      <c r="U16" s="2">
        <v>97.001599999999996</v>
      </c>
      <c r="V16" s="2"/>
      <c r="W16" s="21"/>
      <c r="Z16" s="39"/>
      <c r="AA16" s="2"/>
    </row>
    <row r="17" spans="1:27" x14ac:dyDescent="0.45">
      <c r="A17" s="59" t="s">
        <v>40</v>
      </c>
      <c r="B17" s="10" t="s">
        <v>20</v>
      </c>
      <c r="C17" s="11">
        <v>13</v>
      </c>
      <c r="D17" s="10">
        <v>2.7281</v>
      </c>
      <c r="E17" s="10">
        <v>300</v>
      </c>
      <c r="F17" s="11">
        <v>2.9041999999999999</v>
      </c>
      <c r="G17" s="10">
        <f t="shared" si="2"/>
        <v>700</v>
      </c>
      <c r="H17" s="11">
        <v>3.5430000000000001</v>
      </c>
      <c r="I17" s="13">
        <f t="shared" si="3"/>
        <v>0.17609999999999992</v>
      </c>
      <c r="J17" s="13">
        <f t="shared" si="4"/>
        <v>0.63880000000000026</v>
      </c>
      <c r="K17" s="13">
        <f t="shared" si="5"/>
        <v>0.81490000000000018</v>
      </c>
      <c r="L17" s="14"/>
      <c r="M17" s="14"/>
      <c r="N17" s="14"/>
      <c r="O17" s="15">
        <f t="shared" si="6"/>
        <v>0</v>
      </c>
      <c r="P17" s="54"/>
      <c r="Q17" s="16" t="e">
        <f t="shared" si="7"/>
        <v>#DIV/0!</v>
      </c>
      <c r="R17" s="17">
        <f t="shared" si="0"/>
        <v>0</v>
      </c>
      <c r="S17" s="54"/>
      <c r="T17" s="16" t="e">
        <f t="shared" si="1"/>
        <v>#DIV/0!</v>
      </c>
      <c r="U17" s="35">
        <v>2.3119000000000001</v>
      </c>
      <c r="V17" s="35"/>
      <c r="W17" s="18">
        <f>AVERAGE(R17:R18)/100</f>
        <v>0</v>
      </c>
      <c r="X17" s="28"/>
      <c r="Y17" s="28" t="e">
        <f>AVERAGE(T17:T18)/100</f>
        <v>#DIV/0!</v>
      </c>
      <c r="Z17" s="37">
        <f t="shared" ref="Z17" si="13">AVERAGE(U17:V18)/100</f>
        <v>2.3455500000000004E-2</v>
      </c>
      <c r="AA17" s="2" t="e">
        <f t="shared" si="8"/>
        <v>#DIV/0!</v>
      </c>
    </row>
    <row r="18" spans="1:27" x14ac:dyDescent="0.45">
      <c r="A18" s="59"/>
      <c r="B18" s="11" t="s">
        <v>20</v>
      </c>
      <c r="C18" s="11">
        <v>14</v>
      </c>
      <c r="D18" s="11">
        <v>2.7443</v>
      </c>
      <c r="E18" s="11">
        <v>300</v>
      </c>
      <c r="F18" s="11">
        <v>2.9445999999999999</v>
      </c>
      <c r="G18" s="10">
        <f t="shared" si="2"/>
        <v>700</v>
      </c>
      <c r="H18" s="11">
        <v>3.5807000000000002</v>
      </c>
      <c r="I18" s="13">
        <f t="shared" si="3"/>
        <v>0.20029999999999992</v>
      </c>
      <c r="J18" s="13">
        <f t="shared" si="4"/>
        <v>0.63610000000000033</v>
      </c>
      <c r="K18" s="13">
        <f t="shared" si="5"/>
        <v>0.83640000000000025</v>
      </c>
      <c r="L18" s="14"/>
      <c r="M18" s="14"/>
      <c r="N18" s="14"/>
      <c r="O18" s="15">
        <f t="shared" si="6"/>
        <v>0</v>
      </c>
      <c r="P18" s="54"/>
      <c r="Q18" s="16" t="e">
        <f t="shared" si="7"/>
        <v>#DIV/0!</v>
      </c>
      <c r="R18" s="17">
        <f t="shared" si="0"/>
        <v>0</v>
      </c>
      <c r="S18" s="54"/>
      <c r="T18" s="16" t="e">
        <f t="shared" si="1"/>
        <v>#DIV/0!</v>
      </c>
      <c r="U18" s="35">
        <v>2.3792</v>
      </c>
      <c r="V18" s="35"/>
      <c r="W18" s="21"/>
      <c r="Z18" s="39"/>
      <c r="AA18" s="2"/>
    </row>
    <row r="19" spans="1:27" x14ac:dyDescent="0.45">
      <c r="A19" s="59"/>
      <c r="B19" s="22" t="s">
        <v>21</v>
      </c>
      <c r="C19" s="22">
        <v>15</v>
      </c>
      <c r="D19" s="22">
        <v>2.8079000000000001</v>
      </c>
      <c r="E19" s="22">
        <v>100</v>
      </c>
      <c r="F19" s="22">
        <v>3.0084</v>
      </c>
      <c r="G19" s="9">
        <f t="shared" si="2"/>
        <v>900</v>
      </c>
      <c r="H19" s="22">
        <v>3.6429</v>
      </c>
      <c r="I19" s="19">
        <f t="shared" si="3"/>
        <v>0.2004999999999999</v>
      </c>
      <c r="J19" s="19">
        <f t="shared" si="4"/>
        <v>0.63450000000000006</v>
      </c>
      <c r="K19" s="19">
        <f t="shared" si="5"/>
        <v>0.83499999999999996</v>
      </c>
      <c r="L19" s="20"/>
      <c r="M19" s="20"/>
      <c r="N19" s="20"/>
      <c r="O19" s="23">
        <f t="shared" si="6"/>
        <v>0</v>
      </c>
      <c r="P19" s="55"/>
      <c r="Q19" s="24" t="e">
        <f t="shared" si="7"/>
        <v>#DIV/0!</v>
      </c>
      <c r="R19" s="25">
        <f t="shared" si="0"/>
        <v>0</v>
      </c>
      <c r="S19" s="55"/>
      <c r="T19" s="24" t="e">
        <f t="shared" si="1"/>
        <v>#DIV/0!</v>
      </c>
      <c r="U19" s="2">
        <v>99.620900000000006</v>
      </c>
      <c r="V19" s="2"/>
      <c r="W19" s="21">
        <f>AVERAGE(R19:R20)/100</f>
        <v>0</v>
      </c>
      <c r="Y19" t="e">
        <f>AVERAGE(T19:T20)/100</f>
        <v>#DIV/0!</v>
      </c>
      <c r="Z19" s="39">
        <f t="shared" ref="Z19" si="14">AVERAGE(U19:V20)/100</f>
        <v>0.99428349999999999</v>
      </c>
      <c r="AA19" s="2" t="e">
        <f t="shared" si="8"/>
        <v>#DIV/0!</v>
      </c>
    </row>
    <row r="20" spans="1:27" x14ac:dyDescent="0.45">
      <c r="A20" s="59"/>
      <c r="B20" s="22" t="s">
        <v>21</v>
      </c>
      <c r="C20" s="22">
        <v>16</v>
      </c>
      <c r="D20" s="22">
        <v>2.7555000000000001</v>
      </c>
      <c r="E20" s="22">
        <v>100</v>
      </c>
      <c r="F20" s="22">
        <v>2.9621</v>
      </c>
      <c r="G20" s="9">
        <f t="shared" si="2"/>
        <v>900</v>
      </c>
      <c r="H20" s="22">
        <v>3.5962999999999998</v>
      </c>
      <c r="I20" s="19">
        <f t="shared" si="3"/>
        <v>0.20659999999999989</v>
      </c>
      <c r="J20" s="19">
        <f t="shared" si="4"/>
        <v>0.63419999999999987</v>
      </c>
      <c r="K20" s="19">
        <f t="shared" si="5"/>
        <v>0.84079999999999977</v>
      </c>
      <c r="L20" s="20"/>
      <c r="M20" s="20"/>
      <c r="N20" s="20"/>
      <c r="O20" s="23">
        <f t="shared" si="6"/>
        <v>0</v>
      </c>
      <c r="P20" s="55"/>
      <c r="Q20" s="24" t="e">
        <f t="shared" si="7"/>
        <v>#DIV/0!</v>
      </c>
      <c r="R20" s="25">
        <f t="shared" si="0"/>
        <v>0</v>
      </c>
      <c r="S20" s="55"/>
      <c r="T20" s="24" t="e">
        <f t="shared" si="1"/>
        <v>#DIV/0!</v>
      </c>
      <c r="U20" s="2">
        <v>99.235799999999998</v>
      </c>
      <c r="V20" s="2"/>
      <c r="W20" s="21"/>
      <c r="Z20" s="39"/>
      <c r="AA20" s="2"/>
    </row>
    <row r="21" spans="1:27" x14ac:dyDescent="0.45">
      <c r="A21" s="59" t="s">
        <v>41</v>
      </c>
      <c r="B21" s="10" t="s">
        <v>20</v>
      </c>
      <c r="C21" s="11">
        <v>17</v>
      </c>
      <c r="D21" s="10">
        <v>2.7621000000000002</v>
      </c>
      <c r="E21" s="10">
        <v>300</v>
      </c>
      <c r="F21" s="11">
        <v>2.9638</v>
      </c>
      <c r="G21" s="10">
        <f t="shared" si="2"/>
        <v>700</v>
      </c>
      <c r="H21" s="11">
        <v>3.5998000000000001</v>
      </c>
      <c r="I21" s="13">
        <f t="shared" si="3"/>
        <v>0.20169999999999977</v>
      </c>
      <c r="J21" s="13">
        <f t="shared" si="4"/>
        <v>0.63600000000000012</v>
      </c>
      <c r="K21" s="13">
        <f t="shared" si="5"/>
        <v>0.83769999999999989</v>
      </c>
      <c r="L21" s="14"/>
      <c r="M21" s="14"/>
      <c r="N21" s="14"/>
      <c r="O21" s="15">
        <f t="shared" si="6"/>
        <v>0</v>
      </c>
      <c r="P21" s="54"/>
      <c r="Q21" s="16" t="e">
        <f t="shared" si="7"/>
        <v>#DIV/0!</v>
      </c>
      <c r="R21" s="17">
        <f t="shared" si="0"/>
        <v>0</v>
      </c>
      <c r="S21" s="54"/>
      <c r="T21" s="16" t="e">
        <f t="shared" ref="T21:T24" si="15">Q21*$K21/$I21</f>
        <v>#DIV/0!</v>
      </c>
      <c r="U21" s="35">
        <v>97.630899999999997</v>
      </c>
      <c r="V21" s="35"/>
      <c r="W21" s="18">
        <f>AVERAGE(R21:R22)/100</f>
        <v>0</v>
      </c>
      <c r="X21" s="28"/>
      <c r="Y21" s="28" t="e">
        <f>AVERAGE(T21:T22)/100</f>
        <v>#DIV/0!</v>
      </c>
      <c r="Z21" s="37">
        <f t="shared" ref="Z21" si="16">AVERAGE(U21:V22)/100</f>
        <v>0.97699299999999989</v>
      </c>
      <c r="AA21" s="2" t="e">
        <f t="shared" si="8"/>
        <v>#DIV/0!</v>
      </c>
    </row>
    <row r="22" spans="1:27" x14ac:dyDescent="0.45">
      <c r="A22" s="59"/>
      <c r="B22" s="11" t="s">
        <v>20</v>
      </c>
      <c r="C22" s="11">
        <v>18</v>
      </c>
      <c r="D22" s="11">
        <v>2.7709000000000001</v>
      </c>
      <c r="E22" s="11">
        <v>300</v>
      </c>
      <c r="F22" s="11">
        <v>2.9761000000000002</v>
      </c>
      <c r="G22" s="10">
        <f t="shared" si="2"/>
        <v>700</v>
      </c>
      <c r="H22" s="11">
        <v>3.6116000000000001</v>
      </c>
      <c r="I22" s="13">
        <f t="shared" si="3"/>
        <v>0.20520000000000005</v>
      </c>
      <c r="J22" s="13">
        <f t="shared" si="4"/>
        <v>0.63549999999999995</v>
      </c>
      <c r="K22" s="13">
        <f t="shared" si="5"/>
        <v>0.8407</v>
      </c>
      <c r="L22" s="14"/>
      <c r="M22" s="14"/>
      <c r="N22" s="14"/>
      <c r="O22" s="15">
        <f t="shared" si="6"/>
        <v>0</v>
      </c>
      <c r="P22" s="54"/>
      <c r="Q22" s="16" t="e">
        <f t="shared" si="7"/>
        <v>#DIV/0!</v>
      </c>
      <c r="R22" s="17">
        <f t="shared" si="0"/>
        <v>0</v>
      </c>
      <c r="S22" s="54"/>
      <c r="T22" s="16" t="e">
        <f t="shared" si="15"/>
        <v>#DIV/0!</v>
      </c>
      <c r="U22" s="35">
        <v>97.767700000000005</v>
      </c>
      <c r="V22" s="35"/>
      <c r="W22" s="21"/>
      <c r="Z22" s="39"/>
      <c r="AA22" s="2"/>
    </row>
    <row r="23" spans="1:27" x14ac:dyDescent="0.45">
      <c r="A23" s="59"/>
      <c r="B23" s="22" t="s">
        <v>21</v>
      </c>
      <c r="C23" s="22">
        <v>19</v>
      </c>
      <c r="D23" s="22">
        <v>2.8372000000000002</v>
      </c>
      <c r="E23" s="22">
        <v>100</v>
      </c>
      <c r="F23" s="22">
        <v>3.0177</v>
      </c>
      <c r="G23" s="9">
        <f t="shared" si="2"/>
        <v>900</v>
      </c>
      <c r="H23" s="22">
        <v>3.6480999999999999</v>
      </c>
      <c r="I23" s="19">
        <f t="shared" si="3"/>
        <v>0.18049999999999988</v>
      </c>
      <c r="J23" s="19">
        <f t="shared" si="4"/>
        <v>0.63039999999999985</v>
      </c>
      <c r="K23" s="19">
        <f t="shared" si="5"/>
        <v>0.81089999999999973</v>
      </c>
      <c r="L23" s="20"/>
      <c r="M23" s="20"/>
      <c r="N23" s="20"/>
      <c r="O23" s="23">
        <f t="shared" si="6"/>
        <v>0</v>
      </c>
      <c r="P23" s="55"/>
      <c r="Q23" s="24" t="e">
        <f t="shared" si="7"/>
        <v>#DIV/0!</v>
      </c>
      <c r="R23" s="25">
        <f t="shared" si="0"/>
        <v>0</v>
      </c>
      <c r="S23" s="55"/>
      <c r="T23" s="24" t="e">
        <f t="shared" si="15"/>
        <v>#DIV/0!</v>
      </c>
      <c r="U23" s="2">
        <v>6.2927</v>
      </c>
      <c r="V23" s="2"/>
      <c r="W23" s="21">
        <f>AVERAGE(R23:R24)/100</f>
        <v>0</v>
      </c>
      <c r="Y23" t="e">
        <f>AVERAGE(T23:T24)/100</f>
        <v>#DIV/0!</v>
      </c>
      <c r="Z23" s="39">
        <f t="shared" ref="Z23" si="17">AVERAGE(U23:V24)/100</f>
        <v>6.0976499999999996E-2</v>
      </c>
      <c r="AA23" s="2" t="e">
        <f t="shared" si="8"/>
        <v>#DIV/0!</v>
      </c>
    </row>
    <row r="24" spans="1:27" ht="14.65" thickBot="1" x14ac:dyDescent="0.5">
      <c r="A24" s="59"/>
      <c r="B24" s="22" t="s">
        <v>21</v>
      </c>
      <c r="C24" s="22">
        <v>20</v>
      </c>
      <c r="D24" s="22">
        <v>2.7103000000000002</v>
      </c>
      <c r="E24" s="22">
        <v>100</v>
      </c>
      <c r="F24" s="22">
        <v>2.9009</v>
      </c>
      <c r="G24" s="9">
        <f t="shared" si="2"/>
        <v>900</v>
      </c>
      <c r="H24" s="22">
        <v>3.5358999999999998</v>
      </c>
      <c r="I24" s="19">
        <f t="shared" si="3"/>
        <v>0.19059999999999988</v>
      </c>
      <c r="J24" s="19">
        <f t="shared" si="4"/>
        <v>0.63499999999999979</v>
      </c>
      <c r="K24" s="19">
        <f t="shared" si="5"/>
        <v>0.82559999999999967</v>
      </c>
      <c r="L24" s="20"/>
      <c r="M24" s="20"/>
      <c r="N24" s="20"/>
      <c r="O24" s="34">
        <f t="shared" si="6"/>
        <v>0</v>
      </c>
      <c r="P24" s="56"/>
      <c r="Q24" s="33" t="e">
        <f t="shared" si="7"/>
        <v>#DIV/0!</v>
      </c>
      <c r="R24" s="25">
        <f t="shared" si="0"/>
        <v>0</v>
      </c>
      <c r="S24" s="55"/>
      <c r="T24" s="24" t="e">
        <f t="shared" si="15"/>
        <v>#DIV/0!</v>
      </c>
      <c r="U24" s="40">
        <v>5.9025999999999996</v>
      </c>
      <c r="V24" s="40"/>
      <c r="W24" s="29"/>
      <c r="X24" s="30"/>
      <c r="Y24" s="30"/>
      <c r="Z24" s="42"/>
      <c r="AA24" s="2"/>
    </row>
  </sheetData>
  <mergeCells count="8">
    <mergeCell ref="A17:A20"/>
    <mergeCell ref="A21:A24"/>
    <mergeCell ref="O3:Q3"/>
    <mergeCell ref="R3:T3"/>
    <mergeCell ref="U3:V3"/>
    <mergeCell ref="A5:A8"/>
    <mergeCell ref="A9:A12"/>
    <mergeCell ref="A13:A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4BE5-5A6A-463A-A0D5-A8E5C0E557E6}">
  <sheetPr>
    <tabColor rgb="FFFF0000"/>
  </sheetPr>
  <dimension ref="A1:AA24"/>
  <sheetViews>
    <sheetView topLeftCell="F1" workbookViewId="0">
      <selection activeCell="L11" sqref="L11"/>
    </sheetView>
  </sheetViews>
  <sheetFormatPr defaultRowHeight="14.25" x14ac:dyDescent="0.45"/>
  <cols>
    <col min="4" max="4" width="8.33203125" customWidth="1"/>
    <col min="5" max="5" width="10.53125" customWidth="1"/>
    <col min="6" max="6" width="13.59765625" customWidth="1"/>
    <col min="7" max="7" width="10.6640625" style="2" customWidth="1"/>
    <col min="8" max="8" width="12.73046875" bestFit="1" customWidth="1"/>
    <col min="12" max="12" width="10.46484375" bestFit="1" customWidth="1"/>
    <col min="13" max="13" width="10.46484375" customWidth="1"/>
    <col min="14" max="14" width="12.59765625" bestFit="1" customWidth="1"/>
    <col min="15" max="15" width="11.1328125" bestFit="1" customWidth="1"/>
    <col min="16" max="16" width="11.1328125" customWidth="1"/>
    <col min="17" max="17" width="13.6640625" bestFit="1" customWidth="1"/>
    <col min="18" max="18" width="11.1328125" bestFit="1" customWidth="1"/>
    <col min="19" max="19" width="11.1328125" customWidth="1"/>
    <col min="20" max="20" width="13.6640625" bestFit="1" customWidth="1"/>
    <col min="21" max="22" width="9.53125" customWidth="1"/>
  </cols>
  <sheetData>
    <row r="1" spans="1:27" ht="28.9" thickBot="1" x14ac:dyDescent="0.9">
      <c r="F1" s="47" t="s">
        <v>44</v>
      </c>
      <c r="G1" s="57" t="s">
        <v>50</v>
      </c>
      <c r="H1" s="58"/>
    </row>
    <row r="2" spans="1:27" ht="14.65" thickBot="1" x14ac:dyDescent="0.5">
      <c r="E2" t="s">
        <v>5</v>
      </c>
      <c r="F2">
        <v>363.57560000000001</v>
      </c>
      <c r="G2"/>
      <c r="H2" s="1"/>
    </row>
    <row r="3" spans="1:27" ht="14.65" thickBot="1" x14ac:dyDescent="0.5">
      <c r="O3" s="60" t="s">
        <v>6</v>
      </c>
      <c r="P3" s="61"/>
      <c r="Q3" s="62"/>
      <c r="R3" s="61" t="s">
        <v>7</v>
      </c>
      <c r="S3" s="61"/>
      <c r="T3" s="62"/>
      <c r="U3" s="63" t="s">
        <v>46</v>
      </c>
      <c r="V3" s="64"/>
    </row>
    <row r="4" spans="1:27" ht="14.65" thickBot="1" x14ac:dyDescent="0.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42</v>
      </c>
      <c r="H4" s="3" t="s">
        <v>14</v>
      </c>
      <c r="I4" s="4" t="s">
        <v>15</v>
      </c>
      <c r="J4" s="4" t="s">
        <v>43</v>
      </c>
      <c r="K4" s="4" t="s">
        <v>16</v>
      </c>
      <c r="L4" s="4" t="s">
        <v>17</v>
      </c>
      <c r="M4" s="48" t="s">
        <v>63</v>
      </c>
      <c r="N4" s="5" t="s">
        <v>55</v>
      </c>
      <c r="O4" s="31" t="s">
        <v>45</v>
      </c>
      <c r="P4" s="49" t="s">
        <v>56</v>
      </c>
      <c r="Q4" s="32" t="s">
        <v>57</v>
      </c>
      <c r="R4" s="31" t="s">
        <v>45</v>
      </c>
      <c r="S4" s="49" t="s">
        <v>56</v>
      </c>
      <c r="T4" s="32" t="s">
        <v>57</v>
      </c>
      <c r="U4" s="7">
        <v>1</v>
      </c>
      <c r="V4" s="7">
        <v>2</v>
      </c>
      <c r="W4" s="6" t="s">
        <v>18</v>
      </c>
      <c r="X4" s="7" t="s">
        <v>58</v>
      </c>
      <c r="Y4" s="7" t="s">
        <v>59</v>
      </c>
      <c r="Z4" s="8" t="s">
        <v>19</v>
      </c>
    </row>
    <row r="5" spans="1:27" x14ac:dyDescent="0.45">
      <c r="A5" s="59" t="s">
        <v>37</v>
      </c>
      <c r="B5" s="10" t="s">
        <v>20</v>
      </c>
      <c r="C5" s="11">
        <v>1</v>
      </c>
      <c r="D5" s="12">
        <v>2.8012000000000001</v>
      </c>
      <c r="E5" s="10">
        <v>300</v>
      </c>
      <c r="F5" s="11">
        <v>2.9714999999999998</v>
      </c>
      <c r="G5" s="10">
        <f>1000-E5</f>
        <v>700</v>
      </c>
      <c r="H5" s="11">
        <v>3.6120000000000001</v>
      </c>
      <c r="I5" s="13">
        <f>F5-D5</f>
        <v>0.17029999999999967</v>
      </c>
      <c r="J5" s="13">
        <f>H5-F5</f>
        <v>0.64050000000000029</v>
      </c>
      <c r="K5" s="13">
        <f>J5+I5</f>
        <v>0.81079999999999997</v>
      </c>
      <c r="L5" s="14"/>
      <c r="M5" s="14"/>
      <c r="N5" s="14"/>
      <c r="O5" s="15">
        <f>L5/$F$2</f>
        <v>0</v>
      </c>
      <c r="P5" s="54"/>
      <c r="Q5" s="16" t="e">
        <f>N5/$G$2</f>
        <v>#DIV/0!</v>
      </c>
      <c r="R5" s="17">
        <f t="shared" ref="R5:R24" si="0">O5*$K5/$I5</f>
        <v>0</v>
      </c>
      <c r="S5" s="54"/>
      <c r="T5" s="16" t="e">
        <f t="shared" ref="T5:T20" si="1">Q5*$K5/$I5</f>
        <v>#DIV/0!</v>
      </c>
      <c r="U5" s="35">
        <v>1.1008</v>
      </c>
      <c r="V5" s="35"/>
      <c r="W5" s="43">
        <f>AVERAGE(R5:R6)/100</f>
        <v>0</v>
      </c>
      <c r="X5" s="44"/>
      <c r="Y5" s="44" t="e">
        <f>AVERAGE(T5:T6)/100</f>
        <v>#DIV/0!</v>
      </c>
      <c r="Z5" s="45">
        <f>AVERAGE(U5:V6)/100</f>
        <v>1.1057000000000001E-2</v>
      </c>
      <c r="AA5" s="2" t="e">
        <f>SUM(W5:Z5)</f>
        <v>#DIV/0!</v>
      </c>
    </row>
    <row r="6" spans="1:27" x14ac:dyDescent="0.45">
      <c r="A6" s="59"/>
      <c r="B6" s="11" t="s">
        <v>20</v>
      </c>
      <c r="C6" s="11">
        <v>2</v>
      </c>
      <c r="D6" s="11">
        <v>2.8702999999999999</v>
      </c>
      <c r="E6" s="11">
        <v>300</v>
      </c>
      <c r="F6" s="11">
        <v>3.0163000000000002</v>
      </c>
      <c r="G6" s="10">
        <f t="shared" ref="G6:G24" si="2">1000-E6</f>
        <v>700</v>
      </c>
      <c r="H6" s="11">
        <v>3.6549</v>
      </c>
      <c r="I6" s="13">
        <f t="shared" ref="I6:I24" si="3">F6-D6</f>
        <v>0.14600000000000035</v>
      </c>
      <c r="J6" s="13">
        <f t="shared" ref="J6:J24" si="4">H6-F6</f>
        <v>0.63859999999999983</v>
      </c>
      <c r="K6" s="13">
        <f t="shared" ref="K6:K24" si="5">J6+I6</f>
        <v>0.78460000000000019</v>
      </c>
      <c r="L6" s="14"/>
      <c r="M6" s="14"/>
      <c r="N6" s="14"/>
      <c r="O6" s="15">
        <f t="shared" ref="O6:O24" si="6">L6/$F$2</f>
        <v>0</v>
      </c>
      <c r="P6" s="54"/>
      <c r="Q6" s="16" t="e">
        <f t="shared" ref="Q6:Q24" si="7">N6/$G$2</f>
        <v>#DIV/0!</v>
      </c>
      <c r="R6" s="17">
        <f t="shared" si="0"/>
        <v>0</v>
      </c>
      <c r="S6" s="54"/>
      <c r="T6" s="16" t="e">
        <f t="shared" si="1"/>
        <v>#DIV/0!</v>
      </c>
      <c r="U6" s="35">
        <v>1.1106</v>
      </c>
      <c r="V6" s="35"/>
      <c r="W6" s="21"/>
      <c r="Z6" s="39"/>
      <c r="AA6" s="2"/>
    </row>
    <row r="7" spans="1:27" x14ac:dyDescent="0.45">
      <c r="A7" s="59"/>
      <c r="B7" s="22" t="s">
        <v>21</v>
      </c>
      <c r="C7" s="22">
        <v>3</v>
      </c>
      <c r="D7" s="22">
        <v>2.7946</v>
      </c>
      <c r="E7" s="22">
        <v>100</v>
      </c>
      <c r="F7" s="22">
        <v>3.0146999999999999</v>
      </c>
      <c r="G7" s="9">
        <f t="shared" si="2"/>
        <v>900</v>
      </c>
      <c r="H7" s="22">
        <v>3.6551999999999998</v>
      </c>
      <c r="I7" s="19">
        <f t="shared" si="3"/>
        <v>0.22009999999999996</v>
      </c>
      <c r="J7" s="19">
        <f t="shared" si="4"/>
        <v>0.64049999999999985</v>
      </c>
      <c r="K7" s="19">
        <f t="shared" si="5"/>
        <v>0.86059999999999981</v>
      </c>
      <c r="N7" s="20"/>
      <c r="O7" s="23">
        <f t="shared" si="6"/>
        <v>0</v>
      </c>
      <c r="P7" s="55"/>
      <c r="Q7" s="24" t="e">
        <f t="shared" si="7"/>
        <v>#DIV/0!</v>
      </c>
      <c r="R7" s="25">
        <f t="shared" si="0"/>
        <v>0</v>
      </c>
      <c r="S7" s="55"/>
      <c r="T7" s="24" t="e">
        <f t="shared" si="1"/>
        <v>#DIV/0!</v>
      </c>
      <c r="U7" s="2">
        <v>99.4816</v>
      </c>
      <c r="V7" s="2"/>
      <c r="W7" s="21">
        <f>AVERAGE(R7:R8)/100</f>
        <v>0</v>
      </c>
      <c r="Y7" t="e">
        <f>AVERAGE(T7:T8)/100</f>
        <v>#DIV/0!</v>
      </c>
      <c r="Z7" s="39">
        <f>AVERAGE(U7:V8)/100</f>
        <v>0.98861449999999995</v>
      </c>
      <c r="AA7" s="2" t="e">
        <f t="shared" ref="AA7:AA23" si="8">SUM(W7:Z7)</f>
        <v>#DIV/0!</v>
      </c>
    </row>
    <row r="8" spans="1:27" x14ac:dyDescent="0.45">
      <c r="A8" s="59"/>
      <c r="B8" s="22" t="s">
        <v>21</v>
      </c>
      <c r="C8" s="22">
        <v>4</v>
      </c>
      <c r="D8" s="22">
        <v>2.8077999999999999</v>
      </c>
      <c r="E8" s="22">
        <v>100</v>
      </c>
      <c r="F8" s="22">
        <v>3.0238</v>
      </c>
      <c r="G8" s="9">
        <f t="shared" si="2"/>
        <v>900</v>
      </c>
      <c r="H8" s="22">
        <v>3.6615000000000002</v>
      </c>
      <c r="I8" s="19">
        <f t="shared" si="3"/>
        <v>0.21600000000000019</v>
      </c>
      <c r="J8" s="19">
        <f t="shared" si="4"/>
        <v>0.63770000000000016</v>
      </c>
      <c r="K8" s="19">
        <f t="shared" si="5"/>
        <v>0.85370000000000035</v>
      </c>
      <c r="L8" s="20"/>
      <c r="M8" s="20"/>
      <c r="N8" s="20"/>
      <c r="O8" s="23">
        <f t="shared" si="6"/>
        <v>0</v>
      </c>
      <c r="P8" s="55"/>
      <c r="Q8" s="24" t="e">
        <f t="shared" si="7"/>
        <v>#DIV/0!</v>
      </c>
      <c r="R8" s="25">
        <f t="shared" si="0"/>
        <v>0</v>
      </c>
      <c r="S8" s="55"/>
      <c r="T8" s="24" t="e">
        <f t="shared" si="1"/>
        <v>#DIV/0!</v>
      </c>
      <c r="U8" s="2">
        <v>98.241299999999995</v>
      </c>
      <c r="V8" s="2"/>
      <c r="W8" s="21"/>
      <c r="Z8" s="39"/>
      <c r="AA8" s="2"/>
    </row>
    <row r="9" spans="1:27" x14ac:dyDescent="0.45">
      <c r="A9" s="59" t="s">
        <v>38</v>
      </c>
      <c r="B9" s="10" t="s">
        <v>20</v>
      </c>
      <c r="C9" s="11">
        <v>5</v>
      </c>
      <c r="D9" s="10">
        <v>2.8464999999999998</v>
      </c>
      <c r="E9" s="10">
        <v>300</v>
      </c>
      <c r="F9" s="11">
        <v>2.9449000000000001</v>
      </c>
      <c r="G9" s="10">
        <f t="shared" si="2"/>
        <v>700</v>
      </c>
      <c r="H9" s="11">
        <v>3.5629</v>
      </c>
      <c r="I9" s="13">
        <f t="shared" si="3"/>
        <v>9.8400000000000265E-2</v>
      </c>
      <c r="J9" s="13">
        <f t="shared" si="4"/>
        <v>0.61799999999999988</v>
      </c>
      <c r="K9" s="13">
        <f t="shared" si="5"/>
        <v>0.71640000000000015</v>
      </c>
      <c r="L9" s="14"/>
      <c r="M9" s="14"/>
      <c r="N9" s="14"/>
      <c r="O9" s="15">
        <f t="shared" si="6"/>
        <v>0</v>
      </c>
      <c r="P9" s="54"/>
      <c r="Q9" s="16" t="e">
        <f t="shared" si="7"/>
        <v>#DIV/0!</v>
      </c>
      <c r="R9" s="17">
        <f t="shared" si="0"/>
        <v>0</v>
      </c>
      <c r="S9" s="54"/>
      <c r="T9" s="16" t="e">
        <f t="shared" si="1"/>
        <v>#DIV/0!</v>
      </c>
      <c r="U9" s="35">
        <v>97.6096</v>
      </c>
      <c r="V9" s="35">
        <v>99.730900000000005</v>
      </c>
      <c r="W9" s="18">
        <f>AVERAGE(R9:R10)/100</f>
        <v>0</v>
      </c>
      <c r="X9" s="28"/>
      <c r="Y9" s="28" t="e">
        <f>AVERAGE(T9:T10)/100</f>
        <v>#DIV/0!</v>
      </c>
      <c r="Z9" s="37">
        <f t="shared" ref="Z9" si="9">AVERAGE(U9:V10)/100</f>
        <v>0.98609400000000003</v>
      </c>
      <c r="AA9" s="2" t="e">
        <f t="shared" si="8"/>
        <v>#DIV/0!</v>
      </c>
    </row>
    <row r="10" spans="1:27" x14ac:dyDescent="0.45">
      <c r="A10" s="59"/>
      <c r="B10" s="11" t="s">
        <v>20</v>
      </c>
      <c r="C10" s="11">
        <v>6</v>
      </c>
      <c r="D10" s="11">
        <v>2.8340000000000001</v>
      </c>
      <c r="E10" s="11">
        <v>300</v>
      </c>
      <c r="F10" s="11">
        <v>3.0123000000000002</v>
      </c>
      <c r="G10" s="10">
        <f t="shared" si="2"/>
        <v>700</v>
      </c>
      <c r="H10" s="11">
        <v>3.6560000000000001</v>
      </c>
      <c r="I10" s="13">
        <f t="shared" si="3"/>
        <v>0.17830000000000013</v>
      </c>
      <c r="J10" s="13">
        <f t="shared" si="4"/>
        <v>0.64369999999999994</v>
      </c>
      <c r="K10" s="13">
        <f t="shared" si="5"/>
        <v>0.82200000000000006</v>
      </c>
      <c r="L10" s="14"/>
      <c r="M10" s="14"/>
      <c r="N10" s="14"/>
      <c r="O10" s="15">
        <f t="shared" si="6"/>
        <v>0</v>
      </c>
      <c r="P10" s="54"/>
      <c r="Q10" s="16" t="e">
        <f t="shared" si="7"/>
        <v>#DIV/0!</v>
      </c>
      <c r="R10" s="17">
        <f t="shared" si="0"/>
        <v>0</v>
      </c>
      <c r="S10" s="54"/>
      <c r="T10" s="16" t="e">
        <f t="shared" si="1"/>
        <v>#DIV/0!</v>
      </c>
      <c r="U10" s="35">
        <v>98.487700000000004</v>
      </c>
      <c r="V10" s="35"/>
      <c r="W10" s="21"/>
      <c r="Z10" s="39"/>
      <c r="AA10" s="2"/>
    </row>
    <row r="11" spans="1:27" x14ac:dyDescent="0.45">
      <c r="A11" s="59"/>
      <c r="B11" s="22" t="s">
        <v>21</v>
      </c>
      <c r="C11" s="22">
        <v>7</v>
      </c>
      <c r="D11" s="22">
        <v>2.7980999999999998</v>
      </c>
      <c r="E11" s="22">
        <v>100</v>
      </c>
      <c r="F11" s="22">
        <v>2.9723999999999999</v>
      </c>
      <c r="G11" s="9">
        <f t="shared" si="2"/>
        <v>900</v>
      </c>
      <c r="H11" s="22">
        <v>3.6110000000000002</v>
      </c>
      <c r="I11" s="19">
        <f t="shared" si="3"/>
        <v>0.17430000000000012</v>
      </c>
      <c r="J11" s="19">
        <f t="shared" si="4"/>
        <v>0.63860000000000028</v>
      </c>
      <c r="K11" s="19">
        <f t="shared" si="5"/>
        <v>0.8129000000000004</v>
      </c>
      <c r="L11" s="26"/>
      <c r="M11" s="26"/>
      <c r="N11" s="20"/>
      <c r="O11" s="23">
        <f t="shared" si="6"/>
        <v>0</v>
      </c>
      <c r="P11" s="55"/>
      <c r="Q11" s="24" t="e">
        <f t="shared" si="7"/>
        <v>#DIV/0!</v>
      </c>
      <c r="R11" s="25">
        <f t="shared" si="0"/>
        <v>0</v>
      </c>
      <c r="S11" s="55"/>
      <c r="T11" s="24" t="e">
        <f t="shared" si="1"/>
        <v>#DIV/0!</v>
      </c>
      <c r="U11" s="2">
        <v>7.8468</v>
      </c>
      <c r="V11" s="2"/>
      <c r="W11" s="21">
        <f>AVERAGE(R11:R12)/100</f>
        <v>0</v>
      </c>
      <c r="Y11" t="e">
        <f>AVERAGE(T11:T12)/100</f>
        <v>#DIV/0!</v>
      </c>
      <c r="Z11" s="39">
        <f t="shared" ref="Z11" si="10">AVERAGE(U11:V12)/100</f>
        <v>7.9200499999999993E-2</v>
      </c>
      <c r="AA11" s="2" t="e">
        <f t="shared" si="8"/>
        <v>#DIV/0!</v>
      </c>
    </row>
    <row r="12" spans="1:27" x14ac:dyDescent="0.45">
      <c r="A12" s="59"/>
      <c r="B12" s="22" t="s">
        <v>21</v>
      </c>
      <c r="C12" s="22">
        <v>8</v>
      </c>
      <c r="D12" s="22">
        <v>2.8033999999999999</v>
      </c>
      <c r="E12" s="22">
        <v>100</v>
      </c>
      <c r="F12" s="22">
        <v>2.9342000000000001</v>
      </c>
      <c r="G12" s="9">
        <f t="shared" si="2"/>
        <v>900</v>
      </c>
      <c r="H12" s="22">
        <v>3.5735999999999999</v>
      </c>
      <c r="I12" s="19">
        <f t="shared" si="3"/>
        <v>0.13080000000000025</v>
      </c>
      <c r="J12" s="19">
        <f t="shared" si="4"/>
        <v>0.63939999999999975</v>
      </c>
      <c r="K12" s="19">
        <f t="shared" si="5"/>
        <v>0.7702</v>
      </c>
      <c r="L12" s="20"/>
      <c r="M12" s="20"/>
      <c r="N12" s="20"/>
      <c r="O12" s="23">
        <f t="shared" si="6"/>
        <v>0</v>
      </c>
      <c r="P12" s="55"/>
      <c r="Q12" s="24" t="e">
        <f t="shared" si="7"/>
        <v>#DIV/0!</v>
      </c>
      <c r="R12" s="25">
        <f t="shared" si="0"/>
        <v>0</v>
      </c>
      <c r="S12" s="55"/>
      <c r="T12" s="24" t="e">
        <f t="shared" si="1"/>
        <v>#DIV/0!</v>
      </c>
      <c r="U12" s="2">
        <v>7.9932999999999996</v>
      </c>
      <c r="V12" s="2"/>
      <c r="W12" s="21"/>
      <c r="Z12" s="39"/>
      <c r="AA12" s="2"/>
    </row>
    <row r="13" spans="1:27" x14ac:dyDescent="0.45">
      <c r="A13" s="59" t="s">
        <v>39</v>
      </c>
      <c r="B13" s="10" t="s">
        <v>20</v>
      </c>
      <c r="C13" s="11">
        <v>9</v>
      </c>
      <c r="D13" s="10">
        <v>2.8008999999999999</v>
      </c>
      <c r="E13" s="10">
        <v>300</v>
      </c>
      <c r="F13" s="11">
        <v>3.0358999999999998</v>
      </c>
      <c r="G13" s="10">
        <f t="shared" si="2"/>
        <v>700</v>
      </c>
      <c r="H13" s="11">
        <v>3.6692</v>
      </c>
      <c r="I13" s="13">
        <f t="shared" si="3"/>
        <v>0.23499999999999988</v>
      </c>
      <c r="J13" s="13">
        <f t="shared" si="4"/>
        <v>0.6333000000000002</v>
      </c>
      <c r="K13" s="13">
        <f t="shared" si="5"/>
        <v>0.86830000000000007</v>
      </c>
      <c r="L13" s="14"/>
      <c r="M13" s="14"/>
      <c r="N13" s="14"/>
      <c r="O13" s="15">
        <f t="shared" si="6"/>
        <v>0</v>
      </c>
      <c r="P13" s="54"/>
      <c r="Q13" s="16" t="e">
        <f t="shared" si="7"/>
        <v>#DIV/0!</v>
      </c>
      <c r="R13" s="17">
        <f t="shared" si="0"/>
        <v>0</v>
      </c>
      <c r="S13" s="54"/>
      <c r="T13" s="16" t="e">
        <f t="shared" si="1"/>
        <v>#DIV/0!</v>
      </c>
      <c r="U13" s="35">
        <v>4.4671000000000003</v>
      </c>
      <c r="V13" s="35"/>
      <c r="W13" s="18">
        <f>AVERAGE(R13:R14)/100</f>
        <v>0</v>
      </c>
      <c r="X13" s="28"/>
      <c r="Y13" s="28" t="e">
        <f>AVERAGE(T13:T14)/100</f>
        <v>#DIV/0!</v>
      </c>
      <c r="Z13" s="37">
        <f t="shared" ref="Z13" si="11">AVERAGE(U13:V14)/100</f>
        <v>4.4212500000000009E-2</v>
      </c>
      <c r="AA13" s="2" t="e">
        <f t="shared" si="8"/>
        <v>#DIV/0!</v>
      </c>
    </row>
    <row r="14" spans="1:27" x14ac:dyDescent="0.45">
      <c r="A14" s="59"/>
      <c r="B14" s="10" t="s">
        <v>20</v>
      </c>
      <c r="C14" s="11">
        <v>10</v>
      </c>
      <c r="D14" s="11">
        <v>2.8658999999999999</v>
      </c>
      <c r="E14" s="11">
        <v>300</v>
      </c>
      <c r="F14" s="11">
        <v>2.9982000000000002</v>
      </c>
      <c r="G14" s="10">
        <f t="shared" si="2"/>
        <v>700</v>
      </c>
      <c r="H14" s="11">
        <v>3.6368</v>
      </c>
      <c r="I14" s="13">
        <f t="shared" si="3"/>
        <v>0.13230000000000031</v>
      </c>
      <c r="J14" s="13">
        <f t="shared" si="4"/>
        <v>0.63859999999999983</v>
      </c>
      <c r="K14" s="13">
        <f t="shared" si="5"/>
        <v>0.77090000000000014</v>
      </c>
      <c r="L14" s="14"/>
      <c r="M14" s="14"/>
      <c r="N14" s="14"/>
      <c r="O14" s="15">
        <f t="shared" si="6"/>
        <v>0</v>
      </c>
      <c r="P14" s="54"/>
      <c r="Q14" s="16" t="e">
        <f t="shared" si="7"/>
        <v>#DIV/0!</v>
      </c>
      <c r="R14" s="17">
        <f t="shared" si="0"/>
        <v>0</v>
      </c>
      <c r="S14" s="54"/>
      <c r="T14" s="16" t="e">
        <f t="shared" si="1"/>
        <v>#DIV/0!</v>
      </c>
      <c r="U14" s="35">
        <v>4.3754</v>
      </c>
      <c r="V14" s="35"/>
      <c r="W14" s="21"/>
      <c r="Z14" s="39"/>
      <c r="AA14" s="2"/>
    </row>
    <row r="15" spans="1:27" x14ac:dyDescent="0.45">
      <c r="A15" s="59"/>
      <c r="B15" s="22" t="s">
        <v>21</v>
      </c>
      <c r="C15" s="22">
        <v>11</v>
      </c>
      <c r="D15" s="22">
        <v>2.7982999999999998</v>
      </c>
      <c r="E15" s="22">
        <v>100</v>
      </c>
      <c r="F15" s="22">
        <v>2.9485000000000001</v>
      </c>
      <c r="G15" s="9">
        <f t="shared" si="2"/>
        <v>900</v>
      </c>
      <c r="H15" s="22">
        <v>3.5893000000000002</v>
      </c>
      <c r="I15" s="19">
        <f t="shared" si="3"/>
        <v>0.15020000000000033</v>
      </c>
      <c r="J15" s="19">
        <f t="shared" si="4"/>
        <v>0.64080000000000004</v>
      </c>
      <c r="K15" s="19">
        <f t="shared" si="5"/>
        <v>0.79100000000000037</v>
      </c>
      <c r="L15" s="20"/>
      <c r="M15" s="20"/>
      <c r="N15" s="27"/>
      <c r="O15" s="23">
        <f t="shared" si="6"/>
        <v>0</v>
      </c>
      <c r="P15" s="55"/>
      <c r="Q15" s="24" t="e">
        <f t="shared" si="7"/>
        <v>#DIV/0!</v>
      </c>
      <c r="R15" s="25">
        <f t="shared" si="0"/>
        <v>0</v>
      </c>
      <c r="S15" s="55"/>
      <c r="T15" s="24" t="e">
        <f t="shared" si="1"/>
        <v>#DIV/0!</v>
      </c>
      <c r="U15" s="2">
        <v>98.793000000000006</v>
      </c>
      <c r="V15" s="2"/>
      <c r="W15" s="21">
        <f>AVERAGE(R15:R16)/100</f>
        <v>0</v>
      </c>
      <c r="Y15" t="e">
        <f>AVERAGE(T15:T16)/100</f>
        <v>#DIV/0!</v>
      </c>
      <c r="Z15" s="39">
        <f t="shared" ref="Z15" si="12">AVERAGE(U15:V16)/100</f>
        <v>0.98752200000000001</v>
      </c>
      <c r="AA15" s="2" t="e">
        <f t="shared" si="8"/>
        <v>#DIV/0!</v>
      </c>
    </row>
    <row r="16" spans="1:27" x14ac:dyDescent="0.45">
      <c r="A16" s="59"/>
      <c r="B16" s="22" t="s">
        <v>21</v>
      </c>
      <c r="C16" s="22">
        <v>12</v>
      </c>
      <c r="D16" s="22">
        <v>2.7928999999999999</v>
      </c>
      <c r="E16" s="22">
        <v>100</v>
      </c>
      <c r="F16" s="22">
        <v>3.0272000000000001</v>
      </c>
      <c r="G16" s="9">
        <f t="shared" si="2"/>
        <v>900</v>
      </c>
      <c r="H16" s="22">
        <v>3.6644000000000001</v>
      </c>
      <c r="I16" s="19">
        <f t="shared" si="3"/>
        <v>0.23430000000000017</v>
      </c>
      <c r="J16" s="19">
        <f t="shared" si="4"/>
        <v>0.63719999999999999</v>
      </c>
      <c r="K16" s="19">
        <f t="shared" si="5"/>
        <v>0.87150000000000016</v>
      </c>
      <c r="L16" s="20"/>
      <c r="M16" s="20"/>
      <c r="N16" s="20"/>
      <c r="O16" s="23">
        <f t="shared" si="6"/>
        <v>0</v>
      </c>
      <c r="P16" s="55"/>
      <c r="Q16" s="24" t="e">
        <f t="shared" si="7"/>
        <v>#DIV/0!</v>
      </c>
      <c r="R16" s="25">
        <f t="shared" si="0"/>
        <v>0</v>
      </c>
      <c r="S16" s="55"/>
      <c r="T16" s="24" t="e">
        <f t="shared" si="1"/>
        <v>#DIV/0!</v>
      </c>
      <c r="U16" s="2">
        <v>98.711399999999998</v>
      </c>
      <c r="V16" s="2"/>
      <c r="W16" s="21"/>
      <c r="Z16" s="39"/>
      <c r="AA16" s="2"/>
    </row>
    <row r="17" spans="1:27" x14ac:dyDescent="0.45">
      <c r="A17" s="59" t="s">
        <v>40</v>
      </c>
      <c r="B17" s="10" t="s">
        <v>20</v>
      </c>
      <c r="C17" s="11">
        <v>13</v>
      </c>
      <c r="D17" s="10">
        <v>2.8159000000000001</v>
      </c>
      <c r="E17" s="10">
        <v>300</v>
      </c>
      <c r="F17" s="11">
        <v>3.0135999999999998</v>
      </c>
      <c r="G17" s="10">
        <f t="shared" si="2"/>
        <v>700</v>
      </c>
      <c r="H17" s="11">
        <v>3.6274000000000002</v>
      </c>
      <c r="I17" s="13">
        <f t="shared" si="3"/>
        <v>0.19769999999999976</v>
      </c>
      <c r="J17" s="13">
        <f t="shared" si="4"/>
        <v>0.61380000000000035</v>
      </c>
      <c r="K17" s="13">
        <f t="shared" si="5"/>
        <v>0.81150000000000011</v>
      </c>
      <c r="L17" s="14"/>
      <c r="M17" s="14"/>
      <c r="N17" s="14"/>
      <c r="O17" s="15">
        <f t="shared" si="6"/>
        <v>0</v>
      </c>
      <c r="P17" s="54"/>
      <c r="Q17" s="16" t="e">
        <f t="shared" si="7"/>
        <v>#DIV/0!</v>
      </c>
      <c r="R17" s="17">
        <f t="shared" si="0"/>
        <v>0</v>
      </c>
      <c r="S17" s="54"/>
      <c r="T17" s="16" t="e">
        <f t="shared" si="1"/>
        <v>#DIV/0!</v>
      </c>
      <c r="U17" s="35">
        <v>6.4257999999999997</v>
      </c>
      <c r="V17" s="35"/>
      <c r="W17" s="18">
        <f>AVERAGE(R17:R18)/100</f>
        <v>0</v>
      </c>
      <c r="X17" s="28"/>
      <c r="Y17" s="28" t="e">
        <f>AVERAGE(T17:T18)/100</f>
        <v>#DIV/0!</v>
      </c>
      <c r="Z17" s="37">
        <f t="shared" ref="Z17" si="13">AVERAGE(U17:V18)/100</f>
        <v>6.2882999999999994E-2</v>
      </c>
      <c r="AA17" s="2" t="e">
        <f t="shared" si="8"/>
        <v>#DIV/0!</v>
      </c>
    </row>
    <row r="18" spans="1:27" x14ac:dyDescent="0.45">
      <c r="A18" s="59"/>
      <c r="B18" s="11" t="s">
        <v>20</v>
      </c>
      <c r="C18" s="11">
        <v>14</v>
      </c>
      <c r="D18" s="11">
        <v>2.8546</v>
      </c>
      <c r="E18" s="11">
        <v>300</v>
      </c>
      <c r="F18" s="11">
        <v>3.0013999999999998</v>
      </c>
      <c r="G18" s="10">
        <f t="shared" si="2"/>
        <v>700</v>
      </c>
      <c r="H18" s="11">
        <v>3.6465000000000001</v>
      </c>
      <c r="I18" s="13">
        <f t="shared" si="3"/>
        <v>0.14679999999999982</v>
      </c>
      <c r="J18" s="13">
        <f t="shared" si="4"/>
        <v>0.64510000000000023</v>
      </c>
      <c r="K18" s="13">
        <f t="shared" si="5"/>
        <v>0.79190000000000005</v>
      </c>
      <c r="L18" s="14"/>
      <c r="M18" s="14"/>
      <c r="N18" s="14"/>
      <c r="O18" s="15">
        <f t="shared" si="6"/>
        <v>0</v>
      </c>
      <c r="P18" s="54"/>
      <c r="Q18" s="16" t="e">
        <f t="shared" si="7"/>
        <v>#DIV/0!</v>
      </c>
      <c r="R18" s="17">
        <f t="shared" si="0"/>
        <v>0</v>
      </c>
      <c r="S18" s="54"/>
      <c r="T18" s="16" t="e">
        <f t="shared" si="1"/>
        <v>#DIV/0!</v>
      </c>
      <c r="U18" s="35">
        <v>6.1508000000000003</v>
      </c>
      <c r="V18" s="35"/>
      <c r="W18" s="21"/>
      <c r="Z18" s="39"/>
      <c r="AA18" s="2"/>
    </row>
    <row r="19" spans="1:27" x14ac:dyDescent="0.45">
      <c r="A19" s="59"/>
      <c r="B19" s="22" t="s">
        <v>21</v>
      </c>
      <c r="C19" s="22">
        <v>15</v>
      </c>
      <c r="D19" s="22">
        <v>2.8212000000000002</v>
      </c>
      <c r="E19" s="22">
        <v>100</v>
      </c>
      <c r="F19" s="22">
        <v>2.9904999999999999</v>
      </c>
      <c r="G19" s="9">
        <f t="shared" si="2"/>
        <v>900</v>
      </c>
      <c r="H19" s="22">
        <v>3.6314000000000002</v>
      </c>
      <c r="I19" s="19">
        <f t="shared" si="3"/>
        <v>0.16929999999999978</v>
      </c>
      <c r="J19" s="19">
        <f t="shared" si="4"/>
        <v>0.64090000000000025</v>
      </c>
      <c r="K19" s="19">
        <f t="shared" si="5"/>
        <v>0.81020000000000003</v>
      </c>
      <c r="L19" s="20"/>
      <c r="M19" s="20"/>
      <c r="N19" s="20"/>
      <c r="O19" s="23">
        <f t="shared" si="6"/>
        <v>0</v>
      </c>
      <c r="P19" s="55"/>
      <c r="Q19" s="24" t="e">
        <f t="shared" si="7"/>
        <v>#DIV/0!</v>
      </c>
      <c r="R19" s="25">
        <f t="shared" si="0"/>
        <v>0</v>
      </c>
      <c r="S19" s="55"/>
      <c r="T19" s="24" t="e">
        <f t="shared" si="1"/>
        <v>#DIV/0!</v>
      </c>
      <c r="U19" s="2">
        <v>98.672899999999998</v>
      </c>
      <c r="V19" s="2"/>
      <c r="W19" s="21">
        <f>AVERAGE(R19:R20)/100</f>
        <v>0</v>
      </c>
      <c r="Y19" t="e">
        <f>AVERAGE(T19:T20)/100</f>
        <v>#DIV/0!</v>
      </c>
      <c r="Z19" s="39">
        <f t="shared" ref="Z19" si="14">AVERAGE(U19:V20)/100</f>
        <v>0.98395100000000002</v>
      </c>
      <c r="AA19" s="2" t="e">
        <f t="shared" si="8"/>
        <v>#DIV/0!</v>
      </c>
    </row>
    <row r="20" spans="1:27" x14ac:dyDescent="0.45">
      <c r="A20" s="59"/>
      <c r="B20" s="22" t="s">
        <v>21</v>
      </c>
      <c r="C20" s="22">
        <v>16</v>
      </c>
      <c r="D20" s="22">
        <v>2.8022999999999998</v>
      </c>
      <c r="E20" s="22">
        <v>100</v>
      </c>
      <c r="F20" s="22">
        <v>3.0139999999999998</v>
      </c>
      <c r="G20" s="9">
        <f t="shared" si="2"/>
        <v>900</v>
      </c>
      <c r="H20" s="22">
        <v>3.6551</v>
      </c>
      <c r="I20" s="19">
        <f t="shared" si="3"/>
        <v>0.2117</v>
      </c>
      <c r="J20" s="19">
        <f t="shared" si="4"/>
        <v>0.64110000000000023</v>
      </c>
      <c r="K20" s="19">
        <f t="shared" si="5"/>
        <v>0.85280000000000022</v>
      </c>
      <c r="L20" s="20"/>
      <c r="M20" s="20"/>
      <c r="N20" s="20"/>
      <c r="O20" s="23">
        <f t="shared" si="6"/>
        <v>0</v>
      </c>
      <c r="P20" s="55"/>
      <c r="Q20" s="24" t="e">
        <f t="shared" si="7"/>
        <v>#DIV/0!</v>
      </c>
      <c r="R20" s="25">
        <f t="shared" si="0"/>
        <v>0</v>
      </c>
      <c r="S20" s="55"/>
      <c r="T20" s="24" t="e">
        <f t="shared" si="1"/>
        <v>#DIV/0!</v>
      </c>
      <c r="U20" s="2">
        <v>98.1173</v>
      </c>
      <c r="V20" s="2"/>
      <c r="W20" s="21"/>
      <c r="Z20" s="39"/>
      <c r="AA20" s="2"/>
    </row>
    <row r="21" spans="1:27" x14ac:dyDescent="0.45">
      <c r="A21" s="59" t="s">
        <v>41</v>
      </c>
      <c r="B21" s="10" t="s">
        <v>20</v>
      </c>
      <c r="C21" s="11">
        <v>17</v>
      </c>
      <c r="D21" s="10">
        <v>2.8163999999999998</v>
      </c>
      <c r="E21" s="10">
        <v>300</v>
      </c>
      <c r="F21" s="11">
        <v>3.0017</v>
      </c>
      <c r="G21" s="10">
        <f t="shared" si="2"/>
        <v>700</v>
      </c>
      <c r="H21" s="11">
        <v>3.6023999999999998</v>
      </c>
      <c r="I21" s="13">
        <f t="shared" si="3"/>
        <v>0.18530000000000024</v>
      </c>
      <c r="J21" s="13">
        <f t="shared" si="4"/>
        <v>0.60069999999999979</v>
      </c>
      <c r="K21" s="13">
        <f t="shared" si="5"/>
        <v>0.78600000000000003</v>
      </c>
      <c r="L21" s="14"/>
      <c r="M21" s="14"/>
      <c r="N21" s="14"/>
      <c r="O21" s="15">
        <f t="shared" si="6"/>
        <v>0</v>
      </c>
      <c r="P21" s="54"/>
      <c r="Q21" s="16" t="e">
        <f t="shared" si="7"/>
        <v>#DIV/0!</v>
      </c>
      <c r="R21" s="17">
        <f t="shared" si="0"/>
        <v>0</v>
      </c>
      <c r="S21" s="54"/>
      <c r="T21" s="16" t="e">
        <f t="shared" ref="T21:T24" si="15">Q21*$K21/$I21</f>
        <v>#DIV/0!</v>
      </c>
      <c r="U21" s="35">
        <v>2.8273000000000001</v>
      </c>
      <c r="V21" s="35"/>
      <c r="W21" s="18">
        <f>AVERAGE(R21:R22)/100</f>
        <v>0</v>
      </c>
      <c r="X21" s="28"/>
      <c r="Y21" s="28" t="e">
        <f>AVERAGE(T21:T22)/100</f>
        <v>#DIV/0!</v>
      </c>
      <c r="Z21" s="37">
        <f t="shared" ref="Z21" si="16">AVERAGE(U21:V22)/100</f>
        <v>2.7996E-2</v>
      </c>
      <c r="AA21" s="2" t="e">
        <f t="shared" si="8"/>
        <v>#DIV/0!</v>
      </c>
    </row>
    <row r="22" spans="1:27" x14ac:dyDescent="0.45">
      <c r="A22" s="59"/>
      <c r="B22" s="11" t="s">
        <v>20</v>
      </c>
      <c r="C22" s="11">
        <v>18</v>
      </c>
      <c r="D22" s="11">
        <v>2.8170999999999999</v>
      </c>
      <c r="E22" s="11">
        <v>300</v>
      </c>
      <c r="F22" s="11">
        <v>3.0021</v>
      </c>
      <c r="G22" s="10">
        <f t="shared" si="2"/>
        <v>700</v>
      </c>
      <c r="H22" s="11">
        <v>3.6463999999999999</v>
      </c>
      <c r="I22" s="13">
        <f t="shared" si="3"/>
        <v>0.18500000000000005</v>
      </c>
      <c r="J22" s="13">
        <f t="shared" si="4"/>
        <v>0.64429999999999987</v>
      </c>
      <c r="K22" s="13">
        <f t="shared" si="5"/>
        <v>0.82929999999999993</v>
      </c>
      <c r="L22" s="14"/>
      <c r="M22" s="14"/>
      <c r="N22" s="14"/>
      <c r="O22" s="15">
        <f t="shared" si="6"/>
        <v>0</v>
      </c>
      <c r="P22" s="54"/>
      <c r="Q22" s="16" t="e">
        <f t="shared" si="7"/>
        <v>#DIV/0!</v>
      </c>
      <c r="R22" s="17">
        <f t="shared" si="0"/>
        <v>0</v>
      </c>
      <c r="S22" s="54"/>
      <c r="T22" s="16" t="e">
        <f t="shared" si="15"/>
        <v>#DIV/0!</v>
      </c>
      <c r="U22" s="35">
        <v>2.7719</v>
      </c>
      <c r="V22" s="35"/>
      <c r="W22" s="21"/>
      <c r="Z22" s="39"/>
      <c r="AA22" s="2"/>
    </row>
    <row r="23" spans="1:27" x14ac:dyDescent="0.45">
      <c r="A23" s="59"/>
      <c r="B23" s="22" t="s">
        <v>21</v>
      </c>
      <c r="C23" s="22">
        <v>19</v>
      </c>
      <c r="D23" s="22">
        <v>2.8014000000000001</v>
      </c>
      <c r="E23" s="22">
        <v>100</v>
      </c>
      <c r="F23" s="22">
        <v>3.0245000000000002</v>
      </c>
      <c r="G23" s="9">
        <f t="shared" si="2"/>
        <v>900</v>
      </c>
      <c r="H23" s="22">
        <v>3.6705999999999999</v>
      </c>
      <c r="I23" s="19">
        <f t="shared" si="3"/>
        <v>0.22310000000000008</v>
      </c>
      <c r="J23" s="19">
        <f t="shared" si="4"/>
        <v>0.64609999999999967</v>
      </c>
      <c r="K23" s="19">
        <f t="shared" si="5"/>
        <v>0.86919999999999975</v>
      </c>
      <c r="L23" s="20"/>
      <c r="M23" s="20"/>
      <c r="N23" s="20"/>
      <c r="O23" s="23">
        <f t="shared" si="6"/>
        <v>0</v>
      </c>
      <c r="P23" s="55"/>
      <c r="Q23" s="24" t="e">
        <f t="shared" si="7"/>
        <v>#DIV/0!</v>
      </c>
      <c r="R23" s="25">
        <f t="shared" si="0"/>
        <v>0</v>
      </c>
      <c r="S23" s="55"/>
      <c r="T23" s="24" t="e">
        <f t="shared" si="15"/>
        <v>#DIV/0!</v>
      </c>
      <c r="U23" s="2">
        <v>97.481999999999999</v>
      </c>
      <c r="V23" s="2"/>
      <c r="W23" s="21">
        <f>AVERAGE(R23:R24)/100</f>
        <v>0</v>
      </c>
      <c r="Y23" t="e">
        <f>AVERAGE(T23:T24)/100</f>
        <v>#DIV/0!</v>
      </c>
      <c r="Z23" s="39">
        <f t="shared" ref="Z23" si="17">AVERAGE(U23:V24)/100</f>
        <v>0.97731499999999993</v>
      </c>
      <c r="AA23" s="2" t="e">
        <f t="shared" si="8"/>
        <v>#DIV/0!</v>
      </c>
    </row>
    <row r="24" spans="1:27" ht="14.65" thickBot="1" x14ac:dyDescent="0.5">
      <c r="A24" s="59"/>
      <c r="B24" s="22" t="s">
        <v>21</v>
      </c>
      <c r="C24" s="22">
        <v>20</v>
      </c>
      <c r="D24" s="22">
        <v>2.7187999999999999</v>
      </c>
      <c r="E24" s="22">
        <v>100</v>
      </c>
      <c r="F24" s="22">
        <v>3.0306999999999999</v>
      </c>
      <c r="G24" s="9">
        <f t="shared" si="2"/>
        <v>900</v>
      </c>
      <c r="H24" s="22">
        <v>3.6734</v>
      </c>
      <c r="I24" s="19">
        <f t="shared" si="3"/>
        <v>0.31190000000000007</v>
      </c>
      <c r="J24" s="19">
        <f t="shared" si="4"/>
        <v>0.64270000000000005</v>
      </c>
      <c r="K24" s="19">
        <f t="shared" si="5"/>
        <v>0.95460000000000012</v>
      </c>
      <c r="L24" s="20"/>
      <c r="M24" s="20"/>
      <c r="N24" s="20"/>
      <c r="O24" s="34">
        <f t="shared" si="6"/>
        <v>0</v>
      </c>
      <c r="P24" s="56"/>
      <c r="Q24" s="33" t="e">
        <f t="shared" si="7"/>
        <v>#DIV/0!</v>
      </c>
      <c r="R24" s="25">
        <f t="shared" si="0"/>
        <v>0</v>
      </c>
      <c r="S24" s="55"/>
      <c r="T24" s="24" t="e">
        <f t="shared" si="15"/>
        <v>#DIV/0!</v>
      </c>
      <c r="U24" s="40">
        <v>97.980999999999995</v>
      </c>
      <c r="V24" s="40"/>
      <c r="W24" s="29"/>
      <c r="X24" s="30"/>
      <c r="Y24" s="30"/>
      <c r="Z24" s="42"/>
      <c r="AA24" s="2"/>
    </row>
  </sheetData>
  <mergeCells count="8">
    <mergeCell ref="A17:A20"/>
    <mergeCell ref="A21:A24"/>
    <mergeCell ref="O3:Q3"/>
    <mergeCell ref="R3:T3"/>
    <mergeCell ref="U3:V3"/>
    <mergeCell ref="A5:A8"/>
    <mergeCell ref="A9:A12"/>
    <mergeCell ref="A13:A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CA9C-96BC-47FA-A962-709A342B99A9}">
  <sheetPr>
    <tabColor theme="7"/>
  </sheetPr>
  <dimension ref="A1:AA24"/>
  <sheetViews>
    <sheetView workbookViewId="0">
      <selection activeCell="I11" sqref="I11"/>
    </sheetView>
  </sheetViews>
  <sheetFormatPr defaultRowHeight="14.25" x14ac:dyDescent="0.45"/>
  <cols>
    <col min="4" max="4" width="8.33203125" customWidth="1"/>
    <col min="5" max="5" width="10.53125" customWidth="1"/>
    <col min="6" max="6" width="13.59765625" customWidth="1"/>
    <col min="7" max="7" width="10.6640625" style="2" customWidth="1"/>
    <col min="8" max="8" width="12.73046875" bestFit="1" customWidth="1"/>
    <col min="12" max="12" width="10.46484375" bestFit="1" customWidth="1"/>
    <col min="13" max="13" width="10.46484375" customWidth="1"/>
    <col min="14" max="14" width="12.59765625" bestFit="1" customWidth="1"/>
    <col min="15" max="15" width="11.1328125" bestFit="1" customWidth="1"/>
    <col min="16" max="16" width="11.1328125" customWidth="1"/>
    <col min="17" max="17" width="13.6640625" bestFit="1" customWidth="1"/>
    <col min="18" max="18" width="11.1328125" bestFit="1" customWidth="1"/>
    <col min="19" max="19" width="11.1328125" customWidth="1"/>
    <col min="20" max="20" width="13.6640625" bestFit="1" customWidth="1"/>
    <col min="21" max="22" width="9.53125" customWidth="1"/>
  </cols>
  <sheetData>
    <row r="1" spans="1:27" ht="28.9" thickBot="1" x14ac:dyDescent="0.9">
      <c r="F1" s="47" t="s">
        <v>44</v>
      </c>
      <c r="G1" s="47" t="s">
        <v>51</v>
      </c>
    </row>
    <row r="2" spans="1:27" ht="14.65" thickBot="1" x14ac:dyDescent="0.5">
      <c r="E2" t="s">
        <v>5</v>
      </c>
      <c r="F2">
        <v>363.57560000000001</v>
      </c>
      <c r="G2"/>
      <c r="H2" s="1"/>
    </row>
    <row r="3" spans="1:27" ht="14.65" thickBot="1" x14ac:dyDescent="0.5">
      <c r="M3" t="s">
        <v>68</v>
      </c>
      <c r="N3" t="s">
        <v>65</v>
      </c>
      <c r="O3" s="60" t="s">
        <v>6</v>
      </c>
      <c r="P3" s="61"/>
      <c r="Q3" s="62"/>
      <c r="R3" s="61" t="s">
        <v>7</v>
      </c>
      <c r="S3" s="61"/>
      <c r="T3" s="62"/>
      <c r="U3" s="63" t="s">
        <v>46</v>
      </c>
      <c r="V3" s="64"/>
    </row>
    <row r="4" spans="1:27" ht="14.65" thickBot="1" x14ac:dyDescent="0.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42</v>
      </c>
      <c r="H4" s="3" t="s">
        <v>14</v>
      </c>
      <c r="I4" s="4" t="s">
        <v>15</v>
      </c>
      <c r="J4" s="4" t="s">
        <v>43</v>
      </c>
      <c r="K4" s="4" t="s">
        <v>16</v>
      </c>
      <c r="L4" s="4" t="s">
        <v>17</v>
      </c>
      <c r="M4" s="48" t="s">
        <v>63</v>
      </c>
      <c r="N4" s="5" t="s">
        <v>55</v>
      </c>
      <c r="O4" s="31" t="s">
        <v>45</v>
      </c>
      <c r="P4" s="49" t="s">
        <v>56</v>
      </c>
      <c r="Q4" s="32" t="s">
        <v>57</v>
      </c>
      <c r="R4" s="31" t="s">
        <v>45</v>
      </c>
      <c r="S4" s="49" t="s">
        <v>56</v>
      </c>
      <c r="T4" s="32" t="s">
        <v>57</v>
      </c>
      <c r="U4" s="7">
        <v>1</v>
      </c>
      <c r="V4" s="7">
        <v>2</v>
      </c>
      <c r="W4" s="6" t="s">
        <v>18</v>
      </c>
      <c r="X4" s="7" t="s">
        <v>58</v>
      </c>
      <c r="Y4" s="7" t="s">
        <v>59</v>
      </c>
      <c r="Z4" s="8" t="s">
        <v>19</v>
      </c>
    </row>
    <row r="5" spans="1:27" x14ac:dyDescent="0.45">
      <c r="A5" s="59" t="s">
        <v>37</v>
      </c>
      <c r="B5" s="10" t="s">
        <v>20</v>
      </c>
      <c r="C5" s="11">
        <v>1</v>
      </c>
      <c r="D5" s="12">
        <v>2.8704000000000001</v>
      </c>
      <c r="E5" s="10">
        <v>300</v>
      </c>
      <c r="F5" s="11">
        <v>3.0503</v>
      </c>
      <c r="G5" s="10">
        <f>1000-E5</f>
        <v>700</v>
      </c>
      <c r="H5" s="11">
        <v>3.6857000000000002</v>
      </c>
      <c r="I5" s="13">
        <f>F5-D5</f>
        <v>0.17989999999999995</v>
      </c>
      <c r="J5" s="13">
        <f>H5-F5</f>
        <v>0.63540000000000019</v>
      </c>
      <c r="K5" s="13">
        <f>J5+I5</f>
        <v>0.81530000000000014</v>
      </c>
      <c r="L5" s="14"/>
      <c r="M5" s="14"/>
      <c r="N5" s="14"/>
      <c r="O5" s="15">
        <f>L5/$F$2</f>
        <v>0</v>
      </c>
      <c r="P5" s="54"/>
      <c r="Q5" s="16" t="e">
        <f>N5/$G$2</f>
        <v>#DIV/0!</v>
      </c>
      <c r="R5" s="17">
        <f t="shared" ref="R5:R24" si="0">O5*$K5/$I5</f>
        <v>0</v>
      </c>
      <c r="S5" s="54"/>
      <c r="T5" s="16" t="e">
        <f t="shared" ref="T5:T20" si="1">Q5*$K5/$I5</f>
        <v>#DIV/0!</v>
      </c>
      <c r="U5" s="35">
        <v>1.9282999999999999</v>
      </c>
      <c r="V5" s="35"/>
      <c r="W5" s="43">
        <f>AVERAGE(R5:R6)/100</f>
        <v>0</v>
      </c>
      <c r="X5" s="44"/>
      <c r="Y5" s="44" t="e">
        <f>AVERAGE(T5:T6)/100</f>
        <v>#DIV/0!</v>
      </c>
      <c r="Z5" s="45">
        <f>AVERAGE(U5:V6)/100</f>
        <v>1.8909499999999999E-2</v>
      </c>
      <c r="AA5" s="2" t="e">
        <f>SUM(W5:Z5)</f>
        <v>#DIV/0!</v>
      </c>
    </row>
    <row r="6" spans="1:27" x14ac:dyDescent="0.45">
      <c r="A6" s="59"/>
      <c r="B6" s="11" t="s">
        <v>20</v>
      </c>
      <c r="C6" s="11">
        <v>2</v>
      </c>
      <c r="D6" s="11">
        <v>2.8691</v>
      </c>
      <c r="E6" s="11">
        <v>300</v>
      </c>
      <c r="F6" s="11">
        <v>3.0579000000000001</v>
      </c>
      <c r="G6" s="10">
        <f t="shared" ref="G6:G24" si="2">1000-E6</f>
        <v>700</v>
      </c>
      <c r="H6" s="11">
        <v>3.6781000000000001</v>
      </c>
      <c r="I6" s="13">
        <f t="shared" ref="I6:I24" si="3">F6-D6</f>
        <v>0.18880000000000008</v>
      </c>
      <c r="J6" s="13">
        <f t="shared" ref="J6:J24" si="4">H6-F6</f>
        <v>0.62020000000000008</v>
      </c>
      <c r="K6" s="13">
        <f t="shared" ref="K6:K24" si="5">J6+I6</f>
        <v>0.80900000000000016</v>
      </c>
      <c r="L6" s="14"/>
      <c r="M6" s="14"/>
      <c r="N6" s="14"/>
      <c r="O6" s="15">
        <f t="shared" ref="O6:O24" si="6">L6/$F$2</f>
        <v>0</v>
      </c>
      <c r="P6" s="54"/>
      <c r="Q6" s="16" t="e">
        <f t="shared" ref="Q6:Q24" si="7">N6/$G$2</f>
        <v>#DIV/0!</v>
      </c>
      <c r="R6" s="17">
        <f t="shared" si="0"/>
        <v>0</v>
      </c>
      <c r="S6" s="54"/>
      <c r="T6" s="16" t="e">
        <f t="shared" si="1"/>
        <v>#DIV/0!</v>
      </c>
      <c r="U6" s="35">
        <v>1.8535999999999999</v>
      </c>
      <c r="V6" s="35"/>
      <c r="W6" s="21"/>
      <c r="Z6" s="39"/>
      <c r="AA6" s="2"/>
    </row>
    <row r="7" spans="1:27" x14ac:dyDescent="0.45">
      <c r="A7" s="59"/>
      <c r="B7" s="22" t="s">
        <v>21</v>
      </c>
      <c r="C7" s="22">
        <v>3</v>
      </c>
      <c r="D7" s="22">
        <v>2.8384999999999998</v>
      </c>
      <c r="E7" s="22">
        <v>100</v>
      </c>
      <c r="F7" s="22">
        <v>3.0413000000000001</v>
      </c>
      <c r="G7" s="9">
        <f t="shared" si="2"/>
        <v>900</v>
      </c>
      <c r="H7" s="22">
        <v>3.6484999999999999</v>
      </c>
      <c r="I7" s="19">
        <f t="shared" si="3"/>
        <v>0.20280000000000031</v>
      </c>
      <c r="J7" s="19">
        <f t="shared" si="4"/>
        <v>0.60719999999999974</v>
      </c>
      <c r="K7" s="19">
        <f t="shared" si="5"/>
        <v>0.81</v>
      </c>
      <c r="N7" s="20"/>
      <c r="O7" s="23">
        <f t="shared" si="6"/>
        <v>0</v>
      </c>
      <c r="P7" s="55"/>
      <c r="Q7" s="24" t="e">
        <f t="shared" si="7"/>
        <v>#DIV/0!</v>
      </c>
      <c r="R7" s="25">
        <f t="shared" si="0"/>
        <v>0</v>
      </c>
      <c r="S7" s="55"/>
      <c r="T7" s="24" t="e">
        <f t="shared" si="1"/>
        <v>#DIV/0!</v>
      </c>
      <c r="U7" s="2">
        <v>98.530100000000004</v>
      </c>
      <c r="V7" s="2"/>
      <c r="W7" s="21">
        <f>AVERAGE(R7:R8)/100</f>
        <v>0</v>
      </c>
      <c r="Y7" t="e">
        <f>AVERAGE(T7:T8)/100</f>
        <v>#DIV/0!</v>
      </c>
      <c r="Z7" s="39">
        <f>AVERAGE(U7:V8)/100</f>
        <v>0.99133550000000004</v>
      </c>
      <c r="AA7" s="2" t="e">
        <f t="shared" ref="AA7:AA23" si="8">SUM(W7:Z7)</f>
        <v>#DIV/0!</v>
      </c>
    </row>
    <row r="8" spans="1:27" x14ac:dyDescent="0.45">
      <c r="A8" s="59"/>
      <c r="B8" s="22" t="s">
        <v>21</v>
      </c>
      <c r="C8" s="22">
        <v>4</v>
      </c>
      <c r="D8" s="22">
        <v>2.7677</v>
      </c>
      <c r="E8" s="22">
        <v>100</v>
      </c>
      <c r="F8" s="22">
        <v>2.9750999999999999</v>
      </c>
      <c r="G8" s="9">
        <f t="shared" si="2"/>
        <v>900</v>
      </c>
      <c r="H8" s="22">
        <v>3.6229</v>
      </c>
      <c r="I8" s="19">
        <f t="shared" si="3"/>
        <v>0.20739999999999981</v>
      </c>
      <c r="J8" s="19">
        <f t="shared" si="4"/>
        <v>0.64780000000000015</v>
      </c>
      <c r="K8" s="19">
        <f t="shared" si="5"/>
        <v>0.85519999999999996</v>
      </c>
      <c r="L8" s="20"/>
      <c r="M8" s="20"/>
      <c r="N8" s="20"/>
      <c r="O8" s="23">
        <f t="shared" si="6"/>
        <v>0</v>
      </c>
      <c r="P8" s="55"/>
      <c r="Q8" s="24" t="e">
        <f t="shared" si="7"/>
        <v>#DIV/0!</v>
      </c>
      <c r="R8" s="25">
        <f t="shared" si="0"/>
        <v>0</v>
      </c>
      <c r="S8" s="55"/>
      <c r="T8" s="24" t="e">
        <f t="shared" si="1"/>
        <v>#DIV/0!</v>
      </c>
      <c r="U8" s="2">
        <v>99.736999999999995</v>
      </c>
      <c r="V8" s="2"/>
      <c r="W8" s="21"/>
      <c r="Z8" s="39"/>
      <c r="AA8" s="2"/>
    </row>
    <row r="9" spans="1:27" x14ac:dyDescent="0.45">
      <c r="A9" s="59" t="s">
        <v>38</v>
      </c>
      <c r="B9" s="10" t="s">
        <v>20</v>
      </c>
      <c r="C9" s="11">
        <v>5</v>
      </c>
      <c r="D9" s="10">
        <v>2.8342999999999998</v>
      </c>
      <c r="E9" s="10">
        <v>300</v>
      </c>
      <c r="F9" s="11">
        <v>3.0339</v>
      </c>
      <c r="G9" s="10">
        <f t="shared" si="2"/>
        <v>700</v>
      </c>
      <c r="H9" s="11">
        <v>3.6604999999999999</v>
      </c>
      <c r="I9" s="13">
        <f t="shared" si="3"/>
        <v>0.19960000000000022</v>
      </c>
      <c r="J9" s="13">
        <f t="shared" si="4"/>
        <v>0.62659999999999982</v>
      </c>
      <c r="K9" s="13">
        <f t="shared" si="5"/>
        <v>0.82620000000000005</v>
      </c>
      <c r="L9" s="14"/>
      <c r="M9" s="14"/>
      <c r="N9" s="14"/>
      <c r="O9" s="15">
        <f t="shared" si="6"/>
        <v>0</v>
      </c>
      <c r="P9" s="54"/>
      <c r="Q9" s="16" t="e">
        <f t="shared" si="7"/>
        <v>#DIV/0!</v>
      </c>
      <c r="R9" s="17">
        <f t="shared" si="0"/>
        <v>0</v>
      </c>
      <c r="S9" s="54"/>
      <c r="T9" s="16" t="e">
        <f t="shared" si="1"/>
        <v>#DIV/0!</v>
      </c>
      <c r="U9" s="35">
        <v>99.351299999999995</v>
      </c>
      <c r="V9" s="35"/>
      <c r="W9" s="18">
        <f>AVERAGE(R9:R10)/100</f>
        <v>0</v>
      </c>
      <c r="X9" s="28"/>
      <c r="Y9" s="28" t="e">
        <f>AVERAGE(T9:T10)/100</f>
        <v>#DIV/0!</v>
      </c>
      <c r="Z9" s="37">
        <f t="shared" ref="Z9" si="9">AVERAGE(U9:V10)/100</f>
        <v>0.97352866666666671</v>
      </c>
      <c r="AA9" s="2" t="e">
        <f t="shared" si="8"/>
        <v>#DIV/0!</v>
      </c>
    </row>
    <row r="10" spans="1:27" x14ac:dyDescent="0.45">
      <c r="A10" s="59"/>
      <c r="B10" s="11" t="s">
        <v>20</v>
      </c>
      <c r="C10" s="11">
        <v>6</v>
      </c>
      <c r="D10" s="11">
        <v>2.7751000000000001</v>
      </c>
      <c r="E10" s="11">
        <v>300</v>
      </c>
      <c r="F10" s="11">
        <v>2.9821</v>
      </c>
      <c r="G10" s="10">
        <f t="shared" si="2"/>
        <v>700</v>
      </c>
      <c r="H10" s="11">
        <v>3.6019999999999999</v>
      </c>
      <c r="I10" s="13">
        <f t="shared" si="3"/>
        <v>0.20699999999999985</v>
      </c>
      <c r="J10" s="13">
        <f t="shared" si="4"/>
        <v>0.6198999999999999</v>
      </c>
      <c r="K10" s="13">
        <f t="shared" si="5"/>
        <v>0.82689999999999975</v>
      </c>
      <c r="L10" s="14"/>
      <c r="M10" s="14"/>
      <c r="N10" s="14"/>
      <c r="O10" s="15">
        <f t="shared" si="6"/>
        <v>0</v>
      </c>
      <c r="P10" s="54"/>
      <c r="Q10" s="16" t="e">
        <f t="shared" si="7"/>
        <v>#DIV/0!</v>
      </c>
      <c r="R10" s="17">
        <f t="shared" si="0"/>
        <v>0</v>
      </c>
      <c r="S10" s="54"/>
      <c r="T10" s="16" t="e">
        <f t="shared" si="1"/>
        <v>#DIV/0!</v>
      </c>
      <c r="U10" s="35">
        <v>96.815600000000003</v>
      </c>
      <c r="V10" s="35">
        <v>95.8917</v>
      </c>
      <c r="W10" s="21"/>
      <c r="Z10" s="39"/>
      <c r="AA10" s="2"/>
    </row>
    <row r="11" spans="1:27" x14ac:dyDescent="0.45">
      <c r="A11" s="59"/>
      <c r="B11" s="22" t="s">
        <v>21</v>
      </c>
      <c r="C11" s="22">
        <v>7</v>
      </c>
      <c r="D11" s="22">
        <v>2.7561</v>
      </c>
      <c r="E11" s="22">
        <v>100</v>
      </c>
      <c r="F11" s="22">
        <v>2.9571999999999998</v>
      </c>
      <c r="G11" s="9">
        <f t="shared" si="2"/>
        <v>900</v>
      </c>
      <c r="H11" s="22">
        <v>3.5909</v>
      </c>
      <c r="I11" s="19">
        <f t="shared" si="3"/>
        <v>0.20109999999999983</v>
      </c>
      <c r="J11" s="19">
        <f t="shared" si="4"/>
        <v>0.63370000000000015</v>
      </c>
      <c r="K11" s="19">
        <f t="shared" si="5"/>
        <v>0.83479999999999999</v>
      </c>
      <c r="L11" s="26"/>
      <c r="M11" s="26"/>
      <c r="N11" s="20"/>
      <c r="O11" s="23">
        <f t="shared" si="6"/>
        <v>0</v>
      </c>
      <c r="P11" s="55"/>
      <c r="Q11" s="24" t="e">
        <f t="shared" si="7"/>
        <v>#DIV/0!</v>
      </c>
      <c r="R11" s="25">
        <f t="shared" si="0"/>
        <v>0</v>
      </c>
      <c r="S11" s="55"/>
      <c r="T11" s="24" t="e">
        <f t="shared" si="1"/>
        <v>#DIV/0!</v>
      </c>
      <c r="U11" s="2">
        <v>7.9146999999999998</v>
      </c>
      <c r="V11" s="2"/>
      <c r="W11" s="21">
        <f>AVERAGE(R11:R12)/100</f>
        <v>0</v>
      </c>
      <c r="Y11" t="e">
        <f>AVERAGE(T11:T12)/100</f>
        <v>#DIV/0!</v>
      </c>
      <c r="Z11" s="39">
        <f t="shared" ref="Z11" si="10">AVERAGE(U11:V12)/100</f>
        <v>7.7276999999999998E-2</v>
      </c>
      <c r="AA11" s="2" t="e">
        <f t="shared" si="8"/>
        <v>#DIV/0!</v>
      </c>
    </row>
    <row r="12" spans="1:27" x14ac:dyDescent="0.45">
      <c r="A12" s="59"/>
      <c r="B12" s="22" t="s">
        <v>21</v>
      </c>
      <c r="C12" s="22">
        <v>8</v>
      </c>
      <c r="D12" s="22">
        <v>2.8336000000000001</v>
      </c>
      <c r="E12" s="22">
        <v>100</v>
      </c>
      <c r="F12" s="22">
        <v>3.0390000000000001</v>
      </c>
      <c r="G12" s="9">
        <f t="shared" si="2"/>
        <v>900</v>
      </c>
      <c r="H12" s="22">
        <v>3.6818</v>
      </c>
      <c r="I12" s="19">
        <f t="shared" si="3"/>
        <v>0.20540000000000003</v>
      </c>
      <c r="J12" s="19">
        <f t="shared" si="4"/>
        <v>0.64279999999999982</v>
      </c>
      <c r="K12" s="19">
        <f t="shared" si="5"/>
        <v>0.84819999999999984</v>
      </c>
      <c r="L12" s="20"/>
      <c r="M12" s="20"/>
      <c r="N12" s="20"/>
      <c r="O12" s="23">
        <f t="shared" si="6"/>
        <v>0</v>
      </c>
      <c r="P12" s="55"/>
      <c r="Q12" s="24" t="e">
        <f t="shared" si="7"/>
        <v>#DIV/0!</v>
      </c>
      <c r="R12" s="25">
        <f t="shared" si="0"/>
        <v>0</v>
      </c>
      <c r="S12" s="55"/>
      <c r="T12" s="24" t="e">
        <f t="shared" si="1"/>
        <v>#DIV/0!</v>
      </c>
      <c r="U12" s="2">
        <v>7.6881000000000004</v>
      </c>
      <c r="V12" s="2">
        <v>7.5803000000000003</v>
      </c>
      <c r="W12" s="21"/>
      <c r="Z12" s="39"/>
      <c r="AA12" s="2"/>
    </row>
    <row r="13" spans="1:27" x14ac:dyDescent="0.45">
      <c r="A13" s="59" t="s">
        <v>39</v>
      </c>
      <c r="B13" s="10" t="s">
        <v>20</v>
      </c>
      <c r="C13" s="11">
        <v>9</v>
      </c>
      <c r="D13" s="10">
        <v>2.7423000000000002</v>
      </c>
      <c r="E13" s="10">
        <v>300</v>
      </c>
      <c r="F13" s="11">
        <v>2.9238</v>
      </c>
      <c r="G13" s="10">
        <f t="shared" si="2"/>
        <v>700</v>
      </c>
      <c r="H13" s="11">
        <v>3.5571000000000002</v>
      </c>
      <c r="I13" s="13">
        <f t="shared" si="3"/>
        <v>0.18149999999999977</v>
      </c>
      <c r="J13" s="13">
        <f t="shared" si="4"/>
        <v>0.6333000000000002</v>
      </c>
      <c r="K13" s="13">
        <f t="shared" si="5"/>
        <v>0.81479999999999997</v>
      </c>
      <c r="L13" s="14"/>
      <c r="M13" s="14"/>
      <c r="N13" s="14"/>
      <c r="O13" s="15">
        <f t="shared" si="6"/>
        <v>0</v>
      </c>
      <c r="P13" s="54"/>
      <c r="Q13" s="16" t="e">
        <f t="shared" si="7"/>
        <v>#DIV/0!</v>
      </c>
      <c r="R13" s="17">
        <f t="shared" si="0"/>
        <v>0</v>
      </c>
      <c r="S13" s="54"/>
      <c r="T13" s="16" t="e">
        <f t="shared" si="1"/>
        <v>#DIV/0!</v>
      </c>
      <c r="U13" s="35">
        <v>3.7570999999999999</v>
      </c>
      <c r="V13" s="35"/>
      <c r="W13" s="18">
        <f>AVERAGE(R13:R14)/100</f>
        <v>0</v>
      </c>
      <c r="X13" s="28"/>
      <c r="Y13" s="28" t="e">
        <f>AVERAGE(T13:T14)/100</f>
        <v>#DIV/0!</v>
      </c>
      <c r="Z13" s="37">
        <f t="shared" ref="Z13" si="11">AVERAGE(U13:V14)/100</f>
        <v>3.7472999999999999E-2</v>
      </c>
      <c r="AA13" s="2" t="e">
        <f t="shared" si="8"/>
        <v>#DIV/0!</v>
      </c>
    </row>
    <row r="14" spans="1:27" x14ac:dyDescent="0.45">
      <c r="A14" s="59"/>
      <c r="B14" s="10" t="s">
        <v>20</v>
      </c>
      <c r="C14" s="11">
        <v>10</v>
      </c>
      <c r="D14" s="11">
        <v>2.7606999999999999</v>
      </c>
      <c r="E14" s="11">
        <v>300</v>
      </c>
      <c r="F14" s="11">
        <v>2.9542999999999999</v>
      </c>
      <c r="G14" s="10">
        <f t="shared" si="2"/>
        <v>700</v>
      </c>
      <c r="H14" s="11">
        <v>3.5735000000000001</v>
      </c>
      <c r="I14" s="13">
        <f t="shared" si="3"/>
        <v>0.19359999999999999</v>
      </c>
      <c r="J14" s="13">
        <f t="shared" si="4"/>
        <v>0.61920000000000019</v>
      </c>
      <c r="K14" s="13">
        <f t="shared" si="5"/>
        <v>0.81280000000000019</v>
      </c>
      <c r="L14" s="14"/>
      <c r="M14" s="14"/>
      <c r="N14" s="14"/>
      <c r="O14" s="15">
        <f t="shared" si="6"/>
        <v>0</v>
      </c>
      <c r="P14" s="54"/>
      <c r="Q14" s="16" t="e">
        <f t="shared" si="7"/>
        <v>#DIV/0!</v>
      </c>
      <c r="R14" s="17">
        <f t="shared" si="0"/>
        <v>0</v>
      </c>
      <c r="S14" s="54"/>
      <c r="T14" s="16" t="e">
        <f t="shared" si="1"/>
        <v>#DIV/0!</v>
      </c>
      <c r="U14" s="35">
        <v>3.7374999999999998</v>
      </c>
      <c r="V14" s="35"/>
      <c r="W14" s="21"/>
      <c r="Z14" s="39"/>
      <c r="AA14" s="2"/>
    </row>
    <row r="15" spans="1:27" x14ac:dyDescent="0.45">
      <c r="A15" s="59"/>
      <c r="B15" s="22" t="s">
        <v>21</v>
      </c>
      <c r="C15" s="22">
        <v>11</v>
      </c>
      <c r="D15" s="22">
        <v>2.7382</v>
      </c>
      <c r="E15" s="22">
        <v>100</v>
      </c>
      <c r="F15" s="22">
        <v>2.9304999999999999</v>
      </c>
      <c r="G15" s="9">
        <f t="shared" si="2"/>
        <v>900</v>
      </c>
      <c r="H15" s="22">
        <v>3.5558999999999998</v>
      </c>
      <c r="I15" s="19">
        <f t="shared" si="3"/>
        <v>0.19229999999999992</v>
      </c>
      <c r="J15" s="19">
        <f t="shared" si="4"/>
        <v>0.62539999999999996</v>
      </c>
      <c r="K15" s="19">
        <f t="shared" si="5"/>
        <v>0.81769999999999987</v>
      </c>
      <c r="L15" s="20"/>
      <c r="M15" s="20"/>
      <c r="N15" s="27"/>
      <c r="O15" s="23">
        <f t="shared" si="6"/>
        <v>0</v>
      </c>
      <c r="P15" s="55"/>
      <c r="Q15" s="24" t="e">
        <f t="shared" si="7"/>
        <v>#DIV/0!</v>
      </c>
      <c r="R15" s="25">
        <f t="shared" si="0"/>
        <v>0</v>
      </c>
      <c r="S15" s="55"/>
      <c r="T15" s="24" t="e">
        <f t="shared" si="1"/>
        <v>#DIV/0!</v>
      </c>
      <c r="U15" s="2">
        <v>96.125100000000003</v>
      </c>
      <c r="V15" s="2"/>
      <c r="W15" s="21">
        <f>AVERAGE(R15:R16)/100</f>
        <v>0</v>
      </c>
      <c r="Y15" t="e">
        <f>AVERAGE(T15:T16)/100</f>
        <v>#DIV/0!</v>
      </c>
      <c r="Z15" s="39">
        <f t="shared" ref="Z15" si="12">AVERAGE(U15:V16)/100</f>
        <v>0.96121966666666669</v>
      </c>
      <c r="AA15" s="2" t="e">
        <f t="shared" si="8"/>
        <v>#DIV/0!</v>
      </c>
    </row>
    <row r="16" spans="1:27" x14ac:dyDescent="0.45">
      <c r="A16" s="59"/>
      <c r="B16" s="22" t="s">
        <v>21</v>
      </c>
      <c r="C16" s="22">
        <v>12</v>
      </c>
      <c r="D16" s="22">
        <v>2.7374999999999998</v>
      </c>
      <c r="E16" s="22">
        <v>100</v>
      </c>
      <c r="F16" s="22">
        <v>2.9323000000000001</v>
      </c>
      <c r="G16" s="9">
        <f t="shared" si="2"/>
        <v>900</v>
      </c>
      <c r="H16" s="22">
        <v>3.5714999999999999</v>
      </c>
      <c r="I16" s="19">
        <f t="shared" si="3"/>
        <v>0.19480000000000031</v>
      </c>
      <c r="J16" s="19">
        <f t="shared" si="4"/>
        <v>0.63919999999999977</v>
      </c>
      <c r="K16" s="19">
        <f t="shared" si="5"/>
        <v>0.83400000000000007</v>
      </c>
      <c r="L16" s="20"/>
      <c r="M16" s="20"/>
      <c r="N16" s="20"/>
      <c r="O16" s="23">
        <f t="shared" si="6"/>
        <v>0</v>
      </c>
      <c r="P16" s="55"/>
      <c r="Q16" s="24" t="e">
        <f t="shared" si="7"/>
        <v>#DIV/0!</v>
      </c>
      <c r="R16" s="25">
        <f t="shared" si="0"/>
        <v>0</v>
      </c>
      <c r="S16" s="55"/>
      <c r="T16" s="24" t="e">
        <f t="shared" si="1"/>
        <v>#DIV/0!</v>
      </c>
      <c r="U16" s="2">
        <v>96.904300000000006</v>
      </c>
      <c r="V16" s="2">
        <v>95.336500000000001</v>
      </c>
      <c r="W16" s="21"/>
      <c r="Z16" s="39"/>
      <c r="AA16" s="2"/>
    </row>
    <row r="17" spans="1:27" x14ac:dyDescent="0.45">
      <c r="A17" s="59" t="s">
        <v>40</v>
      </c>
      <c r="B17" s="10" t="s">
        <v>20</v>
      </c>
      <c r="C17" s="11">
        <v>13</v>
      </c>
      <c r="D17" s="10">
        <v>2.7722000000000002</v>
      </c>
      <c r="E17" s="10">
        <v>300</v>
      </c>
      <c r="F17" s="11">
        <v>2.9727999999999999</v>
      </c>
      <c r="G17" s="10">
        <f t="shared" si="2"/>
        <v>700</v>
      </c>
      <c r="H17" s="11">
        <v>3.5796999999999999</v>
      </c>
      <c r="I17" s="13">
        <f t="shared" si="3"/>
        <v>0.20059999999999967</v>
      </c>
      <c r="J17" s="13">
        <f t="shared" si="4"/>
        <v>0.6069</v>
      </c>
      <c r="K17" s="13">
        <f t="shared" si="5"/>
        <v>0.80749999999999966</v>
      </c>
      <c r="L17" s="14"/>
      <c r="M17" s="14"/>
      <c r="N17" s="14"/>
      <c r="O17" s="15">
        <f t="shared" si="6"/>
        <v>0</v>
      </c>
      <c r="P17" s="54"/>
      <c r="Q17" s="16" t="e">
        <f t="shared" si="7"/>
        <v>#DIV/0!</v>
      </c>
      <c r="R17" s="17">
        <f t="shared" si="0"/>
        <v>0</v>
      </c>
      <c r="S17" s="54"/>
      <c r="T17" s="16" t="e">
        <f t="shared" si="1"/>
        <v>#DIV/0!</v>
      </c>
      <c r="U17" s="35">
        <v>98.107500000000002</v>
      </c>
      <c r="V17" s="35"/>
      <c r="W17" s="18">
        <f>AVERAGE(R17:R18)/100</f>
        <v>0</v>
      </c>
      <c r="X17" s="28"/>
      <c r="Y17" s="28" t="e">
        <f>AVERAGE(T17:T18)/100</f>
        <v>#DIV/0!</v>
      </c>
      <c r="Z17" s="37">
        <f t="shared" ref="Z17" si="13">AVERAGE(U17:V18)/100</f>
        <v>0.98423450000000001</v>
      </c>
      <c r="AA17" s="2" t="e">
        <f t="shared" si="8"/>
        <v>#DIV/0!</v>
      </c>
    </row>
    <row r="18" spans="1:27" x14ac:dyDescent="0.45">
      <c r="A18" s="59"/>
      <c r="B18" s="11" t="s">
        <v>20</v>
      </c>
      <c r="C18" s="11">
        <v>14</v>
      </c>
      <c r="D18" s="11">
        <v>2.7884000000000002</v>
      </c>
      <c r="E18" s="11">
        <v>300</v>
      </c>
      <c r="F18" s="11">
        <v>2.9927000000000001</v>
      </c>
      <c r="G18" s="10">
        <f t="shared" si="2"/>
        <v>700</v>
      </c>
      <c r="H18" s="11">
        <v>3.617</v>
      </c>
      <c r="I18" s="13">
        <f t="shared" si="3"/>
        <v>0.20429999999999993</v>
      </c>
      <c r="J18" s="13">
        <f t="shared" si="4"/>
        <v>0.62429999999999986</v>
      </c>
      <c r="K18" s="13">
        <f t="shared" si="5"/>
        <v>0.82859999999999978</v>
      </c>
      <c r="L18" s="14"/>
      <c r="M18" s="14"/>
      <c r="N18" s="14"/>
      <c r="O18" s="15">
        <f t="shared" si="6"/>
        <v>0</v>
      </c>
      <c r="P18" s="54"/>
      <c r="Q18" s="16" t="e">
        <f t="shared" si="7"/>
        <v>#DIV/0!</v>
      </c>
      <c r="R18" s="17">
        <f t="shared" si="0"/>
        <v>0</v>
      </c>
      <c r="S18" s="54"/>
      <c r="T18" s="16" t="e">
        <f t="shared" si="1"/>
        <v>#DIV/0!</v>
      </c>
      <c r="U18" s="35">
        <v>98.739400000000003</v>
      </c>
      <c r="V18" s="35"/>
      <c r="W18" s="21"/>
      <c r="Z18" s="39"/>
      <c r="AA18" s="2"/>
    </row>
    <row r="19" spans="1:27" x14ac:dyDescent="0.45">
      <c r="A19" s="59"/>
      <c r="B19" s="22" t="s">
        <v>21</v>
      </c>
      <c r="C19" s="22">
        <v>15</v>
      </c>
      <c r="D19" s="22">
        <v>2.7839999999999998</v>
      </c>
      <c r="E19" s="22">
        <v>100</v>
      </c>
      <c r="F19" s="22">
        <v>2.9666000000000001</v>
      </c>
      <c r="G19" s="9">
        <f t="shared" si="2"/>
        <v>900</v>
      </c>
      <c r="H19" s="22">
        <v>3.6048</v>
      </c>
      <c r="I19" s="19">
        <f t="shared" si="3"/>
        <v>0.18260000000000032</v>
      </c>
      <c r="J19" s="19">
        <f t="shared" si="4"/>
        <v>0.63819999999999988</v>
      </c>
      <c r="K19" s="19">
        <f t="shared" si="5"/>
        <v>0.8208000000000002</v>
      </c>
      <c r="L19" s="20"/>
      <c r="M19" s="20"/>
      <c r="N19" s="20"/>
      <c r="O19" s="23">
        <f t="shared" si="6"/>
        <v>0</v>
      </c>
      <c r="P19" s="55"/>
      <c r="Q19" s="24" t="e">
        <f t="shared" si="7"/>
        <v>#DIV/0!</v>
      </c>
      <c r="R19" s="25">
        <f t="shared" si="0"/>
        <v>0</v>
      </c>
      <c r="S19" s="55"/>
      <c r="T19" s="24" t="e">
        <f t="shared" si="1"/>
        <v>#DIV/0!</v>
      </c>
      <c r="U19" s="2">
        <v>5.2624000000000004</v>
      </c>
      <c r="V19" s="2"/>
      <c r="W19" s="21">
        <f>AVERAGE(R19:R20)/100</f>
        <v>0</v>
      </c>
      <c r="Y19" t="e">
        <f>AVERAGE(T19:T20)/100</f>
        <v>#DIV/0!</v>
      </c>
      <c r="Z19" s="39">
        <f t="shared" ref="Z19" si="14">AVERAGE(U19:V20)/100</f>
        <v>5.3717000000000008E-2</v>
      </c>
      <c r="AA19" s="2" t="e">
        <f t="shared" si="8"/>
        <v>#DIV/0!</v>
      </c>
    </row>
    <row r="20" spans="1:27" x14ac:dyDescent="0.45">
      <c r="A20" s="59"/>
      <c r="B20" s="22" t="s">
        <v>21</v>
      </c>
      <c r="C20" s="22">
        <v>16</v>
      </c>
      <c r="D20" s="22">
        <v>2.7557</v>
      </c>
      <c r="E20" s="22">
        <v>100</v>
      </c>
      <c r="F20" s="22">
        <v>2.9540000000000002</v>
      </c>
      <c r="G20" s="9">
        <f t="shared" si="2"/>
        <v>900</v>
      </c>
      <c r="H20" s="22">
        <v>3.5726</v>
      </c>
      <c r="I20" s="19">
        <f t="shared" si="3"/>
        <v>0.19830000000000014</v>
      </c>
      <c r="J20" s="19">
        <f t="shared" si="4"/>
        <v>0.61859999999999982</v>
      </c>
      <c r="K20" s="19">
        <f t="shared" si="5"/>
        <v>0.81689999999999996</v>
      </c>
      <c r="L20" s="20"/>
      <c r="M20" s="20"/>
      <c r="N20" s="20"/>
      <c r="O20" s="23">
        <f t="shared" si="6"/>
        <v>0</v>
      </c>
      <c r="P20" s="55"/>
      <c r="Q20" s="24" t="e">
        <f t="shared" si="7"/>
        <v>#DIV/0!</v>
      </c>
      <c r="R20" s="25">
        <f t="shared" si="0"/>
        <v>0</v>
      </c>
      <c r="S20" s="55"/>
      <c r="T20" s="24" t="e">
        <f t="shared" si="1"/>
        <v>#DIV/0!</v>
      </c>
      <c r="U20" s="2">
        <v>5.4809999999999999</v>
      </c>
      <c r="V20" s="2"/>
      <c r="W20" s="21"/>
      <c r="Z20" s="39"/>
      <c r="AA20" s="2"/>
    </row>
    <row r="21" spans="1:27" x14ac:dyDescent="0.45">
      <c r="A21" s="59" t="s">
        <v>41</v>
      </c>
      <c r="B21" s="10" t="s">
        <v>20</v>
      </c>
      <c r="C21" s="11">
        <v>17</v>
      </c>
      <c r="D21" s="10">
        <v>2.7848999999999999</v>
      </c>
      <c r="E21" s="10">
        <v>300</v>
      </c>
      <c r="F21" s="11">
        <v>2.9664999999999999</v>
      </c>
      <c r="G21" s="10">
        <f t="shared" si="2"/>
        <v>700</v>
      </c>
      <c r="H21" s="11">
        <v>3.6076000000000001</v>
      </c>
      <c r="I21" s="13">
        <f t="shared" si="3"/>
        <v>0.18159999999999998</v>
      </c>
      <c r="J21" s="13">
        <f t="shared" si="4"/>
        <v>0.64110000000000023</v>
      </c>
      <c r="K21" s="13">
        <f t="shared" si="5"/>
        <v>0.82270000000000021</v>
      </c>
      <c r="L21" s="14"/>
      <c r="M21" s="14"/>
      <c r="N21" s="14"/>
      <c r="O21" s="15">
        <f t="shared" si="6"/>
        <v>0</v>
      </c>
      <c r="P21" s="54"/>
      <c r="Q21" s="16" t="e">
        <f t="shared" si="7"/>
        <v>#DIV/0!</v>
      </c>
      <c r="R21" s="17">
        <f t="shared" si="0"/>
        <v>0</v>
      </c>
      <c r="S21" s="54"/>
      <c r="T21" s="16" t="e">
        <f t="shared" ref="T21:T24" si="15">Q21*$K21/$I21</f>
        <v>#DIV/0!</v>
      </c>
      <c r="U21" s="35">
        <v>2.7174</v>
      </c>
      <c r="V21" s="35"/>
      <c r="W21" s="18">
        <f>AVERAGE(R21:R22)/100</f>
        <v>0</v>
      </c>
      <c r="X21" s="28"/>
      <c r="Y21" s="28" t="e">
        <f>AVERAGE(T21:T22)/100</f>
        <v>#DIV/0!</v>
      </c>
      <c r="Z21" s="37">
        <f t="shared" ref="Z21" si="16">AVERAGE(U21:V22)/100</f>
        <v>2.71005E-2</v>
      </c>
      <c r="AA21" s="2" t="e">
        <f t="shared" si="8"/>
        <v>#DIV/0!</v>
      </c>
    </row>
    <row r="22" spans="1:27" x14ac:dyDescent="0.45">
      <c r="A22" s="59"/>
      <c r="B22" s="11" t="s">
        <v>20</v>
      </c>
      <c r="C22" s="11">
        <v>18</v>
      </c>
      <c r="D22" s="11">
        <v>2.7618999999999998</v>
      </c>
      <c r="E22" s="11">
        <v>300</v>
      </c>
      <c r="F22" s="11">
        <v>2.9567999999999999</v>
      </c>
      <c r="G22" s="10">
        <f t="shared" si="2"/>
        <v>700</v>
      </c>
      <c r="H22" s="11">
        <v>3.5838000000000001</v>
      </c>
      <c r="I22" s="13">
        <f t="shared" si="3"/>
        <v>0.19490000000000007</v>
      </c>
      <c r="J22" s="13">
        <f t="shared" si="4"/>
        <v>0.62700000000000022</v>
      </c>
      <c r="K22" s="13">
        <f t="shared" si="5"/>
        <v>0.8219000000000003</v>
      </c>
      <c r="L22" s="14"/>
      <c r="M22" s="14"/>
      <c r="N22" s="14"/>
      <c r="O22" s="15">
        <f t="shared" si="6"/>
        <v>0</v>
      </c>
      <c r="P22" s="54"/>
      <c r="Q22" s="16" t="e">
        <f t="shared" si="7"/>
        <v>#DIV/0!</v>
      </c>
      <c r="R22" s="17">
        <f t="shared" si="0"/>
        <v>0</v>
      </c>
      <c r="S22" s="54"/>
      <c r="T22" s="16" t="e">
        <f t="shared" si="15"/>
        <v>#DIV/0!</v>
      </c>
      <c r="U22" s="35">
        <v>2.7027000000000001</v>
      </c>
      <c r="V22" s="35"/>
      <c r="W22" s="21"/>
      <c r="Z22" s="39"/>
      <c r="AA22" s="2"/>
    </row>
    <row r="23" spans="1:27" x14ac:dyDescent="0.45">
      <c r="A23" s="59"/>
      <c r="B23" s="22" t="s">
        <v>21</v>
      </c>
      <c r="C23" s="22">
        <v>19</v>
      </c>
      <c r="D23" s="22">
        <v>2.7414000000000001</v>
      </c>
      <c r="E23" s="22">
        <v>100</v>
      </c>
      <c r="F23" s="22">
        <v>2.9428000000000001</v>
      </c>
      <c r="G23" s="9">
        <f t="shared" si="2"/>
        <v>900</v>
      </c>
      <c r="H23" s="22">
        <v>3.5649000000000002</v>
      </c>
      <c r="I23" s="19">
        <f t="shared" si="3"/>
        <v>0.20140000000000002</v>
      </c>
      <c r="J23" s="19">
        <f t="shared" si="4"/>
        <v>0.6221000000000001</v>
      </c>
      <c r="K23" s="19">
        <f t="shared" si="5"/>
        <v>0.82350000000000012</v>
      </c>
      <c r="L23" s="20"/>
      <c r="M23" s="20"/>
      <c r="N23" s="20"/>
      <c r="O23" s="23">
        <f t="shared" si="6"/>
        <v>0</v>
      </c>
      <c r="P23" s="55"/>
      <c r="Q23" s="24" t="e">
        <f t="shared" si="7"/>
        <v>#DIV/0!</v>
      </c>
      <c r="R23" s="25">
        <f t="shared" si="0"/>
        <v>0</v>
      </c>
      <c r="S23" s="55"/>
      <c r="T23" s="24" t="e">
        <f t="shared" si="15"/>
        <v>#DIV/0!</v>
      </c>
      <c r="U23" s="2">
        <v>98.712000000000003</v>
      </c>
      <c r="V23" s="2"/>
      <c r="W23" s="21">
        <f>AVERAGE(R23:R24)/100</f>
        <v>0</v>
      </c>
      <c r="Y23" t="e">
        <f>AVERAGE(T23:T24)/100</f>
        <v>#DIV/0!</v>
      </c>
      <c r="Z23" s="39">
        <f t="shared" ref="Z23" si="17">AVERAGE(U23:V24)/100</f>
        <v>0.98292400000000002</v>
      </c>
      <c r="AA23" s="2" t="e">
        <f t="shared" si="8"/>
        <v>#DIV/0!</v>
      </c>
    </row>
    <row r="24" spans="1:27" ht="14.65" thickBot="1" x14ac:dyDescent="0.5">
      <c r="A24" s="59"/>
      <c r="B24" s="22" t="s">
        <v>21</v>
      </c>
      <c r="C24" s="22">
        <v>20</v>
      </c>
      <c r="D24" s="22">
        <v>2.7528999999999999</v>
      </c>
      <c r="E24" s="22">
        <v>100</v>
      </c>
      <c r="F24" s="22">
        <v>2.9573</v>
      </c>
      <c r="G24" s="9">
        <f t="shared" si="2"/>
        <v>900</v>
      </c>
      <c r="H24" s="22">
        <v>3.5640999999999998</v>
      </c>
      <c r="I24" s="19">
        <f t="shared" si="3"/>
        <v>0.20440000000000014</v>
      </c>
      <c r="J24" s="19">
        <f t="shared" si="4"/>
        <v>0.60679999999999978</v>
      </c>
      <c r="K24" s="19">
        <f t="shared" si="5"/>
        <v>0.81119999999999992</v>
      </c>
      <c r="L24" s="20"/>
      <c r="M24" s="20"/>
      <c r="N24" s="20"/>
      <c r="O24" s="34">
        <f t="shared" si="6"/>
        <v>0</v>
      </c>
      <c r="P24" s="56"/>
      <c r="Q24" s="33" t="e">
        <f t="shared" si="7"/>
        <v>#DIV/0!</v>
      </c>
      <c r="R24" s="25">
        <f t="shared" si="0"/>
        <v>0</v>
      </c>
      <c r="S24" s="55"/>
      <c r="T24" s="24" t="e">
        <f t="shared" si="15"/>
        <v>#DIV/0!</v>
      </c>
      <c r="U24" s="40">
        <v>97.872799999999998</v>
      </c>
      <c r="V24" s="40"/>
      <c r="W24" s="29"/>
      <c r="X24" s="30"/>
      <c r="Y24" s="30"/>
      <c r="Z24" s="42"/>
      <c r="AA24" s="2"/>
    </row>
  </sheetData>
  <mergeCells count="8">
    <mergeCell ref="A17:A20"/>
    <mergeCell ref="A21:A24"/>
    <mergeCell ref="O3:Q3"/>
    <mergeCell ref="R3:T3"/>
    <mergeCell ref="U3:V3"/>
    <mergeCell ref="A5:A8"/>
    <mergeCell ref="A9:A12"/>
    <mergeCell ref="A13:A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C55D-3063-4DB3-8606-84D01329E87C}">
  <sheetPr>
    <tabColor theme="7"/>
  </sheetPr>
  <dimension ref="A1:AA24"/>
  <sheetViews>
    <sheetView topLeftCell="C1" workbookViewId="0">
      <selection activeCell="M4" sqref="M4"/>
    </sheetView>
  </sheetViews>
  <sheetFormatPr defaultRowHeight="14.25" x14ac:dyDescent="0.45"/>
  <cols>
    <col min="4" max="4" width="8.33203125" customWidth="1"/>
    <col min="5" max="5" width="10.53125" customWidth="1"/>
    <col min="6" max="6" width="13.59765625" customWidth="1"/>
    <col min="7" max="7" width="10.6640625" style="2" customWidth="1"/>
    <col min="8" max="8" width="12.73046875" bestFit="1" customWidth="1"/>
    <col min="12" max="12" width="10.46484375" bestFit="1" customWidth="1"/>
    <col min="13" max="13" width="10.46484375" customWidth="1"/>
    <col min="14" max="14" width="12.59765625" bestFit="1" customWidth="1"/>
    <col min="15" max="15" width="11.1328125" bestFit="1" customWidth="1"/>
    <col min="16" max="16" width="11.1328125" customWidth="1"/>
    <col min="17" max="17" width="13.6640625" bestFit="1" customWidth="1"/>
    <col min="18" max="18" width="11.1328125" bestFit="1" customWidth="1"/>
    <col min="19" max="19" width="11.1328125" customWidth="1"/>
    <col min="20" max="20" width="13.6640625" bestFit="1" customWidth="1"/>
    <col min="21" max="22" width="9.53125" customWidth="1"/>
  </cols>
  <sheetData>
    <row r="1" spans="1:27" ht="28.9" thickBot="1" x14ac:dyDescent="0.9">
      <c r="F1" s="47" t="s">
        <v>44</v>
      </c>
      <c r="G1" s="47" t="s">
        <v>52</v>
      </c>
    </row>
    <row r="2" spans="1:27" ht="14.65" thickBot="1" x14ac:dyDescent="0.5">
      <c r="E2" t="s">
        <v>5</v>
      </c>
      <c r="F2">
        <v>363.57560000000001</v>
      </c>
      <c r="G2"/>
      <c r="H2" s="1"/>
    </row>
    <row r="3" spans="1:27" ht="14.65" thickBot="1" x14ac:dyDescent="0.5">
      <c r="M3" t="s">
        <v>68</v>
      </c>
      <c r="N3" t="s">
        <v>66</v>
      </c>
      <c r="O3" s="60" t="s">
        <v>6</v>
      </c>
      <c r="P3" s="61"/>
      <c r="Q3" s="62"/>
      <c r="R3" s="61" t="s">
        <v>7</v>
      </c>
      <c r="S3" s="61"/>
      <c r="T3" s="62"/>
      <c r="U3" s="63" t="s">
        <v>46</v>
      </c>
      <c r="V3" s="64"/>
    </row>
    <row r="4" spans="1:27" ht="14.65" thickBot="1" x14ac:dyDescent="0.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42</v>
      </c>
      <c r="H4" s="3" t="s">
        <v>14</v>
      </c>
      <c r="I4" s="4" t="s">
        <v>15</v>
      </c>
      <c r="J4" s="4" t="s">
        <v>43</v>
      </c>
      <c r="K4" s="4" t="s">
        <v>16</v>
      </c>
      <c r="L4" s="4" t="s">
        <v>17</v>
      </c>
      <c r="M4" s="48" t="s">
        <v>63</v>
      </c>
      <c r="N4" s="5" t="s">
        <v>55</v>
      </c>
      <c r="O4" s="31" t="s">
        <v>45</v>
      </c>
      <c r="P4" s="49" t="s">
        <v>56</v>
      </c>
      <c r="Q4" s="32" t="s">
        <v>57</v>
      </c>
      <c r="R4" s="31" t="s">
        <v>45</v>
      </c>
      <c r="S4" s="49" t="s">
        <v>56</v>
      </c>
      <c r="T4" s="32" t="s">
        <v>57</v>
      </c>
      <c r="U4" s="7">
        <v>1</v>
      </c>
      <c r="V4" s="7">
        <v>2</v>
      </c>
      <c r="W4" s="6" t="s">
        <v>18</v>
      </c>
      <c r="X4" s="7" t="s">
        <v>58</v>
      </c>
      <c r="Y4" s="7" t="s">
        <v>59</v>
      </c>
      <c r="Z4" s="8" t="s">
        <v>19</v>
      </c>
    </row>
    <row r="5" spans="1:27" x14ac:dyDescent="0.45">
      <c r="A5" s="59" t="s">
        <v>37</v>
      </c>
      <c r="B5" s="10" t="s">
        <v>20</v>
      </c>
      <c r="C5" s="11">
        <v>1</v>
      </c>
      <c r="D5" s="12">
        <v>2.7982999999999998</v>
      </c>
      <c r="E5" s="10">
        <v>300</v>
      </c>
      <c r="F5" s="11">
        <v>2.9941</v>
      </c>
      <c r="G5" s="10">
        <f>1000-E5</f>
        <v>700</v>
      </c>
      <c r="H5" s="11">
        <v>3.6143000000000001</v>
      </c>
      <c r="I5" s="13">
        <f>F5-D5</f>
        <v>0.1958000000000002</v>
      </c>
      <c r="J5" s="13">
        <f>H5-F5</f>
        <v>0.62020000000000008</v>
      </c>
      <c r="K5" s="13">
        <f>J5+I5</f>
        <v>0.81600000000000028</v>
      </c>
      <c r="L5" s="14"/>
      <c r="M5" s="14"/>
      <c r="N5" s="14"/>
      <c r="O5" s="15">
        <f>L5/$F$2</f>
        <v>0</v>
      </c>
      <c r="P5" s="54"/>
      <c r="Q5" s="16" t="e">
        <f>N5/$G$2</f>
        <v>#DIV/0!</v>
      </c>
      <c r="R5" s="17">
        <f t="shared" ref="R5:R24" si="0">O5*$K5/$I5</f>
        <v>0</v>
      </c>
      <c r="S5" s="54"/>
      <c r="T5" s="16" t="e">
        <f t="shared" ref="T5:T20" si="1">Q5*$K5/$I5</f>
        <v>#DIV/0!</v>
      </c>
      <c r="U5" s="35">
        <v>97.864699999999999</v>
      </c>
      <c r="V5" s="35"/>
      <c r="W5" s="43">
        <f>AVERAGE(R5:R6)/100</f>
        <v>0</v>
      </c>
      <c r="X5" s="44"/>
      <c r="Y5" s="44" t="e">
        <f>AVERAGE(T5:T6)/100</f>
        <v>#DIV/0!</v>
      </c>
      <c r="Z5" s="45">
        <f>AVERAGE(U5:V6)/100</f>
        <v>0.97187350000000006</v>
      </c>
      <c r="AA5" s="2" t="e">
        <f>SUM(W5:Z5)</f>
        <v>#DIV/0!</v>
      </c>
    </row>
    <row r="6" spans="1:27" x14ac:dyDescent="0.45">
      <c r="A6" s="59"/>
      <c r="B6" s="11" t="s">
        <v>20</v>
      </c>
      <c r="C6" s="11">
        <v>2</v>
      </c>
      <c r="D6" s="11">
        <v>2.8260999999999998</v>
      </c>
      <c r="E6" s="11">
        <v>300</v>
      </c>
      <c r="F6" s="11">
        <v>3.0312000000000001</v>
      </c>
      <c r="G6" s="10">
        <f t="shared" ref="G6:G24" si="2">1000-E6</f>
        <v>700</v>
      </c>
      <c r="H6" s="11">
        <v>3.6261000000000001</v>
      </c>
      <c r="I6" s="13">
        <f t="shared" ref="I6:I24" si="3">F6-D6</f>
        <v>0.20510000000000028</v>
      </c>
      <c r="J6" s="13">
        <f t="shared" ref="J6:J24" si="4">H6-F6</f>
        <v>0.59489999999999998</v>
      </c>
      <c r="K6" s="13">
        <f t="shared" ref="K6:K24" si="5">J6+I6</f>
        <v>0.80000000000000027</v>
      </c>
      <c r="L6" s="14"/>
      <c r="M6" s="14"/>
      <c r="N6" s="14"/>
      <c r="O6" s="15">
        <f t="shared" ref="O6:O24" si="6">L6/$F$2</f>
        <v>0</v>
      </c>
      <c r="P6" s="54"/>
      <c r="Q6" s="16" t="e">
        <f t="shared" ref="Q6:Q24" si="7">N6/$G$2</f>
        <v>#DIV/0!</v>
      </c>
      <c r="R6" s="17">
        <f t="shared" si="0"/>
        <v>0</v>
      </c>
      <c r="S6" s="54"/>
      <c r="T6" s="16" t="e">
        <f t="shared" si="1"/>
        <v>#DIV/0!</v>
      </c>
      <c r="U6" s="35">
        <v>96.51</v>
      </c>
      <c r="V6" s="35"/>
      <c r="W6" s="21"/>
      <c r="Z6" s="39"/>
      <c r="AA6" s="2"/>
    </row>
    <row r="7" spans="1:27" x14ac:dyDescent="0.45">
      <c r="A7" s="59"/>
      <c r="B7" s="22" t="s">
        <v>21</v>
      </c>
      <c r="C7" s="22">
        <v>3</v>
      </c>
      <c r="D7" s="22">
        <v>2.8035000000000001</v>
      </c>
      <c r="E7" s="22">
        <v>100</v>
      </c>
      <c r="F7" s="22">
        <v>2.9952000000000001</v>
      </c>
      <c r="G7" s="9">
        <f t="shared" si="2"/>
        <v>900</v>
      </c>
      <c r="H7" s="22">
        <v>3.5672999999999999</v>
      </c>
      <c r="I7" s="19">
        <f t="shared" si="3"/>
        <v>0.19169999999999998</v>
      </c>
      <c r="J7" s="19">
        <f t="shared" si="4"/>
        <v>0.57209999999999983</v>
      </c>
      <c r="K7" s="19">
        <f t="shared" si="5"/>
        <v>0.76379999999999981</v>
      </c>
      <c r="N7" s="20"/>
      <c r="O7" s="23">
        <f t="shared" si="6"/>
        <v>0</v>
      </c>
      <c r="P7" s="55"/>
      <c r="Q7" s="24" t="e">
        <f t="shared" si="7"/>
        <v>#DIV/0!</v>
      </c>
      <c r="R7" s="25">
        <f t="shared" si="0"/>
        <v>0</v>
      </c>
      <c r="S7" s="55"/>
      <c r="T7" s="24" t="e">
        <f t="shared" si="1"/>
        <v>#DIV/0!</v>
      </c>
      <c r="U7" s="2">
        <v>7.5049999999999999</v>
      </c>
      <c r="V7" s="2"/>
      <c r="W7" s="21">
        <f>AVERAGE(R7:R8)/100</f>
        <v>0</v>
      </c>
      <c r="Y7" t="e">
        <f>AVERAGE(T7:T8)/100</f>
        <v>#DIV/0!</v>
      </c>
      <c r="Z7" s="39">
        <f>AVERAGE(U7:V8)/100</f>
        <v>7.59605E-2</v>
      </c>
      <c r="AA7" s="2" t="e">
        <f t="shared" ref="AA7:AA23" si="8">SUM(W7:Z7)</f>
        <v>#DIV/0!</v>
      </c>
    </row>
    <row r="8" spans="1:27" x14ac:dyDescent="0.45">
      <c r="A8" s="59"/>
      <c r="B8" s="22" t="s">
        <v>21</v>
      </c>
      <c r="C8" s="22">
        <v>4</v>
      </c>
      <c r="D8" s="22">
        <v>2.8292999999999999</v>
      </c>
      <c r="E8" s="22">
        <v>100</v>
      </c>
      <c r="F8" s="22">
        <v>3.0447000000000002</v>
      </c>
      <c r="G8" s="9">
        <f t="shared" si="2"/>
        <v>900</v>
      </c>
      <c r="H8" s="22">
        <v>3.6537000000000002</v>
      </c>
      <c r="I8" s="19">
        <f t="shared" si="3"/>
        <v>0.21540000000000026</v>
      </c>
      <c r="J8" s="19">
        <f t="shared" si="4"/>
        <v>0.60899999999999999</v>
      </c>
      <c r="K8" s="19">
        <f t="shared" si="5"/>
        <v>0.82440000000000024</v>
      </c>
      <c r="L8" s="20"/>
      <c r="M8" s="20"/>
      <c r="N8" s="20"/>
      <c r="O8" s="23">
        <f t="shared" si="6"/>
        <v>0</v>
      </c>
      <c r="P8" s="55"/>
      <c r="Q8" s="24" t="e">
        <f t="shared" si="7"/>
        <v>#DIV/0!</v>
      </c>
      <c r="R8" s="25">
        <f t="shared" si="0"/>
        <v>0</v>
      </c>
      <c r="S8" s="55"/>
      <c r="T8" s="24" t="e">
        <f t="shared" si="1"/>
        <v>#DIV/0!</v>
      </c>
      <c r="U8" s="2">
        <v>7.6871</v>
      </c>
      <c r="V8" s="2"/>
      <c r="W8" s="21"/>
      <c r="Z8" s="39"/>
      <c r="AA8" s="2"/>
    </row>
    <row r="9" spans="1:27" x14ac:dyDescent="0.45">
      <c r="A9" s="59" t="s">
        <v>38</v>
      </c>
      <c r="B9" s="10" t="s">
        <v>20</v>
      </c>
      <c r="C9" s="11">
        <v>5</v>
      </c>
      <c r="D9" s="10">
        <v>2.863</v>
      </c>
      <c r="E9" s="10">
        <v>300</v>
      </c>
      <c r="F9" s="11">
        <v>3.0669</v>
      </c>
      <c r="G9" s="10">
        <f t="shared" si="2"/>
        <v>700</v>
      </c>
      <c r="H9" s="11">
        <v>3.6894999999999998</v>
      </c>
      <c r="I9" s="13">
        <f t="shared" si="3"/>
        <v>0.20389999999999997</v>
      </c>
      <c r="J9" s="13">
        <f t="shared" si="4"/>
        <v>0.62259999999999982</v>
      </c>
      <c r="K9" s="13">
        <f t="shared" si="5"/>
        <v>0.82649999999999979</v>
      </c>
      <c r="L9" s="14"/>
      <c r="M9" s="14"/>
      <c r="N9" s="14"/>
      <c r="O9" s="15">
        <f t="shared" si="6"/>
        <v>0</v>
      </c>
      <c r="P9" s="54"/>
      <c r="Q9" s="16" t="e">
        <f t="shared" si="7"/>
        <v>#DIV/0!</v>
      </c>
      <c r="R9" s="17">
        <f t="shared" si="0"/>
        <v>0</v>
      </c>
      <c r="S9" s="54"/>
      <c r="T9" s="16" t="e">
        <f t="shared" si="1"/>
        <v>#DIV/0!</v>
      </c>
      <c r="U9" s="35">
        <v>93.698700000000002</v>
      </c>
      <c r="V9" s="35">
        <v>98.875100000000003</v>
      </c>
      <c r="W9" s="18">
        <f>AVERAGE(R9:R10)/100</f>
        <v>0</v>
      </c>
      <c r="X9" s="28"/>
      <c r="Y9" s="28" t="e">
        <f>AVERAGE(T9:T10)/100</f>
        <v>#DIV/0!</v>
      </c>
      <c r="Z9" s="37">
        <f t="shared" ref="Z9" si="9">AVERAGE(U9:V10)/100</f>
        <v>0.95750550000000001</v>
      </c>
      <c r="AA9" s="2" t="e">
        <f t="shared" si="8"/>
        <v>#DIV/0!</v>
      </c>
    </row>
    <row r="10" spans="1:27" x14ac:dyDescent="0.45">
      <c r="A10" s="59"/>
      <c r="B10" s="11" t="s">
        <v>20</v>
      </c>
      <c r="C10" s="11">
        <v>6</v>
      </c>
      <c r="D10" s="11">
        <v>2.8033000000000001</v>
      </c>
      <c r="E10" s="11">
        <v>300</v>
      </c>
      <c r="F10" s="11">
        <v>3.0089000000000001</v>
      </c>
      <c r="G10" s="10">
        <f t="shared" si="2"/>
        <v>700</v>
      </c>
      <c r="H10" s="11">
        <v>3.6371000000000002</v>
      </c>
      <c r="I10" s="13">
        <f t="shared" si="3"/>
        <v>0.2056</v>
      </c>
      <c r="J10" s="13">
        <f t="shared" si="4"/>
        <v>0.62820000000000009</v>
      </c>
      <c r="K10" s="13">
        <f t="shared" si="5"/>
        <v>0.8338000000000001</v>
      </c>
      <c r="L10" s="14"/>
      <c r="M10" s="14"/>
      <c r="N10" s="14"/>
      <c r="O10" s="15">
        <f t="shared" si="6"/>
        <v>0</v>
      </c>
      <c r="P10" s="54"/>
      <c r="Q10" s="16" t="e">
        <f t="shared" si="7"/>
        <v>#DIV/0!</v>
      </c>
      <c r="R10" s="17">
        <f t="shared" si="0"/>
        <v>0</v>
      </c>
      <c r="S10" s="54"/>
      <c r="T10" s="16" t="e">
        <f t="shared" si="1"/>
        <v>#DIV/0!</v>
      </c>
      <c r="U10" s="35">
        <v>95.028700000000001</v>
      </c>
      <c r="V10" s="35">
        <v>95.399699999999996</v>
      </c>
      <c r="W10" s="21"/>
      <c r="Z10" s="39"/>
      <c r="AA10" s="2"/>
    </row>
    <row r="11" spans="1:27" x14ac:dyDescent="0.45">
      <c r="A11" s="59"/>
      <c r="B11" s="22" t="s">
        <v>21</v>
      </c>
      <c r="C11" s="22">
        <v>7</v>
      </c>
      <c r="D11" s="22">
        <v>2.7772000000000001</v>
      </c>
      <c r="E11" s="22">
        <v>100</v>
      </c>
      <c r="F11" s="22">
        <v>2.98</v>
      </c>
      <c r="G11" s="9">
        <f t="shared" si="2"/>
        <v>900</v>
      </c>
      <c r="H11" s="22">
        <v>3.6017999999999999</v>
      </c>
      <c r="I11" s="19">
        <f t="shared" si="3"/>
        <v>0.20279999999999987</v>
      </c>
      <c r="J11" s="19">
        <f t="shared" si="4"/>
        <v>0.62179999999999991</v>
      </c>
      <c r="K11" s="19">
        <f t="shared" si="5"/>
        <v>0.82459999999999978</v>
      </c>
      <c r="L11" s="26"/>
      <c r="M11" s="26"/>
      <c r="N11" s="20"/>
      <c r="O11" s="23">
        <f t="shared" si="6"/>
        <v>0</v>
      </c>
      <c r="P11" s="55"/>
      <c r="Q11" s="24" t="e">
        <f t="shared" si="7"/>
        <v>#DIV/0!</v>
      </c>
      <c r="R11" s="25">
        <f t="shared" si="0"/>
        <v>0</v>
      </c>
      <c r="S11" s="55"/>
      <c r="T11" s="24" t="e">
        <f t="shared" si="1"/>
        <v>#DIV/0!</v>
      </c>
      <c r="U11" s="2">
        <v>1.9451000000000001</v>
      </c>
      <c r="V11" s="2"/>
      <c r="W11" s="21">
        <f>AVERAGE(R11:R12)/100</f>
        <v>0</v>
      </c>
      <c r="Y11" t="e">
        <f>AVERAGE(T11:T12)/100</f>
        <v>#DIV/0!</v>
      </c>
      <c r="Z11" s="39">
        <f t="shared" ref="Z11" si="10">AVERAGE(U11:V12)/100</f>
        <v>1.9265500000000001E-2</v>
      </c>
      <c r="AA11" s="2" t="e">
        <f t="shared" si="8"/>
        <v>#DIV/0!</v>
      </c>
    </row>
    <row r="12" spans="1:27" x14ac:dyDescent="0.45">
      <c r="A12" s="59"/>
      <c r="B12" s="22" t="s">
        <v>21</v>
      </c>
      <c r="C12" s="22">
        <v>8</v>
      </c>
      <c r="D12" s="22">
        <v>2.8317999999999999</v>
      </c>
      <c r="E12" s="22">
        <v>100</v>
      </c>
      <c r="F12" s="22">
        <v>3.0383</v>
      </c>
      <c r="G12" s="9">
        <f t="shared" si="2"/>
        <v>900</v>
      </c>
      <c r="H12" s="22">
        <v>3.6495000000000002</v>
      </c>
      <c r="I12" s="19">
        <f t="shared" si="3"/>
        <v>0.20650000000000013</v>
      </c>
      <c r="J12" s="19">
        <f t="shared" si="4"/>
        <v>0.61120000000000019</v>
      </c>
      <c r="K12" s="19">
        <f t="shared" si="5"/>
        <v>0.81770000000000032</v>
      </c>
      <c r="L12" s="20"/>
      <c r="M12" s="20"/>
      <c r="N12" s="20"/>
      <c r="O12" s="23">
        <f t="shared" si="6"/>
        <v>0</v>
      </c>
      <c r="P12" s="55"/>
      <c r="Q12" s="24" t="e">
        <f t="shared" si="7"/>
        <v>#DIV/0!</v>
      </c>
      <c r="R12" s="25">
        <f t="shared" si="0"/>
        <v>0</v>
      </c>
      <c r="S12" s="55"/>
      <c r="T12" s="24" t="e">
        <f t="shared" si="1"/>
        <v>#DIV/0!</v>
      </c>
      <c r="U12" s="2">
        <v>1.9079999999999999</v>
      </c>
      <c r="V12" s="2"/>
      <c r="W12" s="21"/>
      <c r="Z12" s="39"/>
      <c r="AA12" s="2"/>
    </row>
    <row r="13" spans="1:27" x14ac:dyDescent="0.45">
      <c r="A13" s="59" t="s">
        <v>39</v>
      </c>
      <c r="B13" s="10" t="s">
        <v>20</v>
      </c>
      <c r="C13" s="11">
        <v>9</v>
      </c>
      <c r="D13" s="10">
        <v>2.7839</v>
      </c>
      <c r="E13" s="10">
        <v>300</v>
      </c>
      <c r="F13" s="11">
        <v>2.9841000000000002</v>
      </c>
      <c r="G13" s="10">
        <f t="shared" si="2"/>
        <v>700</v>
      </c>
      <c r="H13" s="11">
        <v>3.5939999999999999</v>
      </c>
      <c r="I13" s="13">
        <f t="shared" si="3"/>
        <v>0.20020000000000016</v>
      </c>
      <c r="J13" s="13">
        <f t="shared" si="4"/>
        <v>0.60989999999999966</v>
      </c>
      <c r="K13" s="13">
        <f t="shared" si="5"/>
        <v>0.81009999999999982</v>
      </c>
      <c r="L13" s="14"/>
      <c r="M13" s="14"/>
      <c r="N13" s="14"/>
      <c r="O13" s="15">
        <f t="shared" si="6"/>
        <v>0</v>
      </c>
      <c r="P13" s="54"/>
      <c r="Q13" s="16" t="e">
        <f t="shared" si="7"/>
        <v>#DIV/0!</v>
      </c>
      <c r="R13" s="17">
        <f t="shared" si="0"/>
        <v>0</v>
      </c>
      <c r="S13" s="54"/>
      <c r="T13" s="16" t="e">
        <f t="shared" si="1"/>
        <v>#DIV/0!</v>
      </c>
      <c r="U13" s="35">
        <v>94.948499999999996</v>
      </c>
      <c r="V13" s="35"/>
      <c r="W13" s="18">
        <f>AVERAGE(R13:R14)/100</f>
        <v>0</v>
      </c>
      <c r="X13" s="28"/>
      <c r="Y13" s="28" t="e">
        <f>AVERAGE(T13:T14)/100</f>
        <v>#DIV/0!</v>
      </c>
      <c r="Z13" s="37">
        <f t="shared" ref="Z13" si="11">AVERAGE(U13:V14)/100</f>
        <v>0.968553</v>
      </c>
      <c r="AA13" s="2" t="e">
        <f t="shared" si="8"/>
        <v>#DIV/0!</v>
      </c>
    </row>
    <row r="14" spans="1:27" x14ac:dyDescent="0.45">
      <c r="A14" s="59"/>
      <c r="B14" s="10" t="s">
        <v>20</v>
      </c>
      <c r="C14" s="11">
        <v>10</v>
      </c>
      <c r="D14" s="11">
        <v>2.8205</v>
      </c>
      <c r="E14" s="11">
        <v>300</v>
      </c>
      <c r="F14" s="11">
        <v>3.0266000000000002</v>
      </c>
      <c r="G14" s="10">
        <f t="shared" si="2"/>
        <v>700</v>
      </c>
      <c r="H14" s="11">
        <v>3.6371000000000002</v>
      </c>
      <c r="I14" s="13">
        <f t="shared" si="3"/>
        <v>0.20610000000000017</v>
      </c>
      <c r="J14" s="13">
        <f t="shared" si="4"/>
        <v>0.61050000000000004</v>
      </c>
      <c r="K14" s="13">
        <f t="shared" si="5"/>
        <v>0.81660000000000021</v>
      </c>
      <c r="L14" s="14"/>
      <c r="M14" s="14"/>
      <c r="N14" s="14"/>
      <c r="O14" s="15">
        <f t="shared" si="6"/>
        <v>0</v>
      </c>
      <c r="P14" s="54"/>
      <c r="Q14" s="16" t="e">
        <f t="shared" si="7"/>
        <v>#DIV/0!</v>
      </c>
      <c r="R14" s="17">
        <f t="shared" si="0"/>
        <v>0</v>
      </c>
      <c r="S14" s="54"/>
      <c r="T14" s="16" t="e">
        <f t="shared" si="1"/>
        <v>#DIV/0!</v>
      </c>
      <c r="U14" s="35">
        <v>99.066500000000005</v>
      </c>
      <c r="V14" s="35">
        <v>96.550899999999999</v>
      </c>
      <c r="W14" s="21"/>
      <c r="Z14" s="39"/>
      <c r="AA14" s="2"/>
    </row>
    <row r="15" spans="1:27" x14ac:dyDescent="0.45">
      <c r="A15" s="59"/>
      <c r="B15" s="22" t="s">
        <v>21</v>
      </c>
      <c r="C15" s="22">
        <v>11</v>
      </c>
      <c r="D15" s="22">
        <v>2.8029999999999999</v>
      </c>
      <c r="E15" s="22">
        <v>100</v>
      </c>
      <c r="F15" s="22">
        <v>2.9990000000000001</v>
      </c>
      <c r="G15" s="9">
        <f t="shared" si="2"/>
        <v>900</v>
      </c>
      <c r="H15" s="22">
        <v>3.6274000000000002</v>
      </c>
      <c r="I15" s="19">
        <f t="shared" si="3"/>
        <v>0.19600000000000017</v>
      </c>
      <c r="J15" s="19">
        <f t="shared" si="4"/>
        <v>0.62840000000000007</v>
      </c>
      <c r="K15" s="19">
        <f t="shared" si="5"/>
        <v>0.82440000000000024</v>
      </c>
      <c r="L15" s="20"/>
      <c r="M15" s="20"/>
      <c r="N15" s="27"/>
      <c r="O15" s="23">
        <f t="shared" si="6"/>
        <v>0</v>
      </c>
      <c r="P15" s="55"/>
      <c r="Q15" s="24" t="e">
        <f t="shared" si="7"/>
        <v>#DIV/0!</v>
      </c>
      <c r="R15" s="25">
        <f t="shared" si="0"/>
        <v>0</v>
      </c>
      <c r="S15" s="55"/>
      <c r="T15" s="24" t="e">
        <f t="shared" si="1"/>
        <v>#DIV/0!</v>
      </c>
      <c r="U15" s="2">
        <v>5.1862000000000004</v>
      </c>
      <c r="V15" s="2"/>
      <c r="W15" s="21">
        <f>AVERAGE(R15:R16)/100</f>
        <v>0</v>
      </c>
      <c r="Y15" t="e">
        <f>AVERAGE(T15:T16)/100</f>
        <v>#DIV/0!</v>
      </c>
      <c r="Z15" s="39">
        <f t="shared" ref="Z15" si="12">AVERAGE(U15:V16)/100</f>
        <v>4.7845000000000006E-2</v>
      </c>
      <c r="AA15" s="2" t="e">
        <f t="shared" si="8"/>
        <v>#DIV/0!</v>
      </c>
    </row>
    <row r="16" spans="1:27" x14ac:dyDescent="0.45">
      <c r="A16" s="59"/>
      <c r="B16" s="22" t="s">
        <v>21</v>
      </c>
      <c r="C16" s="22">
        <v>12</v>
      </c>
      <c r="D16" s="22">
        <v>2.8580999999999999</v>
      </c>
      <c r="E16" s="22">
        <v>100</v>
      </c>
      <c r="F16" s="22">
        <v>3.0518999999999998</v>
      </c>
      <c r="G16" s="9">
        <f t="shared" si="2"/>
        <v>900</v>
      </c>
      <c r="H16" s="22">
        <v>3.673</v>
      </c>
      <c r="I16" s="19">
        <f t="shared" si="3"/>
        <v>0.19379999999999997</v>
      </c>
      <c r="J16" s="19">
        <f t="shared" si="4"/>
        <v>0.62110000000000021</v>
      </c>
      <c r="K16" s="19">
        <f t="shared" si="5"/>
        <v>0.81490000000000018</v>
      </c>
      <c r="L16" s="20"/>
      <c r="M16" s="20"/>
      <c r="N16" s="20"/>
      <c r="O16" s="23">
        <f t="shared" si="6"/>
        <v>0</v>
      </c>
      <c r="P16" s="55"/>
      <c r="Q16" s="24" t="e">
        <f t="shared" si="7"/>
        <v>#DIV/0!</v>
      </c>
      <c r="R16" s="25">
        <f t="shared" si="0"/>
        <v>0</v>
      </c>
      <c r="S16" s="55"/>
      <c r="T16" s="24" t="e">
        <f t="shared" si="1"/>
        <v>#DIV/0!</v>
      </c>
      <c r="U16" s="2">
        <v>4.5975000000000001</v>
      </c>
      <c r="V16" s="2">
        <v>4.5697999999999999</v>
      </c>
      <c r="W16" s="21"/>
      <c r="Z16" s="39"/>
      <c r="AA16" s="2"/>
    </row>
    <row r="17" spans="1:27" x14ac:dyDescent="0.45">
      <c r="A17" s="59" t="s">
        <v>40</v>
      </c>
      <c r="B17" s="10" t="s">
        <v>20</v>
      </c>
      <c r="C17" s="11">
        <v>13</v>
      </c>
      <c r="D17" s="10">
        <v>2.7894000000000001</v>
      </c>
      <c r="E17" s="10">
        <v>300</v>
      </c>
      <c r="F17" s="11">
        <v>2.9903</v>
      </c>
      <c r="G17" s="10">
        <f t="shared" si="2"/>
        <v>700</v>
      </c>
      <c r="H17" s="11">
        <v>3.5684999999999998</v>
      </c>
      <c r="I17" s="13">
        <f t="shared" si="3"/>
        <v>0.20089999999999986</v>
      </c>
      <c r="J17" s="13">
        <f t="shared" si="4"/>
        <v>0.57819999999999983</v>
      </c>
      <c r="K17" s="13">
        <f t="shared" si="5"/>
        <v>0.77909999999999968</v>
      </c>
      <c r="L17" s="14"/>
      <c r="M17" s="14"/>
      <c r="N17" s="14"/>
      <c r="O17" s="15">
        <f t="shared" si="6"/>
        <v>0</v>
      </c>
      <c r="P17" s="54"/>
      <c r="Q17" s="16" t="e">
        <f t="shared" si="7"/>
        <v>#DIV/0!</v>
      </c>
      <c r="R17" s="17">
        <f t="shared" si="0"/>
        <v>0</v>
      </c>
      <c r="S17" s="54"/>
      <c r="T17" s="16" t="e">
        <f t="shared" si="1"/>
        <v>#DIV/0!</v>
      </c>
      <c r="U17" s="35">
        <v>97.068399999999997</v>
      </c>
      <c r="V17" s="35"/>
      <c r="W17" s="18">
        <f>AVERAGE(R17:R18)/100</f>
        <v>0</v>
      </c>
      <c r="X17" s="28"/>
      <c r="Y17" s="28" t="e">
        <f>AVERAGE(T17:T18)/100</f>
        <v>#DIV/0!</v>
      </c>
      <c r="Z17" s="37">
        <f t="shared" ref="Z17" si="13">AVERAGE(U17:V18)/100</f>
        <v>0.98885599999999996</v>
      </c>
      <c r="AA17" s="2" t="e">
        <f t="shared" si="8"/>
        <v>#DIV/0!</v>
      </c>
    </row>
    <row r="18" spans="1:27" x14ac:dyDescent="0.45">
      <c r="A18" s="59"/>
      <c r="B18" s="11" t="s">
        <v>20</v>
      </c>
      <c r="C18" s="11">
        <v>14</v>
      </c>
      <c r="D18" s="11">
        <v>2.694</v>
      </c>
      <c r="E18" s="11">
        <v>300</v>
      </c>
      <c r="F18" s="11">
        <v>3.0768</v>
      </c>
      <c r="G18" s="10">
        <f t="shared" si="2"/>
        <v>700</v>
      </c>
      <c r="H18" s="11">
        <v>3.7006999999999999</v>
      </c>
      <c r="I18" s="13">
        <f t="shared" si="3"/>
        <v>0.38280000000000003</v>
      </c>
      <c r="J18" s="13">
        <f t="shared" si="4"/>
        <v>0.6238999999999999</v>
      </c>
      <c r="K18" s="13">
        <f t="shared" si="5"/>
        <v>1.0066999999999999</v>
      </c>
      <c r="L18" s="14"/>
      <c r="M18" s="14"/>
      <c r="N18" s="14"/>
      <c r="O18" s="15">
        <f t="shared" si="6"/>
        <v>0</v>
      </c>
      <c r="P18" s="54"/>
      <c r="Q18" s="16" t="e">
        <f t="shared" si="7"/>
        <v>#DIV/0!</v>
      </c>
      <c r="R18" s="17">
        <f t="shared" si="0"/>
        <v>0</v>
      </c>
      <c r="S18" s="54"/>
      <c r="T18" s="16" t="e">
        <f t="shared" si="1"/>
        <v>#DIV/0!</v>
      </c>
      <c r="U18" s="35">
        <v>100.5119</v>
      </c>
      <c r="V18" s="35">
        <v>99.076499999999996</v>
      </c>
      <c r="W18" s="21"/>
      <c r="Z18" s="39"/>
      <c r="AA18" s="2"/>
    </row>
    <row r="19" spans="1:27" x14ac:dyDescent="0.45">
      <c r="A19" s="59"/>
      <c r="B19" s="22" t="s">
        <v>21</v>
      </c>
      <c r="C19" s="22">
        <v>15</v>
      </c>
      <c r="D19" s="22">
        <v>2.8448000000000002</v>
      </c>
      <c r="E19" s="22">
        <v>100</v>
      </c>
      <c r="F19" s="22">
        <v>3.0760000000000001</v>
      </c>
      <c r="G19" s="9">
        <f t="shared" si="2"/>
        <v>900</v>
      </c>
      <c r="H19" s="22">
        <v>3.6777000000000002</v>
      </c>
      <c r="I19" s="19">
        <f t="shared" si="3"/>
        <v>0.23119999999999985</v>
      </c>
      <c r="J19" s="19">
        <f t="shared" si="4"/>
        <v>0.60170000000000012</v>
      </c>
      <c r="K19" s="19">
        <f t="shared" si="5"/>
        <v>0.83289999999999997</v>
      </c>
      <c r="L19" s="20"/>
      <c r="M19" s="20"/>
      <c r="N19" s="20"/>
      <c r="O19" s="23">
        <f t="shared" si="6"/>
        <v>0</v>
      </c>
      <c r="P19" s="55"/>
      <c r="Q19" s="24" t="e">
        <f t="shared" si="7"/>
        <v>#DIV/0!</v>
      </c>
      <c r="R19" s="25">
        <f t="shared" si="0"/>
        <v>0</v>
      </c>
      <c r="S19" s="55"/>
      <c r="T19" s="24" t="e">
        <f t="shared" si="1"/>
        <v>#DIV/0!</v>
      </c>
      <c r="U19" s="2">
        <v>6.2744999999999997</v>
      </c>
      <c r="V19" s="2"/>
      <c r="W19" s="21">
        <f>AVERAGE(R19:R20)/100</f>
        <v>0</v>
      </c>
      <c r="Y19" t="e">
        <f>AVERAGE(T19:T20)/100</f>
        <v>#DIV/0!</v>
      </c>
      <c r="Z19" s="39">
        <f t="shared" ref="Z19" si="14">AVERAGE(U19:V20)/100</f>
        <v>6.4449000000000006E-2</v>
      </c>
      <c r="AA19" s="2" t="e">
        <f t="shared" si="8"/>
        <v>#DIV/0!</v>
      </c>
    </row>
    <row r="20" spans="1:27" x14ac:dyDescent="0.45">
      <c r="A20" s="59"/>
      <c r="B20" s="22" t="s">
        <v>21</v>
      </c>
      <c r="C20" s="22">
        <v>16</v>
      </c>
      <c r="D20" s="22">
        <v>2.8035999999999999</v>
      </c>
      <c r="E20" s="22">
        <v>100</v>
      </c>
      <c r="F20" s="22">
        <v>3.0196000000000001</v>
      </c>
      <c r="G20" s="9">
        <f t="shared" si="2"/>
        <v>900</v>
      </c>
      <c r="H20" s="22">
        <v>3.6116999999999999</v>
      </c>
      <c r="I20" s="19">
        <f t="shared" si="3"/>
        <v>0.21600000000000019</v>
      </c>
      <c r="J20" s="19">
        <f t="shared" si="4"/>
        <v>0.59209999999999985</v>
      </c>
      <c r="K20" s="19">
        <f t="shared" si="5"/>
        <v>0.80810000000000004</v>
      </c>
      <c r="L20" s="20"/>
      <c r="M20" s="20"/>
      <c r="N20" s="20"/>
      <c r="O20" s="23">
        <f t="shared" si="6"/>
        <v>0</v>
      </c>
      <c r="P20" s="55"/>
      <c r="Q20" s="24" t="e">
        <f t="shared" si="7"/>
        <v>#DIV/0!</v>
      </c>
      <c r="R20" s="25">
        <f t="shared" si="0"/>
        <v>0</v>
      </c>
      <c r="S20" s="55"/>
      <c r="T20" s="24" t="e">
        <f t="shared" si="1"/>
        <v>#DIV/0!</v>
      </c>
      <c r="U20" s="2">
        <v>6.6153000000000004</v>
      </c>
      <c r="V20" s="2"/>
      <c r="W20" s="21"/>
      <c r="Z20" s="39"/>
      <c r="AA20" s="2"/>
    </row>
    <row r="21" spans="1:27" x14ac:dyDescent="0.45">
      <c r="A21" s="59" t="s">
        <v>41</v>
      </c>
      <c r="B21" s="10" t="s">
        <v>20</v>
      </c>
      <c r="C21" s="11">
        <v>17</v>
      </c>
      <c r="D21" s="10">
        <v>2.8601999999999999</v>
      </c>
      <c r="E21" s="10">
        <v>300</v>
      </c>
      <c r="F21" s="11">
        <v>3.0623999999999998</v>
      </c>
      <c r="G21" s="10">
        <f t="shared" si="2"/>
        <v>700</v>
      </c>
      <c r="H21" s="11">
        <v>3.6718999999999999</v>
      </c>
      <c r="I21" s="13">
        <f t="shared" si="3"/>
        <v>0.20219999999999994</v>
      </c>
      <c r="J21" s="13">
        <f t="shared" si="4"/>
        <v>0.60950000000000015</v>
      </c>
      <c r="K21" s="13">
        <f t="shared" si="5"/>
        <v>0.81170000000000009</v>
      </c>
      <c r="L21" s="14"/>
      <c r="M21" s="14"/>
      <c r="N21" s="14"/>
      <c r="O21" s="15">
        <f t="shared" si="6"/>
        <v>0</v>
      </c>
      <c r="P21" s="54"/>
      <c r="Q21" s="16" t="e">
        <f t="shared" si="7"/>
        <v>#DIV/0!</v>
      </c>
      <c r="R21" s="17">
        <f t="shared" si="0"/>
        <v>0</v>
      </c>
      <c r="S21" s="54"/>
      <c r="T21" s="16" t="e">
        <f t="shared" ref="T21:T24" si="15">Q21*$K21/$I21</f>
        <v>#DIV/0!</v>
      </c>
      <c r="U21" s="35">
        <v>99.690899999999999</v>
      </c>
      <c r="V21" s="35"/>
      <c r="W21" s="18">
        <f>AVERAGE(R21:R22)/100</f>
        <v>0</v>
      </c>
      <c r="X21" s="28"/>
      <c r="Y21" s="28" t="e">
        <f>AVERAGE(T21:T22)/100</f>
        <v>#DIV/0!</v>
      </c>
      <c r="Z21" s="37">
        <f t="shared" ref="Z21" si="16">AVERAGE(U21:V22)/100</f>
        <v>0.99648650000000005</v>
      </c>
      <c r="AA21" s="2" t="e">
        <f t="shared" si="8"/>
        <v>#DIV/0!</v>
      </c>
    </row>
    <row r="22" spans="1:27" x14ac:dyDescent="0.45">
      <c r="A22" s="59"/>
      <c r="B22" s="11" t="s">
        <v>20</v>
      </c>
      <c r="C22" s="11">
        <v>18</v>
      </c>
      <c r="D22" s="11">
        <v>2.7961999999999998</v>
      </c>
      <c r="E22" s="11">
        <v>300</v>
      </c>
      <c r="F22" s="11">
        <v>3.0026999999999999</v>
      </c>
      <c r="G22" s="10">
        <f t="shared" si="2"/>
        <v>700</v>
      </c>
      <c r="H22" s="11">
        <v>3.6231</v>
      </c>
      <c r="I22" s="13">
        <f t="shared" si="3"/>
        <v>0.20650000000000013</v>
      </c>
      <c r="J22" s="13">
        <f t="shared" si="4"/>
        <v>0.62040000000000006</v>
      </c>
      <c r="K22" s="13">
        <f t="shared" si="5"/>
        <v>0.82690000000000019</v>
      </c>
      <c r="L22" s="14"/>
      <c r="M22" s="14"/>
      <c r="N22" s="14"/>
      <c r="O22" s="15">
        <f t="shared" si="6"/>
        <v>0</v>
      </c>
      <c r="P22" s="54"/>
      <c r="Q22" s="16" t="e">
        <f t="shared" si="7"/>
        <v>#DIV/0!</v>
      </c>
      <c r="R22" s="17">
        <f t="shared" si="0"/>
        <v>0</v>
      </c>
      <c r="S22" s="54"/>
      <c r="T22" s="16" t="e">
        <f t="shared" si="15"/>
        <v>#DIV/0!</v>
      </c>
      <c r="U22" s="35">
        <v>99.606399999999994</v>
      </c>
      <c r="V22" s="35"/>
      <c r="W22" s="21"/>
      <c r="Z22" s="39"/>
      <c r="AA22" s="2"/>
    </row>
    <row r="23" spans="1:27" x14ac:dyDescent="0.45">
      <c r="A23" s="59"/>
      <c r="B23" s="22" t="s">
        <v>21</v>
      </c>
      <c r="C23" s="22">
        <v>19</v>
      </c>
      <c r="D23" s="22">
        <v>2.8641999999999999</v>
      </c>
      <c r="E23" s="22">
        <v>100</v>
      </c>
      <c r="F23" s="22">
        <v>3.0524</v>
      </c>
      <c r="G23" s="9">
        <f t="shared" si="2"/>
        <v>900</v>
      </c>
      <c r="H23" s="22">
        <v>3.6520000000000001</v>
      </c>
      <c r="I23" s="19">
        <f t="shared" si="3"/>
        <v>0.18820000000000014</v>
      </c>
      <c r="J23" s="19">
        <f t="shared" si="4"/>
        <v>0.59960000000000013</v>
      </c>
      <c r="K23" s="19">
        <f t="shared" si="5"/>
        <v>0.78780000000000028</v>
      </c>
      <c r="L23" s="20"/>
      <c r="M23" s="20"/>
      <c r="N23" s="20"/>
      <c r="O23" s="23">
        <f t="shared" si="6"/>
        <v>0</v>
      </c>
      <c r="P23" s="55"/>
      <c r="Q23" s="24" t="e">
        <f t="shared" si="7"/>
        <v>#DIV/0!</v>
      </c>
      <c r="R23" s="25">
        <f t="shared" si="0"/>
        <v>0</v>
      </c>
      <c r="S23" s="55"/>
      <c r="T23" s="24" t="e">
        <f t="shared" si="15"/>
        <v>#DIV/0!</v>
      </c>
      <c r="U23" s="2">
        <v>4.3433000000000002</v>
      </c>
      <c r="V23" s="2"/>
      <c r="W23" s="21">
        <f>AVERAGE(R23:R24)/100</f>
        <v>0</v>
      </c>
      <c r="Y23" t="e">
        <f>AVERAGE(T23:T24)/100</f>
        <v>#DIV/0!</v>
      </c>
      <c r="Z23" s="39">
        <f t="shared" ref="Z23" si="17">AVERAGE(U23:V24)/100</f>
        <v>4.26285E-2</v>
      </c>
      <c r="AA23" s="2" t="e">
        <f t="shared" si="8"/>
        <v>#DIV/0!</v>
      </c>
    </row>
    <row r="24" spans="1:27" ht="14.65" thickBot="1" x14ac:dyDescent="0.5">
      <c r="A24" s="59"/>
      <c r="B24" s="22" t="s">
        <v>21</v>
      </c>
      <c r="C24" s="22">
        <v>20</v>
      </c>
      <c r="D24" s="22">
        <v>2.7888000000000002</v>
      </c>
      <c r="E24" s="22">
        <v>100</v>
      </c>
      <c r="F24" s="22">
        <v>3.0045999999999999</v>
      </c>
      <c r="G24" s="9">
        <f t="shared" si="2"/>
        <v>900</v>
      </c>
      <c r="H24" s="22">
        <v>3.6248</v>
      </c>
      <c r="I24" s="19">
        <f t="shared" si="3"/>
        <v>0.21579999999999977</v>
      </c>
      <c r="J24" s="19">
        <f t="shared" si="4"/>
        <v>0.62020000000000008</v>
      </c>
      <c r="K24" s="19">
        <f t="shared" si="5"/>
        <v>0.83599999999999985</v>
      </c>
      <c r="L24" s="20"/>
      <c r="M24" s="20"/>
      <c r="N24" s="20"/>
      <c r="O24" s="34">
        <f t="shared" si="6"/>
        <v>0</v>
      </c>
      <c r="P24" s="56"/>
      <c r="Q24" s="33" t="e">
        <f t="shared" si="7"/>
        <v>#DIV/0!</v>
      </c>
      <c r="R24" s="25">
        <f t="shared" si="0"/>
        <v>0</v>
      </c>
      <c r="S24" s="55"/>
      <c r="T24" s="24" t="e">
        <f t="shared" si="15"/>
        <v>#DIV/0!</v>
      </c>
      <c r="U24" s="40">
        <v>4.1824000000000003</v>
      </c>
      <c r="V24" s="40"/>
      <c r="W24" s="29"/>
      <c r="X24" s="30"/>
      <c r="Y24" s="30"/>
      <c r="Z24" s="42"/>
      <c r="AA24" s="2"/>
    </row>
  </sheetData>
  <mergeCells count="8">
    <mergeCell ref="A17:A20"/>
    <mergeCell ref="A21:A24"/>
    <mergeCell ref="O3:Q3"/>
    <mergeCell ref="R3:T3"/>
    <mergeCell ref="U3:V3"/>
    <mergeCell ref="A5:A8"/>
    <mergeCell ref="A9:A12"/>
    <mergeCell ref="A13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Bloque A</vt:lpstr>
      <vt:lpstr>Bloque B</vt:lpstr>
      <vt:lpstr>Bloque C</vt:lpstr>
      <vt:lpstr>Bloque D</vt:lpstr>
      <vt:lpstr>Bloque E</vt:lpstr>
      <vt:lpstr>Bloque F</vt:lpstr>
      <vt:lpstr>Bloque H</vt:lpstr>
      <vt:lpstr>Bloque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Ormazabal</dc:creator>
  <cp:lastModifiedBy>Sebastian Alejandro Ormazabal Latorre</cp:lastModifiedBy>
  <dcterms:created xsi:type="dcterms:W3CDTF">2015-06-05T18:17:20Z</dcterms:created>
  <dcterms:modified xsi:type="dcterms:W3CDTF">2026-06-02T02:52:41Z</dcterms:modified>
</cp:coreProperties>
</file>