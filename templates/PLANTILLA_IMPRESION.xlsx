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mponentes" sheetId="1" state="visible" r:id="rId3"/>
    <sheet name="datos_des" sheetId="2" state="visible" r:id="rId4"/>
    <sheet name="Lab_DES" sheetId="3" state="visible" r:id="rId5"/>
    <sheet name="Sampling" sheetId="4" state="visible" r:id="rId6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<sst xmlns="http://schemas.openxmlformats.org/spreadsheetml/2006/main" count="1004" uniqueCount="508">
  <si>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</si>
  <si>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</si>
  <si>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</si>
  <si>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</si>
  <si>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</si>
  <si>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</si>
  <si>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</si>
  <si>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</si>
  <si>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</si>
  <si>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</si>
  <si>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</si>
  <si>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</si>
  <si>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</si>
  <si>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</si>
  <si>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</si>
  <si>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</si>
  <si>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</si>
  <si>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</si>
  <si>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</si>
  <si>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</si>
  <si>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</si>
  <si>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</si>
  <si>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</si>
  <si>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</si>
  <si>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</si>
  <si>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</si>
  <si>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</si>
  <si>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Status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</si>
  <si>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</si>
  <si>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</si>
  <si>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</si>
  <si>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</si>
  <si>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</si>
  <si>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</si>
  <si>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</si>
  <si>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</si>
  <si>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</si>
  <si>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</si>
  <si>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</si>
  <si>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</si>
  <si>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</si>
  <si>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</si>
  <si>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</si>
  <si>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</si>
  <si>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</si>
  <si>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</si>
  <si>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</si>
  <si>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</si>
  <si>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</si>
  <si>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</si>
  <si>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</si>
  <si>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</si>
  <si>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</si>
  <si>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</si>
  <si>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beta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</si>
  <si>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</si>
  <si>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</si>
  <si>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</si>
  <si>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</si>
  <si>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</si>
  <si>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</si>
  <si>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</si>
  <si>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</si>
  <si>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</si>
  <si>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</si>
  <si>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</si>
  <si>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2pe</t>
  </si>
  <si>
    <t xml:space="preserve">2-phenylethanol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</si>
  <si>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</si>
  <si>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</si>
  <si>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</si>
  <si>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</si>
  <si>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</si>
  <si>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</si>
  <si>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gamma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</si>
  <si>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</si>
  <si>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</si>
  <si>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</si>
  <si>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</si>
  <si>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</si>
  <si>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</si>
  <si>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</si>
  <si>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2-methyl-3-buten-2-ol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</si>
  <si>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</si>
  <si>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</si>
  <si>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</si>
  <si>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</si>
  <si>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</si>
  <si>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</si>
  <si>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</si>
  <si>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2m2boh</t>
  </si>
  <si>
    <t xml:space="preserve">2-methyl-2-butanol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</si>
  <si>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</si>
  <si>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</si>
  <si>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</si>
  <si>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</si>
  <si>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</si>
  <si>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</si>
  <si>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hexoh</t>
  </si>
  <si>
    <t xml:space="preserve">1-hexanol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</si>
  <si>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</si>
  <si>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</si>
  <si>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</si>
  <si>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</si>
  <si>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</si>
  <si>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</si>
  <si>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</si>
  <si>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octoh</t>
  </si>
  <si>
    <t xml:space="preserve">1-octanol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</si>
  <si>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</si>
  <si>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</si>
  <si>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</si>
  <si>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</si>
  <si>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</si>
  <si>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</si>
  <si>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mibk</t>
  </si>
  <si>
    <t xml:space="preserve">methyl isobutyl ketone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</si>
  <si>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</si>
  <si>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</si>
  <si>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</si>
  <si>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</si>
  <si>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</si>
  <si>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</si>
  <si>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</si>
  <si>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2octanone</t>
  </si>
  <si>
    <t xml:space="preserve">2-octanone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</si>
  <si>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</si>
  <si>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</si>
  <si>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</si>
  <si>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</si>
  <si>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</si>
  <si>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</si>
  <si>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</si>
  <si>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</si>
  <si>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</si>
  <si>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</si>
  <si>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</si>
  <si>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</si>
  <si>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</si>
  <si>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</si>
  <si>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</si>
  <si>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</si>
  <si>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</si>
  <si>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</si>
  <si>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</si>
  <si>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</si>
  <si>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</si>
  <si>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</si>
  <si>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</si>
  <si>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</si>
  <si>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</si>
  <si>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</si>
  <si>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</si>
  <si>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</si>
  <si>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</si>
  <si>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</si>
  <si>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</si>
  <si>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</si>
  <si>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</si>
  <si>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</si>
  <si>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</si>
  <si>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</si>
  <si>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</si>
  <si>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</si>
  <si>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</si>
  <si>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</si>
  <si>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</si>
  <si>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</si>
  <si>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</si>
  <si>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</si>
  <si>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</si>
  <si>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</si>
  <si>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</si>
  <si>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</si>
  <si>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</si>
  <si>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</si>
  <si>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</si>
  <si>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</si>
  <si>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</si>
  <si>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</si>
  <si>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</si>
  <si>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LLE con agua</t>
  </si>
  <si>
    <t xml:space="preserve">ThyCar</t>
  </si>
  <si>
    <t xml:space="preserve">ThyGer</t>
  </si>
  <si>
    <t xml:space="preserve">ThyCarvon</t>
  </si>
  <si>
    <t xml:space="preserve">ThyEug</t>
  </si>
  <si>
    <t xml:space="preserve">CamCar</t>
  </si>
  <si>
    <t xml:space="preserve">CamGer</t>
  </si>
  <si>
    <t xml:space="preserve">CamCarvac</t>
  </si>
  <si>
    <t xml:space="preserve">CamEug</t>
  </si>
  <si>
    <t xml:space="preserve">b-ionona</t>
  </si>
  <si>
    <t xml:space="preserve">HBA</t>
  </si>
  <si>
    <t xml:space="preserve">HBD</t>
  </si>
  <si>
    <t xml:space="preserve">Carvone</t>
  </si>
  <si>
    <t xml:space="preserve">Camphor</t>
  </si>
  <si>
    <t xml:space="preserve">VLE</t>
  </si>
  <si>
    <t xml:space="preserve">Falta fleck</t>
  </si>
  <si>
    <t xml:space="preserve">PREPARACIÓN DES 10.00 g (1:1 molar)</t>
  </si>
  <si>
    <t xml:space="preserve">m_total:</t>
  </si>
  <si>
    <t xml:space="preserve">DES</t>
  </si>
  <si>
    <t xml:space="preserve">MW_HBA</t>
  </si>
  <si>
    <t xml:space="preserve">Pureza_HBA</t>
  </si>
  <si>
    <t xml:space="preserve">m_HBA target (g)</t>
  </si>
  <si>
    <t xml:space="preserve">m_HBA exp (g)</t>
  </si>
  <si>
    <t xml:space="preserve">MW_HBD</t>
  </si>
  <si>
    <t xml:space="preserve">Pureza_HBD</t>
  </si>
  <si>
    <t xml:space="preserve">m_HBD target (g)</t>
  </si>
  <si>
    <t xml:space="preserve">m_HBD exp (g)</t>
  </si>
  <si>
    <t xml:space="preserve">n_HBA/n_HBD</t>
  </si>
  <si>
    <t xml:space="preserve">ThyCarvac</t>
  </si>
  <si>
    <t xml:space="preserve">ThyCam</t>
  </si>
  <si>
    <t xml:space="preserve">Amarillo: ingreso experimental</t>
  </si>
  <si>
    <t xml:space="preserve">Verde: calculado desde Componentes</t>
  </si>
  <si>
    <t xml:space="preserve">LAB SHEET — 2-phenylethanol + DES + Water</t>
  </si>
  <si>
    <t xml:space="preserve">Add in order: tube → water → aroma → DES. Record cumulative balance reading after each addition.</t>
  </si>
  <si>
    <t xml:space="preserve">ρ_aroma (g/mL):</t>
  </si>
  <si>
    <t xml:space="preserve">ρ_water (g/mL):</t>
  </si>
  <si>
    <t xml:space="preserve">Pipetting guide (from predictions)</t>
  </si>
  <si>
    <t xml:space="preserve">Record on balance</t>
  </si>
  <si>
    <t xml:space="preserve">Auto-calculated by difference</t>
  </si>
  <si>
    <t xml:space="preserve">#</t>
  </si>
  <si>
    <t xml:space="preserve">TL#</t>
  </si>
  <si>
    <t xml:space="preserve">ρ_DES est
(g/mL)</t>
  </si>
  <si>
    <t xml:space="preserve">V_water
est (mL)</t>
  </si>
  <si>
    <t xml:space="preserve">V_aroma
est (mL)</t>
  </si>
  <si>
    <t xml:space="preserve">V_DES
est (mL)</t>
  </si>
  <si>
    <t xml:space="preserve">W_tube
(g)</t>
  </si>
  <si>
    <t xml:space="preserve">W +water
(g)</t>
  </si>
  <si>
    <t xml:space="preserve">W +aroma
(g)</t>
  </si>
  <si>
    <t xml:space="preserve">W +DES
(g)</t>
  </si>
  <si>
    <t xml:space="preserve">m_water
(g)</t>
  </si>
  <si>
    <t xml:space="preserve">m_aroma
(g)</t>
  </si>
  <si>
    <t xml:space="preserve">m_DES
(g)</t>
  </si>
  <si>
    <t xml:space="preserve">m_total
(g)</t>
  </si>
  <si>
    <t xml:space="preserve">w_water</t>
  </si>
  <si>
    <t xml:space="preserve">w_aroma</t>
  </si>
  <si>
    <t xml:space="preserve">w_DES</t>
  </si>
  <si>
    <t xml:space="preserve">A — ThyCar  (Thymol + Carvone)</t>
  </si>
  <si>
    <t xml:space="preserve">V_sample:</t>
  </si>
  <si>
    <t xml:space="preserve">200</t>
  </si>
  <si>
    <t xml:space="preserve">µL</t>
  </si>
  <si>
    <t xml:space="preserve">+800 µL IPA</t>
  </si>
  <si>
    <t xml:space="preserve">2-phenylethanol + DES + Water  |  DF=5  |  Split 20:1  |  1.0 µL  |  DB-WAX</t>
  </si>
  <si>
    <t xml:space="preserve">■ KF routine</t>
  </si>
  <si>
    <t xml:space="preserve">□ KF if fishy</t>
  </si>
  <si>
    <t xml:space="preserve">System</t>
  </si>
  <si>
    <t xml:space="preserve">Phase</t>
  </si>
  <si>
    <t xml:space="preserve">Rep</t>
  </si>
  <si>
    <t xml:space="preserve">GC Vial ID</t>
  </si>
  <si>
    <t xml:space="preserve">W_vial
(g)</t>
  </si>
  <si>
    <t xml:space="preserve">W +sample
(g)</t>
  </si>
  <si>
    <t xml:space="preserve">W +solvent
(g)</t>
  </si>
  <si>
    <t xml:space="preserve">m_sample
(g)</t>
  </si>
  <si>
    <t xml:space="preserve">m_solvent
(g)</t>
  </si>
  <si>
    <t xml:space="preserve">DF</t>
  </si>
  <si>
    <t xml:space="preserve">KF w_water
(%)</t>
  </si>
  <si>
    <t xml:space="preserve">A1</t>
  </si>
  <si>
    <t xml:space="preserve">Top</t>
  </si>
  <si>
    <t xml:space="preserve">A1-T1</t>
  </si>
  <si>
    <t xml:space="preserve">A1-T2</t>
  </si>
  <si>
    <t xml:space="preserve">Bot</t>
  </si>
  <si>
    <t xml:space="preserve">A1-B1</t>
  </si>
  <si>
    <t xml:space="preserve">A1-B2</t>
  </si>
  <si>
    <t xml:space="preserve">A2</t>
  </si>
  <si>
    <t xml:space="preserve">A2-T1</t>
  </si>
  <si>
    <t xml:space="preserve">A2-T2</t>
  </si>
  <si>
    <t xml:space="preserve">A2-B1</t>
  </si>
  <si>
    <t xml:space="preserve">A2-B2</t>
  </si>
  <si>
    <t xml:space="preserve">A3</t>
  </si>
  <si>
    <t xml:space="preserve">A3-T1</t>
  </si>
  <si>
    <t xml:space="preserve">A3-T2</t>
  </si>
  <si>
    <t xml:space="preserve">A3-B1</t>
  </si>
  <si>
    <t xml:space="preserve">A3-B2</t>
  </si>
  <si>
    <t xml:space="preserve">A4</t>
  </si>
  <si>
    <t xml:space="preserve">A4-T1</t>
  </si>
  <si>
    <t xml:space="preserve">A4-T2</t>
  </si>
  <si>
    <t xml:space="preserve">A4-B1</t>
  </si>
  <si>
    <t xml:space="preserve">A4-B2</t>
  </si>
  <si>
    <t xml:space="preserve">A5</t>
  </si>
  <si>
    <t xml:space="preserve">A5-T1</t>
  </si>
  <si>
    <t xml:space="preserve">A5-T2</t>
  </si>
  <si>
    <t xml:space="preserve">A5-B1</t>
  </si>
  <si>
    <t xml:space="preserve">A5-B2</t>
  </si>
  <si>
    <t xml:space="preserve">B — ThyGer  (Thymol + Geraniol)</t>
  </si>
  <si>
    <t xml:space="preserve">B1</t>
  </si>
  <si>
    <t xml:space="preserve">B1-T1</t>
  </si>
  <si>
    <t xml:space="preserve">B1-T2</t>
  </si>
  <si>
    <t xml:space="preserve">B1-B1</t>
  </si>
  <si>
    <t xml:space="preserve">B1-B2</t>
  </si>
  <si>
    <t xml:space="preserve">B2</t>
  </si>
  <si>
    <t xml:space="preserve">B2-T1</t>
  </si>
  <si>
    <t xml:space="preserve">B2-T2</t>
  </si>
  <si>
    <t xml:space="preserve">B2-B1</t>
  </si>
  <si>
    <t xml:space="preserve">B2-B2</t>
  </si>
  <si>
    <t xml:space="preserve">B3</t>
  </si>
  <si>
    <t xml:space="preserve">B3-T1</t>
  </si>
  <si>
    <t xml:space="preserve">B3-T2</t>
  </si>
  <si>
    <t xml:space="preserve">B3-B1</t>
  </si>
  <si>
    <t xml:space="preserve">B3-B2</t>
  </si>
  <si>
    <t xml:space="preserve">B4</t>
  </si>
  <si>
    <t xml:space="preserve">B4-T1</t>
  </si>
  <si>
    <t xml:space="preserve">B4-T2</t>
  </si>
  <si>
    <t xml:space="preserve">B4-B1</t>
  </si>
  <si>
    <t xml:space="preserve">B4-B2</t>
  </si>
  <si>
    <t xml:space="preserve">B5</t>
  </si>
  <si>
    <t xml:space="preserve">B5-T1</t>
  </si>
  <si>
    <t xml:space="preserve">B5-T2</t>
  </si>
  <si>
    <t xml:space="preserve">B5-B1</t>
  </si>
  <si>
    <t xml:space="preserve">B5-B2</t>
  </si>
  <si>
    <t xml:space="preserve">C — ThyCarvac  (Thymol + Carvacrol)</t>
  </si>
  <si>
    <t xml:space="preserve">C1</t>
  </si>
  <si>
    <t xml:space="preserve">C1-T1</t>
  </si>
  <si>
    <t xml:space="preserve">C1-T2</t>
  </si>
  <si>
    <t xml:space="preserve">C1-B1</t>
  </si>
  <si>
    <t xml:space="preserve">C1-B2</t>
  </si>
  <si>
    <t xml:space="preserve">C2</t>
  </si>
  <si>
    <t xml:space="preserve">C2-T1</t>
  </si>
  <si>
    <t xml:space="preserve">C2-T2</t>
  </si>
  <si>
    <t xml:space="preserve">C2-B1</t>
  </si>
  <si>
    <t xml:space="preserve">C2-B2</t>
  </si>
  <si>
    <t xml:space="preserve">C3</t>
  </si>
  <si>
    <t xml:space="preserve">C3-T1</t>
  </si>
  <si>
    <t xml:space="preserve">C3-T2</t>
  </si>
  <si>
    <t xml:space="preserve">C3-B1</t>
  </si>
  <si>
    <t xml:space="preserve">C3-B2</t>
  </si>
  <si>
    <t xml:space="preserve">C4</t>
  </si>
  <si>
    <t xml:space="preserve">C4-T1</t>
  </si>
  <si>
    <t xml:space="preserve">C4-T2</t>
  </si>
  <si>
    <t xml:space="preserve">C4-B1</t>
  </si>
  <si>
    <t xml:space="preserve">C4-B2</t>
  </si>
  <si>
    <t xml:space="preserve">C5</t>
  </si>
  <si>
    <t xml:space="preserve">C5-T1</t>
  </si>
  <si>
    <t xml:space="preserve">C5-T2</t>
  </si>
  <si>
    <t xml:space="preserve">C5-B1</t>
  </si>
  <si>
    <t xml:space="preserve">C5-B2</t>
  </si>
  <si>
    <t xml:space="preserve">D — ThyEug  (Thymol + Eugenol)</t>
  </si>
  <si>
    <t xml:space="preserve">D1</t>
  </si>
  <si>
    <t xml:space="preserve">D1-T1</t>
  </si>
  <si>
    <t xml:space="preserve">D1-T2</t>
  </si>
  <si>
    <t xml:space="preserve">D1-B1</t>
  </si>
  <si>
    <t xml:space="preserve">D1-B2</t>
  </si>
  <si>
    <t xml:space="preserve">D2</t>
  </si>
  <si>
    <t xml:space="preserve">D2-T1</t>
  </si>
  <si>
    <t xml:space="preserve">D2-T2</t>
  </si>
  <si>
    <t xml:space="preserve">D2-B1</t>
  </si>
  <si>
    <t xml:space="preserve">D2-B2</t>
  </si>
  <si>
    <t xml:space="preserve">D3</t>
  </si>
  <si>
    <t xml:space="preserve">D3-T1</t>
  </si>
  <si>
    <t xml:space="preserve">D3-T2</t>
  </si>
  <si>
    <t xml:space="preserve">D3-B1</t>
  </si>
  <si>
    <t xml:space="preserve">D3-B2</t>
  </si>
  <si>
    <t xml:space="preserve">D4</t>
  </si>
  <si>
    <t xml:space="preserve">D4-T1</t>
  </si>
  <si>
    <t xml:space="preserve">D4-T2</t>
  </si>
  <si>
    <t xml:space="preserve">D4-B1</t>
  </si>
  <si>
    <t xml:space="preserve">D4-B2</t>
  </si>
  <si>
    <t xml:space="preserve">D5</t>
  </si>
  <si>
    <t xml:space="preserve">D5-T1</t>
  </si>
  <si>
    <t xml:space="preserve">D5-T2</t>
  </si>
  <si>
    <t xml:space="preserve">D5-B1</t>
  </si>
  <si>
    <t xml:space="preserve">D5-B2</t>
  </si>
  <si>
    <t xml:space="preserve">E — ThyCam  (Thymol + Camphor)</t>
  </si>
  <si>
    <t xml:space="preserve">E1</t>
  </si>
  <si>
    <t xml:space="preserve">E1-T1</t>
  </si>
  <si>
    <t xml:space="preserve">E1-T2</t>
  </si>
  <si>
    <t xml:space="preserve">E1-B1</t>
  </si>
  <si>
    <t xml:space="preserve">E1-B2</t>
  </si>
  <si>
    <t xml:space="preserve">E2</t>
  </si>
  <si>
    <t xml:space="preserve">E2-T1</t>
  </si>
  <si>
    <t xml:space="preserve">E2-T2</t>
  </si>
  <si>
    <t xml:space="preserve">E2-B1</t>
  </si>
  <si>
    <t xml:space="preserve">E2-B2</t>
  </si>
  <si>
    <t xml:space="preserve">E3</t>
  </si>
  <si>
    <t xml:space="preserve">E3-T1</t>
  </si>
  <si>
    <t xml:space="preserve">E3-T2</t>
  </si>
  <si>
    <t xml:space="preserve">E3-B1</t>
  </si>
  <si>
    <t xml:space="preserve">E3-B2</t>
  </si>
  <si>
    <t xml:space="preserve">E4</t>
  </si>
  <si>
    <t xml:space="preserve">E4-T1</t>
  </si>
  <si>
    <t xml:space="preserve">E4-T2</t>
  </si>
  <si>
    <t xml:space="preserve">E4-B1</t>
  </si>
  <si>
    <t xml:space="preserve">E4-B2</t>
  </si>
  <si>
    <t xml:space="preserve">E5</t>
  </si>
  <si>
    <t xml:space="preserve">E5-T1</t>
  </si>
  <si>
    <t xml:space="preserve">E5-T2</t>
  </si>
  <si>
    <t xml:space="preserve">E5-B1</t>
  </si>
  <si>
    <t xml:space="preserve">E5-B2</t>
  </si>
  <si>
    <t xml:space="preserve">F — CamCar  (Camphor + Carvone)</t>
  </si>
  <si>
    <t xml:space="preserve">F1</t>
  </si>
  <si>
    <t xml:space="preserve">F1-T1</t>
  </si>
  <si>
    <t xml:space="preserve">F1-T2</t>
  </si>
  <si>
    <t xml:space="preserve">F1-B1</t>
  </si>
  <si>
    <t xml:space="preserve">F1-B2</t>
  </si>
  <si>
    <t xml:space="preserve">F2</t>
  </si>
  <si>
    <t xml:space="preserve">F2-T1</t>
  </si>
  <si>
    <t xml:space="preserve">F2-T2</t>
  </si>
  <si>
    <t xml:space="preserve">F2-B1</t>
  </si>
  <si>
    <t xml:space="preserve">F2-B2</t>
  </si>
  <si>
    <t xml:space="preserve">F3</t>
  </si>
  <si>
    <t xml:space="preserve">F3-T1</t>
  </si>
  <si>
    <t xml:space="preserve">F3-T2</t>
  </si>
  <si>
    <t xml:space="preserve">F3-B1</t>
  </si>
  <si>
    <t xml:space="preserve">F3-B2</t>
  </si>
  <si>
    <t xml:space="preserve">F4</t>
  </si>
  <si>
    <t xml:space="preserve">F4-T1</t>
  </si>
  <si>
    <t xml:space="preserve">F4-T2</t>
  </si>
  <si>
    <t xml:space="preserve">F4-B1</t>
  </si>
  <si>
    <t xml:space="preserve">F4-B2</t>
  </si>
  <si>
    <t xml:space="preserve">F5</t>
  </si>
  <si>
    <t xml:space="preserve">F5-T1</t>
  </si>
  <si>
    <t xml:space="preserve">F5-T2</t>
  </si>
  <si>
    <t xml:space="preserve">F5-B1</t>
  </si>
  <si>
    <t xml:space="preserve">F5-B2</t>
  </si>
  <si>
    <t xml:space="preserve">G — CamGer  (Camphor + Geraniol)</t>
  </si>
  <si>
    <t xml:space="preserve">G1</t>
  </si>
  <si>
    <t xml:space="preserve">G1-T1</t>
  </si>
  <si>
    <t xml:space="preserve">G1-T2</t>
  </si>
  <si>
    <t xml:space="preserve">G1-B1</t>
  </si>
  <si>
    <t xml:space="preserve">G1-B2</t>
  </si>
  <si>
    <t xml:space="preserve">G2</t>
  </si>
  <si>
    <t xml:space="preserve">G2-T1</t>
  </si>
  <si>
    <t xml:space="preserve">G2-T2</t>
  </si>
  <si>
    <t xml:space="preserve">G2-B1</t>
  </si>
  <si>
    <t xml:space="preserve">G2-B2</t>
  </si>
  <si>
    <t xml:space="preserve">G3</t>
  </si>
  <si>
    <t xml:space="preserve">G3-T1</t>
  </si>
  <si>
    <t xml:space="preserve">G3-T2</t>
  </si>
  <si>
    <t xml:space="preserve">G3-B1</t>
  </si>
  <si>
    <t xml:space="preserve">G3-B2</t>
  </si>
  <si>
    <t xml:space="preserve">G4</t>
  </si>
  <si>
    <t xml:space="preserve">G4-T1</t>
  </si>
  <si>
    <t xml:space="preserve">G4-T2</t>
  </si>
  <si>
    <t xml:space="preserve">G4-B1</t>
  </si>
  <si>
    <t xml:space="preserve">G4-B2</t>
  </si>
  <si>
    <t xml:space="preserve">G5</t>
  </si>
  <si>
    <t xml:space="preserve">G5-T1</t>
  </si>
  <si>
    <t xml:space="preserve">G5-T2</t>
  </si>
  <si>
    <t xml:space="preserve">G5-B1</t>
  </si>
  <si>
    <t xml:space="preserve">G5-B2</t>
  </si>
  <si>
    <t xml:space="preserve">H — CamCarvac  (Camphor + Carvacrol)</t>
  </si>
  <si>
    <t xml:space="preserve">H1</t>
  </si>
  <si>
    <t xml:space="preserve">H1-T1</t>
  </si>
  <si>
    <t xml:space="preserve">H1-T2</t>
  </si>
  <si>
    <t xml:space="preserve">H1-B1</t>
  </si>
  <si>
    <t xml:space="preserve">H1-B2</t>
  </si>
  <si>
    <t xml:space="preserve">H2</t>
  </si>
  <si>
    <t xml:space="preserve">H2-T1</t>
  </si>
  <si>
    <t xml:space="preserve">H2-T2</t>
  </si>
  <si>
    <t xml:space="preserve">H2-B1</t>
  </si>
  <si>
    <t xml:space="preserve">H2-B2</t>
  </si>
  <si>
    <t xml:space="preserve">H3</t>
  </si>
  <si>
    <t xml:space="preserve">H3-T1</t>
  </si>
  <si>
    <t xml:space="preserve">H3-T2</t>
  </si>
  <si>
    <t xml:space="preserve">H3-B1</t>
  </si>
  <si>
    <t xml:space="preserve">H3-B2</t>
  </si>
  <si>
    <t xml:space="preserve">H4</t>
  </si>
  <si>
    <t xml:space="preserve">H4-T1</t>
  </si>
  <si>
    <t xml:space="preserve">H4-T2</t>
  </si>
  <si>
    <t xml:space="preserve">H4-B1</t>
  </si>
  <si>
    <t xml:space="preserve">H4-B2</t>
  </si>
  <si>
    <t xml:space="preserve">H5</t>
  </si>
  <si>
    <t xml:space="preserve">H5-T1</t>
  </si>
  <si>
    <t xml:space="preserve">H5-T2</t>
  </si>
  <si>
    <t xml:space="preserve">H5-B1</t>
  </si>
  <si>
    <t xml:space="preserve">H5-B2</t>
  </si>
  <si>
    <t xml:space="preserve">BINARIOS TERPENOS CON AGUA</t>
  </si>
  <si>
    <t xml:space="preserve">+700 µL IPA</t>
  </si>
  <si>
    <t xml:space="preserve">solo pesar viales GC!!</t>
  </si>
  <si>
    <t xml:space="preserve">BIN1</t>
  </si>
  <si>
    <t xml:space="preserve">BIN1-T1</t>
  </si>
  <si>
    <t xml:space="preserve">BIN1-T2</t>
  </si>
  <si>
    <t xml:space="preserve">BIN1-B1</t>
  </si>
  <si>
    <t xml:space="preserve">BIN1-B2</t>
  </si>
  <si>
    <t xml:space="preserve">BIN2</t>
  </si>
  <si>
    <t xml:space="preserve">BIN2-T1</t>
  </si>
  <si>
    <t xml:space="preserve">BIN2-T2</t>
  </si>
  <si>
    <t xml:space="preserve">BIN2-B1</t>
  </si>
  <si>
    <t xml:space="preserve">BIN2-B2</t>
  </si>
  <si>
    <t xml:space="preserve">BIN3</t>
  </si>
  <si>
    <t xml:space="preserve">BIN3-T1</t>
  </si>
  <si>
    <t xml:space="preserve">BIN3-T2</t>
  </si>
  <si>
    <t xml:space="preserve">BIN3-B1</t>
  </si>
  <si>
    <t xml:space="preserve">BIN3-B2</t>
  </si>
  <si>
    <t xml:space="preserve">BIN4</t>
  </si>
  <si>
    <t xml:space="preserve">BIN4-T1</t>
  </si>
  <si>
    <t xml:space="preserve">BIN4-T2</t>
  </si>
  <si>
    <t xml:space="preserve">BIN4-B1</t>
  </si>
  <si>
    <t xml:space="preserve">BIN4-B2</t>
  </si>
  <si>
    <t xml:space="preserve">BIN5</t>
  </si>
  <si>
    <t xml:space="preserve">BIN5-T1</t>
  </si>
  <si>
    <t xml:space="preserve">BIN5-T2</t>
  </si>
  <si>
    <t xml:space="preserve">BIN5-B1</t>
  </si>
  <si>
    <t xml:space="preserve">BIN5-B2</t>
  </si>
  <si>
    <t xml:space="preserve">BIN6</t>
  </si>
  <si>
    <t xml:space="preserve">BIN6-T1</t>
  </si>
  <si>
    <t xml:space="preserve">BIN6-T2</t>
  </si>
  <si>
    <t xml:space="preserve">BIN6-B1</t>
  </si>
  <si>
    <t xml:space="preserve">BIN6-B2</t>
  </si>
  <si>
    <t xml:space="preserve">BIN7</t>
  </si>
  <si>
    <t xml:space="preserve">BIN7-T1</t>
  </si>
  <si>
    <t xml:space="preserve">BIN7-T2</t>
  </si>
  <si>
    <t xml:space="preserve">BIN7-B1</t>
  </si>
  <si>
    <t xml:space="preserve">BIN7-B2</t>
  </si>
  <si>
    <t xml:space="preserve">BIN8</t>
  </si>
  <si>
    <t xml:space="preserve">BIN8-T1</t>
  </si>
  <si>
    <t xml:space="preserve">BIN8-T2</t>
  </si>
  <si>
    <t xml:space="preserve">BIN8-B1</t>
  </si>
  <si>
    <t xml:space="preserve">BIN8-B2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</si>
</sst>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%"/>
    <numFmt numFmtId="167" formatCode="0%"/>
    <numFmt numFmtId="168" formatCode="hh\:mm"/>
    <numFmt numFmtId="169" formatCode="0.00"/>
    <numFmt numFmtId="170" formatCode="0.0000"/>
    <numFmt numFmtId="171" formatCode="0.00000"/>
  </numFmts>
  <fonts count="39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name val="Cambria"/>
      <family val="0"/>
      <charset val="1"/>
    </font>
    <font>
      <sz val="11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8"/>
      <color rgb="FF7030A0"/>
      <name val="Arial"/>
      <family val="0"/>
      <charset val="1"/>
    </font>
    <font>
      <sz val="8"/>
      <color rgb="FFA080C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0"/>
      <color rgb="FF833C0B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C00000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1F4E79"/>
      </patternFill>
    </fill>
    <fill>
      <patternFill patternType="solid">
        <fgColor rgb="FFD9E1F2"/>
        <bgColor rgb="FFD6E4F0"/>
      </patternFill>
    </fill>
    <fill>
      <patternFill patternType="solid">
        <fgColor rgb="FFF2CFEE"/>
        <bgColor rgb="FFE4DFEC"/>
      </patternFill>
    </fill>
    <fill>
      <patternFill patternType="solid">
        <fgColor rgb="FFC1E5F5"/>
        <bgColor rgb="FFBDD7EE"/>
      </patternFill>
    </fill>
    <fill>
      <patternFill patternType="solid">
        <fgColor theme="8" tint="0.5998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D9F2D0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D6E4F0"/>
      </patternFill>
    </fill>
    <fill>
      <patternFill patternType="solid">
        <fgColor rgb="FFFCE4D6"/>
        <bgColor rgb="FFF8E4D0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0EBF5"/>
      </patternFill>
    </fill>
    <fill>
      <patternFill patternType="solid">
        <fgColor rgb="FFE4DFEC"/>
        <bgColor rgb="FFDDDDDD"/>
      </patternFill>
    </fill>
    <fill>
      <patternFill patternType="solid">
        <fgColor rgb="FFF0EBF5"/>
        <bgColor rgb="FFF2F2F2"/>
      </patternFill>
    </fill>
    <fill>
      <patternFill patternType="solid">
        <fgColor rgb="FFF8E4D0"/>
        <bgColor rgb="FFFCE4D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" fillId="1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7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7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7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8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3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2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1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2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2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6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2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2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2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2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1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2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2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DCE6F1"/>
      <rgbColor rgb="FFC00000"/>
      <rgbColor rgb="FF008000"/>
      <rgbColor rgb="FF000080"/>
      <rgbColor rgb="FFE4DFEC"/>
      <rgbColor rgb="FF800080"/>
      <rgbColor rgb="FF008080"/>
      <rgbColor rgb="FFBFBFBF"/>
      <rgbColor rgb="FF808080"/>
      <rgbColor rgb="FFD9D9D9"/>
      <rgbColor rgb="FF7030A0"/>
      <rgbColor rgb="FFFFFFCC"/>
      <rgbColor rgb="FFDDEBF7"/>
      <rgbColor rgb="FF660066"/>
      <rgbColor rgb="FFF2CFEE"/>
      <rgbColor rgb="FF0066CC"/>
      <rgbColor rgb="FFBDD7EE"/>
      <rgbColor rgb="FF000080"/>
      <rgbColor rgb="FFFF00FF"/>
      <rgbColor rgb="FFFCE4D6"/>
      <rgbColor rgb="FFE2EFDA"/>
      <rgbColor rgb="FF800080"/>
      <rgbColor rgb="FF800000"/>
      <rgbColor rgb="FF008080"/>
      <rgbColor rgb="FF0000FF"/>
      <rgbColor rgb="FFF2F2F2"/>
      <rgbColor rgb="FFC1E5F5"/>
      <rgbColor rgb="FFD9F2D0"/>
      <rgbColor rgb="FFF8E4D0"/>
      <rgbColor rgb="FFB4C7E7"/>
      <rgbColor rgb="FFF4B084"/>
      <rgbColor rgb="FFD1D1D1"/>
      <rgbColor rgb="FFFFD966"/>
      <rgbColor rgb="FF3366FF"/>
      <rgbColor rgb="FFD6E4F0"/>
      <rgbColor rgb="FFC5E0B4"/>
      <rgbColor rgb="FFFFC000"/>
      <rgbColor rgb="FFDDDDDD"/>
      <rgbColor rgb="FFF0EBF5"/>
      <rgbColor rgb="FF666666"/>
      <rgbColor rgb="FFA080C0"/>
      <rgbColor rgb="FF1F4E79"/>
      <rgbColor rgb="FFD9E1F2"/>
      <rgbColor rgb="FF003300"/>
      <rgbColor rgb="FF333300"/>
      <rgbColor rgb="FF833C0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9"/>
    <col collapsed="false" customWidth="true" hidden="false" outlineLevel="0" max="3" min="3" style="1" width="17.38"/>
    <col collapsed="false" customWidth="true" hidden="false" outlineLevel="0" max="4" min="4" style="1" width="14.38"/>
    <col collapsed="false" customWidth="true" hidden="false" outlineLevel="0" max="5" min="5" style="1" width="12.88"/>
    <col collapsed="false" customWidth="true" hidden="false" outlineLevel="0" max="6" min="6" style="1" width="30"/>
    <col collapsed="false" customWidth="true" hidden="false" outlineLevel="0" max="7" min="7" style="1" width="15.25"/>
    <col collapsed="false" customWidth="true" hidden="false" outlineLevel="0" max="8" min="8" style="1" width="13.12"/>
    <col collapsed="false" customWidth="true" hidden="false" outlineLevel="0" max="9" min="9" style="1" width="13.5"/>
    <col collapsed="false" customWidth="true" hidden="false" outlineLevel="0" max="10" min="10" style="1" width="11.88"/>
    <col collapsed="false" customWidth="true" hidden="false" outlineLevel="0" max="11" min="11" style="1" width="12.25"/>
    <col collapsed="false" customWidth="true" hidden="false" outlineLevel="0" max="12" min="12" style="1" width="9"/>
    <col collapsed="false" customWidth="true" hidden="false" outlineLevel="0" max="13" min="13" style="1" width="14.25"/>
    <col collapsed="false" customWidth="true" hidden="false" outlineLevel="0" max="14" min="14" style="1" width="7.63"/>
    <col collapsed="false" customWidth="true" hidden="false" outlineLevel="0" max="15" min="15" style="1" width="7"/>
    <col collapsed="false" customWidth="true" hidden="false" outlineLevel="0" max="16" min="16" style="1" width="8.76"/>
    <col collapsed="false" customWidth="true" hidden="false" outlineLevel="0" max="18" min="18" style="1" width="11"/>
    <col collapsed="false" customWidth="true" hidden="false" outlineLevel="0" max="19" min="19" style="1" width="11.88"/>
    <col collapsed="false" customWidth="true" hidden="false" outlineLevel="0" max="20" min="20" style="1" width="12.63"/>
    <col collapsed="false" customWidth="true" hidden="false" outlineLevel="0" max="21" min="21" style="1" width="9.88"/>
    <col collapsed="false" customWidth="true" hidden="false" outlineLevel="0" max="22" min="22" style="1" width="14"/>
    <col collapsed="false" customWidth="true" hidden="false" outlineLevel="0" max="23" min="23" style="1" width="11.38"/>
    <col collapsed="false" customWidth="true" hidden="false" outlineLevel="0" max="24" min="24" style="1" width="10.63"/>
    <col collapsed="false" customWidth="true" hidden="false" outlineLevel="0" max="25" min="25" style="1" width="9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4"/>
      <c r="G1" s="5" t="s">
        <v>1</v>
      </c>
      <c r="H1" s="6"/>
      <c r="I1" s="6"/>
      <c r="J1" s="6"/>
      <c r="K1" s="6"/>
      <c r="L1" s="7"/>
      <c r="M1" s="8" t="s">
        <v>2</v>
      </c>
      <c r="N1" s="9"/>
      <c r="O1" s="9"/>
      <c r="P1" s="9"/>
      <c r="Q1" s="9"/>
      <c r="R1" s="10"/>
      <c r="S1" s="11" t="s">
        <v>3</v>
      </c>
      <c r="T1" s="12"/>
      <c r="U1" s="13"/>
      <c r="V1" s="14" t="s">
        <v>4</v>
      </c>
      <c r="W1" s="15"/>
      <c r="X1" s="16"/>
    </row>
    <row r="2" customFormat="false" ht="14.25" hidden="false" customHeight="true" outlineLevel="0" collapsed="false">
      <c r="A2" s="17" t="s">
        <v>5</v>
      </c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AA2" s="18" t="s">
        <v>29</v>
      </c>
      <c r="AB2" s="18" t="s">
        <v>17</v>
      </c>
      <c r="AC2" s="18" t="s">
        <v>30</v>
      </c>
    </row>
    <row r="3" customFormat="false" ht="14.25" hidden="false" customHeight="true" outlineLevel="0" collapsed="false">
      <c r="A3" s="19" t="s">
        <v>31</v>
      </c>
      <c r="B3" s="19" t="s">
        <v>32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 t="s">
        <v>38</v>
      </c>
      <c r="I3" s="19" t="s">
        <v>39</v>
      </c>
      <c r="J3" s="19" t="s">
        <v>40</v>
      </c>
      <c r="K3" s="19" t="s">
        <v>41</v>
      </c>
      <c r="L3" s="19" t="s">
        <v>42</v>
      </c>
      <c r="M3" s="19" t="s">
        <v>43</v>
      </c>
      <c r="N3" s="19" t="s">
        <v>44</v>
      </c>
      <c r="O3" s="19" t="s">
        <v>45</v>
      </c>
      <c r="P3" s="19" t="s">
        <v>46</v>
      </c>
      <c r="Q3" s="19" t="s">
        <v>47</v>
      </c>
      <c r="R3" s="19" t="s">
        <v>48</v>
      </c>
      <c r="S3" s="19" t="s">
        <v>45</v>
      </c>
      <c r="T3" s="19" t="s">
        <v>49</v>
      </c>
      <c r="U3" s="19" t="s">
        <v>50</v>
      </c>
      <c r="V3" s="19" t="s">
        <v>51</v>
      </c>
      <c r="W3" s="19" t="s">
        <v>52</v>
      </c>
      <c r="X3" s="19" t="s">
        <v>53</v>
      </c>
      <c r="AA3" s="1" t="s">
        <v>54</v>
      </c>
      <c r="AB3" s="1" t="n">
        <v>192.3</v>
      </c>
      <c r="AC3" s="1" t="n">
        <v>0.978</v>
      </c>
    </row>
    <row r="4" customFormat="false" ht="14.25" hidden="false" customHeight="true" outlineLevel="0" collapsed="false">
      <c r="A4" s="20" t="s">
        <v>54</v>
      </c>
      <c r="B4" s="20" t="s">
        <v>55</v>
      </c>
      <c r="C4" s="21" t="s">
        <v>56</v>
      </c>
      <c r="D4" s="20" t="s">
        <v>57</v>
      </c>
      <c r="E4" s="22" t="s">
        <v>58</v>
      </c>
      <c r="F4" s="20" t="s">
        <v>59</v>
      </c>
      <c r="G4" s="23" t="s">
        <v>60</v>
      </c>
      <c r="H4" s="20" t="s">
        <v>61</v>
      </c>
      <c r="I4" s="20" t="s">
        <v>62</v>
      </c>
      <c r="J4" s="20" t="s">
        <v>63</v>
      </c>
      <c r="K4" s="20" t="n">
        <v>1</v>
      </c>
      <c r="L4" s="20" t="s">
        <v>64</v>
      </c>
      <c r="M4" s="20" t="n">
        <v>192.3</v>
      </c>
      <c r="N4" s="20" t="n">
        <v>266</v>
      </c>
      <c r="O4" s="21" t="s">
        <v>56</v>
      </c>
      <c r="P4" s="24" t="n">
        <v>0.94498</v>
      </c>
      <c r="Q4" s="25"/>
      <c r="R4" s="26" t="s">
        <v>56</v>
      </c>
      <c r="S4" s="26" t="s">
        <v>56</v>
      </c>
      <c r="T4" s="26" t="s">
        <v>56</v>
      </c>
      <c r="U4" s="26" t="s">
        <v>56</v>
      </c>
      <c r="V4" s="26" t="s">
        <v>56</v>
      </c>
      <c r="W4" s="26" t="s">
        <v>65</v>
      </c>
      <c r="X4" s="20"/>
      <c r="AA4" s="1" t="s">
        <v>66</v>
      </c>
      <c r="AB4" s="1" t="n">
        <v>122.16</v>
      </c>
      <c r="AC4" s="27" t="n">
        <v>1</v>
      </c>
    </row>
    <row r="5" customFormat="false" ht="14.25" hidden="false" customHeight="true" outlineLevel="0" collapsed="false">
      <c r="A5" s="20" t="s">
        <v>66</v>
      </c>
      <c r="B5" s="20" t="s">
        <v>67</v>
      </c>
      <c r="C5" s="21" t="s">
        <v>56</v>
      </c>
      <c r="D5" s="20" t="s">
        <v>68</v>
      </c>
      <c r="E5" s="25" t="s">
        <v>69</v>
      </c>
      <c r="F5" s="20" t="s">
        <v>70</v>
      </c>
      <c r="G5" s="23" t="s">
        <v>71</v>
      </c>
      <c r="H5" s="20" t="s">
        <v>61</v>
      </c>
      <c r="I5" s="20" t="s">
        <v>72</v>
      </c>
      <c r="J5" s="20" t="s">
        <v>73</v>
      </c>
      <c r="K5" s="20" t="n">
        <v>1</v>
      </c>
      <c r="L5" s="20" t="s">
        <v>64</v>
      </c>
      <c r="M5" s="20" t="n">
        <v>122.16</v>
      </c>
      <c r="N5" s="20" t="n">
        <v>219</v>
      </c>
      <c r="O5" s="21" t="s">
        <v>56</v>
      </c>
      <c r="P5" s="24" t="n">
        <v>1.01985</v>
      </c>
      <c r="Q5" s="25"/>
      <c r="R5" s="26" t="s">
        <v>56</v>
      </c>
      <c r="S5" s="26" t="s">
        <v>56</v>
      </c>
      <c r="T5" s="26" t="s">
        <v>56</v>
      </c>
      <c r="U5" s="26" t="s">
        <v>56</v>
      </c>
      <c r="V5" s="26" t="s">
        <v>56</v>
      </c>
      <c r="W5" s="26" t="s">
        <v>65</v>
      </c>
      <c r="X5" s="20"/>
      <c r="AA5" s="1" t="s">
        <v>74</v>
      </c>
      <c r="AB5" s="1" t="n">
        <v>170.25</v>
      </c>
      <c r="AC5" s="1" t="n">
        <v>0.987</v>
      </c>
    </row>
    <row r="6" customFormat="false" ht="14.25" hidden="false" customHeight="true" outlineLevel="0" collapsed="false">
      <c r="A6" s="20" t="s">
        <v>74</v>
      </c>
      <c r="B6" s="20" t="s">
        <v>75</v>
      </c>
      <c r="C6" s="21" t="s">
        <v>56</v>
      </c>
      <c r="D6" s="20" t="s">
        <v>76</v>
      </c>
      <c r="E6" s="25" t="s">
        <v>77</v>
      </c>
      <c r="F6" s="20" t="s">
        <v>78</v>
      </c>
      <c r="G6" s="23" t="s">
        <v>71</v>
      </c>
      <c r="H6" s="20" t="s">
        <v>61</v>
      </c>
      <c r="I6" s="20" t="s">
        <v>79</v>
      </c>
      <c r="J6" s="20" t="s">
        <v>80</v>
      </c>
      <c r="K6" s="20" t="n">
        <v>1</v>
      </c>
      <c r="L6" s="20" t="s">
        <v>64</v>
      </c>
      <c r="M6" s="20" t="n">
        <v>170.25</v>
      </c>
      <c r="N6" s="20" t="n">
        <v>285</v>
      </c>
      <c r="O6" s="21" t="s">
        <v>56</v>
      </c>
      <c r="P6" s="24" t="n">
        <v>0.95292</v>
      </c>
      <c r="Q6" s="25"/>
      <c r="R6" s="26" t="s">
        <v>56</v>
      </c>
      <c r="S6" s="26" t="s">
        <v>56</v>
      </c>
      <c r="T6" s="26" t="s">
        <v>56</v>
      </c>
      <c r="U6" s="26" t="s">
        <v>56</v>
      </c>
      <c r="V6" s="26" t="s">
        <v>56</v>
      </c>
      <c r="W6" s="26" t="s">
        <v>65</v>
      </c>
      <c r="X6" s="20"/>
      <c r="AA6" s="1" t="s">
        <v>81</v>
      </c>
      <c r="AB6" s="1" t="n">
        <v>86.13</v>
      </c>
      <c r="AC6" s="1" t="n">
        <v>0.996</v>
      </c>
    </row>
    <row r="7" customFormat="false" ht="14.25" hidden="false" customHeight="true" outlineLevel="0" collapsed="false">
      <c r="A7" s="28" t="s">
        <v>81</v>
      </c>
      <c r="B7" s="28" t="s">
        <v>82</v>
      </c>
      <c r="C7" s="28" t="s">
        <v>83</v>
      </c>
      <c r="D7" s="28" t="s">
        <v>84</v>
      </c>
      <c r="E7" s="28" t="s">
        <v>85</v>
      </c>
      <c r="F7" s="28" t="s">
        <v>86</v>
      </c>
      <c r="G7" s="29" t="s">
        <v>60</v>
      </c>
      <c r="H7" s="28" t="s">
        <v>87</v>
      </c>
      <c r="I7" s="30" t="s">
        <v>88</v>
      </c>
      <c r="J7" s="28" t="s">
        <v>89</v>
      </c>
      <c r="K7" s="29" t="n">
        <v>1</v>
      </c>
      <c r="L7" s="28" t="s">
        <v>64</v>
      </c>
      <c r="M7" s="28" t="n">
        <v>86.13</v>
      </c>
      <c r="N7" s="28" t="n">
        <v>99</v>
      </c>
      <c r="O7" s="31" t="s">
        <v>56</v>
      </c>
      <c r="P7" s="32" t="n">
        <v>0.82388</v>
      </c>
      <c r="Q7" s="33"/>
      <c r="R7" s="28" t="s">
        <v>56</v>
      </c>
      <c r="S7" s="28" t="s">
        <v>56</v>
      </c>
      <c r="T7" s="28" t="s">
        <v>56</v>
      </c>
      <c r="U7" s="28" t="s">
        <v>56</v>
      </c>
      <c r="V7" s="28" t="s">
        <v>56</v>
      </c>
      <c r="W7" s="28" t="s">
        <v>65</v>
      </c>
      <c r="X7" s="28"/>
      <c r="AA7" s="1" t="s">
        <v>90</v>
      </c>
      <c r="AB7" s="1" t="n">
        <v>88.15</v>
      </c>
      <c r="AC7" s="27" t="n">
        <v>1</v>
      </c>
    </row>
    <row r="8" customFormat="false" ht="14.25" hidden="false" customHeight="true" outlineLevel="0" collapsed="false">
      <c r="A8" s="34" t="s">
        <v>90</v>
      </c>
      <c r="B8" s="34" t="s">
        <v>91</v>
      </c>
      <c r="C8" s="34" t="s">
        <v>92</v>
      </c>
      <c r="D8" s="34" t="s">
        <v>93</v>
      </c>
      <c r="E8" s="35" t="s">
        <v>94</v>
      </c>
      <c r="F8" s="34" t="s">
        <v>95</v>
      </c>
      <c r="G8" s="36" t="n">
        <v>3.2</v>
      </c>
      <c r="H8" s="34" t="s">
        <v>61</v>
      </c>
      <c r="I8" s="37" t="s">
        <v>96</v>
      </c>
      <c r="J8" s="34" t="s">
        <v>97</v>
      </c>
      <c r="K8" s="36" t="n">
        <v>1</v>
      </c>
      <c r="L8" s="34" t="s">
        <v>64</v>
      </c>
      <c r="M8" s="34" t="n">
        <v>88.15</v>
      </c>
      <c r="N8" s="34" t="n">
        <v>102</v>
      </c>
      <c r="O8" s="38" t="s">
        <v>56</v>
      </c>
      <c r="P8" s="32" t="n">
        <v>0.80899</v>
      </c>
      <c r="Q8" s="39"/>
      <c r="R8" s="34" t="s">
        <v>56</v>
      </c>
      <c r="S8" s="34" t="s">
        <v>56</v>
      </c>
      <c r="T8" s="34" t="s">
        <v>56</v>
      </c>
      <c r="U8" s="34" t="s">
        <v>56</v>
      </c>
      <c r="V8" s="34" t="s">
        <v>56</v>
      </c>
      <c r="W8" s="34" t="s">
        <v>65</v>
      </c>
      <c r="X8" s="34"/>
      <c r="AA8" s="1" t="s">
        <v>98</v>
      </c>
      <c r="AB8" s="1" t="n">
        <v>102.17</v>
      </c>
      <c r="AC8" s="1" t="n">
        <v>0.998</v>
      </c>
    </row>
    <row r="9" customFormat="false" ht="14.25" hidden="false" customHeight="true" outlineLevel="0" collapsed="false">
      <c r="A9" s="34" t="s">
        <v>98</v>
      </c>
      <c r="B9" s="34" t="s">
        <v>99</v>
      </c>
      <c r="C9" s="34" t="s">
        <v>56</v>
      </c>
      <c r="D9" s="34" t="s">
        <v>100</v>
      </c>
      <c r="E9" s="34" t="s">
        <v>101</v>
      </c>
      <c r="F9" s="34" t="s">
        <v>102</v>
      </c>
      <c r="G9" s="36" t="s">
        <v>103</v>
      </c>
      <c r="H9" s="34" t="s">
        <v>61</v>
      </c>
      <c r="I9" s="34" t="s">
        <v>104</v>
      </c>
      <c r="J9" s="34" t="s">
        <v>105</v>
      </c>
      <c r="K9" s="36" t="n">
        <v>700</v>
      </c>
      <c r="L9" s="34" t="s">
        <v>106</v>
      </c>
      <c r="M9" s="34" t="n">
        <v>102.17</v>
      </c>
      <c r="N9" s="34" t="n">
        <v>156</v>
      </c>
      <c r="O9" s="38" t="s">
        <v>56</v>
      </c>
      <c r="P9" s="32" t="n">
        <v>0.81883</v>
      </c>
      <c r="Q9" s="39"/>
      <c r="R9" s="34" t="s">
        <v>56</v>
      </c>
      <c r="S9" s="34" t="s">
        <v>56</v>
      </c>
      <c r="T9" s="34" t="s">
        <v>56</v>
      </c>
      <c r="U9" s="34" t="s">
        <v>56</v>
      </c>
      <c r="V9" s="34" t="s">
        <v>56</v>
      </c>
      <c r="W9" s="34" t="s">
        <v>65</v>
      </c>
      <c r="X9" s="34"/>
      <c r="AA9" s="1" t="s">
        <v>107</v>
      </c>
      <c r="AB9" s="1" t="n">
        <v>130.23</v>
      </c>
      <c r="AC9" s="1" t="n">
        <v>0.997</v>
      </c>
    </row>
    <row r="10" customFormat="false" ht="14.25" hidden="false" customHeight="true" outlineLevel="0" collapsed="false">
      <c r="A10" s="34" t="s">
        <v>107</v>
      </c>
      <c r="B10" s="34" t="s">
        <v>108</v>
      </c>
      <c r="C10" s="34" t="s">
        <v>56</v>
      </c>
      <c r="D10" s="34" t="s">
        <v>109</v>
      </c>
      <c r="E10" s="34" t="s">
        <v>110</v>
      </c>
      <c r="F10" s="34" t="s">
        <v>111</v>
      </c>
      <c r="G10" s="36" t="n">
        <v>1.2</v>
      </c>
      <c r="H10" s="34" t="s">
        <v>61</v>
      </c>
      <c r="I10" s="34" t="s">
        <v>112</v>
      </c>
      <c r="J10" s="34" t="s">
        <v>113</v>
      </c>
      <c r="K10" s="36" t="s">
        <v>114</v>
      </c>
      <c r="L10" s="34" t="s">
        <v>106</v>
      </c>
      <c r="M10" s="34" t="n">
        <v>130.23</v>
      </c>
      <c r="N10" s="34" t="n">
        <v>195</v>
      </c>
      <c r="O10" s="38" t="s">
        <v>56</v>
      </c>
      <c r="P10" s="40" t="n">
        <v>0.82518</v>
      </c>
      <c r="Q10" s="39"/>
      <c r="R10" s="34" t="s">
        <v>56</v>
      </c>
      <c r="S10" s="34" t="s">
        <v>56</v>
      </c>
      <c r="T10" s="34" t="s">
        <v>56</v>
      </c>
      <c r="U10" s="34" t="s">
        <v>56</v>
      </c>
      <c r="V10" s="34" t="s">
        <v>56</v>
      </c>
      <c r="W10" s="34" t="s">
        <v>65</v>
      </c>
      <c r="X10" s="34"/>
      <c r="AA10" s="1" t="s">
        <v>115</v>
      </c>
      <c r="AB10" s="1" t="n">
        <v>100.16</v>
      </c>
      <c r="AC10" s="1" t="n">
        <v>0.998</v>
      </c>
    </row>
    <row r="11" customFormat="false" ht="14.25" hidden="false" customHeight="true" outlineLevel="0" collapsed="false">
      <c r="A11" s="34" t="s">
        <v>115</v>
      </c>
      <c r="B11" s="34" t="s">
        <v>116</v>
      </c>
      <c r="C11" s="34" t="s">
        <v>117</v>
      </c>
      <c r="D11" s="34" t="s">
        <v>118</v>
      </c>
      <c r="E11" s="35" t="s">
        <v>119</v>
      </c>
      <c r="F11" s="34" t="s">
        <v>120</v>
      </c>
      <c r="G11" s="36" t="n">
        <v>2.4</v>
      </c>
      <c r="H11" s="34" t="s">
        <v>121</v>
      </c>
      <c r="I11" s="34" t="s">
        <v>104</v>
      </c>
      <c r="J11" s="34" t="s">
        <v>122</v>
      </c>
      <c r="K11" s="36" t="s">
        <v>123</v>
      </c>
      <c r="L11" s="34" t="s">
        <v>106</v>
      </c>
      <c r="M11" s="34" t="n">
        <v>100.16</v>
      </c>
      <c r="N11" s="34" t="n">
        <v>115</v>
      </c>
      <c r="O11" s="38" t="s">
        <v>56</v>
      </c>
      <c r="P11" s="40" t="n">
        <v>0.80143</v>
      </c>
      <c r="Q11" s="39"/>
      <c r="R11" s="34" t="s">
        <v>56</v>
      </c>
      <c r="S11" s="34" t="s">
        <v>56</v>
      </c>
      <c r="T11" s="34" t="s">
        <v>56</v>
      </c>
      <c r="U11" s="34" t="s">
        <v>56</v>
      </c>
      <c r="V11" s="34" t="s">
        <v>56</v>
      </c>
      <c r="W11" s="34" t="s">
        <v>65</v>
      </c>
      <c r="X11" s="34"/>
      <c r="AA11" s="1" t="s">
        <v>124</v>
      </c>
      <c r="AB11" s="1" t="n">
        <v>128.21</v>
      </c>
      <c r="AC11" s="1" t="n">
        <v>0.988</v>
      </c>
    </row>
    <row r="12" customFormat="false" ht="14.25" hidden="false" customHeight="true" outlineLevel="0" collapsed="false">
      <c r="A12" s="34" t="s">
        <v>124</v>
      </c>
      <c r="B12" s="34" t="s">
        <v>125</v>
      </c>
      <c r="C12" s="34" t="s">
        <v>126</v>
      </c>
      <c r="D12" s="34" t="s">
        <v>127</v>
      </c>
      <c r="E12" s="35" t="s">
        <v>128</v>
      </c>
      <c r="F12" s="34" t="s">
        <v>129</v>
      </c>
      <c r="G12" s="36" t="n">
        <v>3.2</v>
      </c>
      <c r="H12" s="34" t="s">
        <v>61</v>
      </c>
      <c r="I12" s="41" t="s">
        <v>130</v>
      </c>
      <c r="J12" s="34" t="s">
        <v>131</v>
      </c>
      <c r="K12" s="36" t="s">
        <v>114</v>
      </c>
      <c r="L12" s="34" t="s">
        <v>106</v>
      </c>
      <c r="M12" s="34" t="n">
        <v>128.21</v>
      </c>
      <c r="N12" s="34" t="n">
        <v>173</v>
      </c>
      <c r="O12" s="38" t="s">
        <v>56</v>
      </c>
      <c r="P12" s="32" t="n">
        <v>0.81906</v>
      </c>
      <c r="Q12" s="39"/>
      <c r="R12" s="34" t="s">
        <v>56</v>
      </c>
      <c r="S12" s="34" t="s">
        <v>56</v>
      </c>
      <c r="T12" s="34" t="s">
        <v>56</v>
      </c>
      <c r="U12" s="34" t="s">
        <v>56</v>
      </c>
      <c r="V12" s="34" t="s">
        <v>56</v>
      </c>
      <c r="W12" s="34" t="s">
        <v>65</v>
      </c>
      <c r="X12" s="34"/>
      <c r="AA12" s="1" t="s">
        <v>132</v>
      </c>
      <c r="AB12" s="1" t="n">
        <v>150.22</v>
      </c>
      <c r="AC12" s="1" t="n">
        <v>0.999</v>
      </c>
    </row>
    <row r="13" customFormat="false" ht="14.25" hidden="false" customHeight="true" outlineLevel="0" collapsed="false">
      <c r="A13" s="42" t="s">
        <v>132</v>
      </c>
      <c r="B13" s="42" t="s">
        <v>133</v>
      </c>
      <c r="C13" s="42" t="s">
        <v>56</v>
      </c>
      <c r="D13" s="42" t="s">
        <v>134</v>
      </c>
      <c r="E13" s="42" t="s">
        <v>135</v>
      </c>
      <c r="F13" s="42" t="s">
        <v>136</v>
      </c>
      <c r="G13" s="43" t="n">
        <v>1.2</v>
      </c>
      <c r="H13" s="42" t="s">
        <v>61</v>
      </c>
      <c r="I13" s="42" t="s">
        <v>96</v>
      </c>
      <c r="J13" s="42" t="s">
        <v>137</v>
      </c>
      <c r="K13" s="43" t="n">
        <v>800</v>
      </c>
      <c r="L13" s="42" t="s">
        <v>138</v>
      </c>
      <c r="M13" s="42" t="n">
        <v>150.22</v>
      </c>
      <c r="N13" s="42" t="n">
        <v>233</v>
      </c>
      <c r="O13" s="42" t="s">
        <v>56</v>
      </c>
      <c r="P13" s="44" t="n">
        <v>0.96</v>
      </c>
      <c r="Q13" s="42"/>
      <c r="R13" s="42" t="s">
        <v>56</v>
      </c>
      <c r="S13" s="42" t="s">
        <v>56</v>
      </c>
      <c r="T13" s="42" t="s">
        <v>56</v>
      </c>
      <c r="U13" s="42" t="s">
        <v>56</v>
      </c>
      <c r="V13" s="42" t="s">
        <v>56</v>
      </c>
      <c r="W13" s="42" t="s">
        <v>65</v>
      </c>
      <c r="X13" s="42"/>
      <c r="AA13" s="1" t="s">
        <v>139</v>
      </c>
      <c r="AB13" s="1" t="n">
        <v>150.22</v>
      </c>
      <c r="AC13" s="1" t="n">
        <v>0.992</v>
      </c>
    </row>
    <row r="14" customFormat="false" ht="14.25" hidden="false" customHeight="true" outlineLevel="0" collapsed="false">
      <c r="A14" s="42" t="s">
        <v>139</v>
      </c>
      <c r="B14" s="42" t="s">
        <v>140</v>
      </c>
      <c r="C14" s="42" t="s">
        <v>141</v>
      </c>
      <c r="D14" s="42" t="s">
        <v>142</v>
      </c>
      <c r="E14" s="45" t="s">
        <v>135</v>
      </c>
      <c r="F14" s="46" t="s">
        <v>143</v>
      </c>
      <c r="G14" s="47" t="n">
        <v>1.2</v>
      </c>
      <c r="H14" s="42" t="s">
        <v>61</v>
      </c>
      <c r="I14" s="42" t="s">
        <v>144</v>
      </c>
      <c r="J14" s="42" t="s">
        <v>145</v>
      </c>
      <c r="K14" s="43" t="n">
        <v>1</v>
      </c>
      <c r="L14" s="42" t="s">
        <v>146</v>
      </c>
      <c r="M14" s="42" t="n">
        <v>150.22</v>
      </c>
      <c r="N14" s="42" t="n">
        <v>226</v>
      </c>
      <c r="O14" s="42" t="s">
        <v>56</v>
      </c>
      <c r="P14" s="48" t="n">
        <v>0.96</v>
      </c>
      <c r="Q14" s="42"/>
      <c r="R14" s="42" t="s">
        <v>56</v>
      </c>
      <c r="S14" s="42" t="s">
        <v>56</v>
      </c>
      <c r="T14" s="42" t="s">
        <v>56</v>
      </c>
      <c r="U14" s="42" t="s">
        <v>56</v>
      </c>
      <c r="V14" s="42" t="s">
        <v>56</v>
      </c>
      <c r="W14" s="42" t="s">
        <v>65</v>
      </c>
      <c r="X14" s="42"/>
      <c r="AA14" s="1" t="s">
        <v>147</v>
      </c>
      <c r="AB14" s="1" t="n">
        <v>152.24</v>
      </c>
      <c r="AC14" s="1" t="n">
        <v>0.969</v>
      </c>
    </row>
    <row r="15" customFormat="false" ht="14.25" hidden="false" customHeight="true" outlineLevel="0" collapsed="false">
      <c r="A15" s="42" t="s">
        <v>147</v>
      </c>
      <c r="B15" s="42" t="s">
        <v>148</v>
      </c>
      <c r="C15" s="42" t="s">
        <v>56</v>
      </c>
      <c r="D15" s="42" t="s">
        <v>149</v>
      </c>
      <c r="E15" s="49" t="s">
        <v>150</v>
      </c>
      <c r="F15" s="42" t="s">
        <v>151</v>
      </c>
      <c r="G15" s="43" t="n">
        <v>3.2</v>
      </c>
      <c r="H15" s="50" t="s">
        <v>61</v>
      </c>
      <c r="I15" s="42" t="s">
        <v>152</v>
      </c>
      <c r="J15" s="42" t="s">
        <v>153</v>
      </c>
      <c r="K15" s="43" t="n">
        <v>250</v>
      </c>
      <c r="L15" s="42" t="s">
        <v>138</v>
      </c>
      <c r="M15" s="42" t="n">
        <v>152.24</v>
      </c>
      <c r="N15" s="42" t="n">
        <v>210</v>
      </c>
      <c r="O15" s="42" t="s">
        <v>56</v>
      </c>
      <c r="P15" s="48" t="n">
        <v>0.99</v>
      </c>
      <c r="Q15" s="42"/>
      <c r="R15" s="42" t="s">
        <v>56</v>
      </c>
      <c r="S15" s="42" t="s">
        <v>56</v>
      </c>
      <c r="T15" s="42" t="s">
        <v>56</v>
      </c>
      <c r="U15" s="42" t="s">
        <v>56</v>
      </c>
      <c r="V15" s="42" t="s">
        <v>56</v>
      </c>
      <c r="W15" s="42" t="s">
        <v>65</v>
      </c>
      <c r="X15" s="42"/>
      <c r="AA15" s="1" t="s">
        <v>154</v>
      </c>
      <c r="AB15" s="1" t="n">
        <v>154.25</v>
      </c>
      <c r="AC15" s="1" t="n">
        <v>0.989</v>
      </c>
    </row>
    <row r="16" customFormat="false" ht="14.25" hidden="false" customHeight="true" outlineLevel="0" collapsed="false">
      <c r="A16" s="42" t="s">
        <v>154</v>
      </c>
      <c r="B16" s="42" t="s">
        <v>155</v>
      </c>
      <c r="C16" s="42" t="s">
        <v>56</v>
      </c>
      <c r="D16" s="42" t="s">
        <v>156</v>
      </c>
      <c r="E16" s="49" t="s">
        <v>157</v>
      </c>
      <c r="F16" s="42" t="s">
        <v>158</v>
      </c>
      <c r="G16" s="43" t="n">
        <v>2.3</v>
      </c>
      <c r="H16" s="50" t="s">
        <v>61</v>
      </c>
      <c r="I16" s="42" t="s">
        <v>159</v>
      </c>
      <c r="J16" s="42" t="s">
        <v>160</v>
      </c>
      <c r="K16" s="43" t="n">
        <v>700</v>
      </c>
      <c r="L16" s="42" t="s">
        <v>138</v>
      </c>
      <c r="M16" s="42" t="n">
        <v>154.25</v>
      </c>
      <c r="N16" s="42" t="n">
        <v>229</v>
      </c>
      <c r="O16" s="42" t="s">
        <v>56</v>
      </c>
      <c r="P16" s="42" t="n">
        <v>0.889</v>
      </c>
      <c r="Q16" s="42"/>
      <c r="R16" s="42" t="s">
        <v>56</v>
      </c>
      <c r="S16" s="42" t="s">
        <v>56</v>
      </c>
      <c r="T16" s="42" t="s">
        <v>56</v>
      </c>
      <c r="U16" s="42" t="s">
        <v>56</v>
      </c>
      <c r="V16" s="42" t="s">
        <v>56</v>
      </c>
      <c r="W16" s="42" t="s">
        <v>65</v>
      </c>
      <c r="X16" s="42"/>
      <c r="AA16" s="1" t="s">
        <v>161</v>
      </c>
      <c r="AB16" s="1" t="n">
        <v>150.22</v>
      </c>
      <c r="AC16" s="1" t="n">
        <v>0.997</v>
      </c>
    </row>
    <row r="17" customFormat="false" ht="14.25" hidden="false" customHeight="true" outlineLevel="0" collapsed="false">
      <c r="A17" s="42" t="s">
        <v>161</v>
      </c>
      <c r="B17" s="42" t="s">
        <v>162</v>
      </c>
      <c r="C17" s="42" t="s">
        <v>56</v>
      </c>
      <c r="D17" s="42" t="s">
        <v>163</v>
      </c>
      <c r="E17" s="49" t="s">
        <v>135</v>
      </c>
      <c r="F17" s="42" t="s">
        <v>164</v>
      </c>
      <c r="G17" s="43" t="n">
        <v>2.1</v>
      </c>
      <c r="H17" s="50" t="s">
        <v>61</v>
      </c>
      <c r="I17" s="42" t="s">
        <v>112</v>
      </c>
      <c r="J17" s="42" t="s">
        <v>165</v>
      </c>
      <c r="K17" s="43" t="s">
        <v>166</v>
      </c>
      <c r="L17" s="42" t="s">
        <v>106</v>
      </c>
      <c r="M17" s="42" t="n">
        <v>150.22</v>
      </c>
      <c r="N17" s="42" t="n">
        <v>239</v>
      </c>
      <c r="O17" s="42" t="s">
        <v>56</v>
      </c>
      <c r="P17" s="42" t="n">
        <v>0.977</v>
      </c>
      <c r="Q17" s="42"/>
      <c r="R17" s="42" t="s">
        <v>56</v>
      </c>
      <c r="S17" s="42" t="s">
        <v>56</v>
      </c>
      <c r="T17" s="42" t="s">
        <v>56</v>
      </c>
      <c r="U17" s="42" t="s">
        <v>56</v>
      </c>
      <c r="V17" s="42" t="s">
        <v>56</v>
      </c>
      <c r="W17" s="42" t="s">
        <v>65</v>
      </c>
      <c r="X17" s="42"/>
      <c r="AA17" s="1" t="s">
        <v>167</v>
      </c>
      <c r="AB17" s="1" t="n">
        <v>164.2</v>
      </c>
      <c r="AC17" s="1" t="n">
        <v>0.992</v>
      </c>
    </row>
    <row r="18" customFormat="false" ht="14.25" hidden="false" customHeight="true" outlineLevel="0" collapsed="false">
      <c r="A18" s="42" t="s">
        <v>167</v>
      </c>
      <c r="B18" s="42" t="s">
        <v>168</v>
      </c>
      <c r="C18" s="42" t="s">
        <v>56</v>
      </c>
      <c r="D18" s="42" t="s">
        <v>169</v>
      </c>
      <c r="E18" s="45" t="s">
        <v>170</v>
      </c>
      <c r="F18" s="42" t="s">
        <v>171</v>
      </c>
      <c r="G18" s="43" t="n">
        <v>1.3</v>
      </c>
      <c r="H18" s="50" t="s">
        <v>61</v>
      </c>
      <c r="I18" s="42" t="s">
        <v>144</v>
      </c>
      <c r="J18" s="42" t="s">
        <v>172</v>
      </c>
      <c r="K18" s="43" t="s">
        <v>173</v>
      </c>
      <c r="L18" s="42" t="s">
        <v>106</v>
      </c>
      <c r="M18" s="42" t="n">
        <v>164.2</v>
      </c>
      <c r="N18" s="42" t="n">
        <v>215</v>
      </c>
      <c r="O18" s="42" t="s">
        <v>56</v>
      </c>
      <c r="P18" s="48" t="n">
        <v>1.06</v>
      </c>
      <c r="Q18" s="42"/>
      <c r="R18" s="42" t="s">
        <v>56</v>
      </c>
      <c r="S18" s="42" t="s">
        <v>56</v>
      </c>
      <c r="T18" s="42" t="s">
        <v>56</v>
      </c>
      <c r="U18" s="42" t="s">
        <v>56</v>
      </c>
      <c r="V18" s="42" t="s">
        <v>56</v>
      </c>
      <c r="W18" s="42" t="s">
        <v>65</v>
      </c>
      <c r="X18" s="42"/>
    </row>
    <row r="19" customFormat="false" ht="14.25" hidden="false" customHeight="true" outlineLevel="0" collapsed="false">
      <c r="A19" s="51" t="s">
        <v>174</v>
      </c>
      <c r="B19" s="51" t="s">
        <v>175</v>
      </c>
      <c r="C19" s="51" t="s">
        <v>56</v>
      </c>
      <c r="D19" s="51" t="s">
        <v>56</v>
      </c>
      <c r="E19" s="51" t="s">
        <v>56</v>
      </c>
      <c r="F19" s="52"/>
      <c r="G19" s="53" t="s">
        <v>56</v>
      </c>
      <c r="H19" s="51" t="s">
        <v>56</v>
      </c>
      <c r="I19" s="51" t="s">
        <v>176</v>
      </c>
      <c r="J19" s="51" t="s">
        <v>56</v>
      </c>
      <c r="K19" s="54" t="s">
        <v>56</v>
      </c>
      <c r="L19" s="51" t="s">
        <v>56</v>
      </c>
      <c r="M19" s="51" t="n">
        <v>18.02</v>
      </c>
      <c r="N19" s="51" t="n">
        <v>100</v>
      </c>
      <c r="O19" s="51" t="s">
        <v>56</v>
      </c>
      <c r="P19" s="51"/>
      <c r="Q19" s="51"/>
      <c r="R19" s="51" t="s">
        <v>56</v>
      </c>
      <c r="S19" s="51" t="s">
        <v>56</v>
      </c>
      <c r="T19" s="51" t="s">
        <v>56</v>
      </c>
      <c r="U19" s="51" t="s">
        <v>56</v>
      </c>
      <c r="V19" s="51" t="s">
        <v>56</v>
      </c>
      <c r="W19" s="51" t="s">
        <v>65</v>
      </c>
      <c r="X19" s="51"/>
    </row>
    <row r="20" customFormat="false" ht="14.25" hidden="false" customHeight="true" outlineLevel="0" collapsed="false"/>
    <row r="21" customFormat="false" ht="14.25" hidden="false" customHeight="true" outlineLevel="0" collapsed="false">
      <c r="A21" s="55"/>
      <c r="B21" s="1" t="s">
        <v>177</v>
      </c>
    </row>
    <row r="22" customFormat="false" ht="15" hidden="false" customHeight="true" outlineLevel="0" collapsed="false">
      <c r="A22" s="56"/>
      <c r="B22" s="57" t="s">
        <v>178</v>
      </c>
    </row>
    <row r="23" customFormat="false" ht="14.25" hidden="false" customHeight="true" outlineLevel="0" collapsed="false">
      <c r="A23" s="58"/>
      <c r="B23" s="1" t="s">
        <v>179</v>
      </c>
    </row>
    <row r="24" customFormat="false" ht="15" hidden="false" customHeight="true" outlineLevel="0" collapsed="false">
      <c r="A24" s="59"/>
      <c r="B24" s="57" t="s">
        <v>180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0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7.25"/>
    <col collapsed="false" customWidth="true" hidden="false" outlineLevel="0" max="7" min="7" style="1" width="14"/>
    <col collapsed="false" customWidth="true" hidden="false" outlineLevel="0" max="9" min="8" style="1" width="10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60" t="s">
        <v>181</v>
      </c>
      <c r="C2" s="61" t="s">
        <v>182</v>
      </c>
      <c r="D2" s="60" t="s">
        <v>183</v>
      </c>
      <c r="E2" s="60" t="s">
        <v>184</v>
      </c>
      <c r="F2" s="61" t="s">
        <v>185</v>
      </c>
      <c r="G2" s="62" t="s">
        <v>186</v>
      </c>
      <c r="H2" s="60" t="s">
        <v>187</v>
      </c>
      <c r="I2" s="60" t="s">
        <v>188</v>
      </c>
      <c r="J2" s="60" t="s">
        <v>189</v>
      </c>
    </row>
    <row r="3" customFormat="false" ht="15" hidden="false" customHeight="true" outlineLevel="0" collapsed="false">
      <c r="B3" s="63" t="s">
        <v>190</v>
      </c>
      <c r="C3" s="64"/>
      <c r="D3" s="64"/>
      <c r="E3" s="64"/>
      <c r="F3" s="64"/>
      <c r="G3" s="65"/>
      <c r="H3" s="64"/>
      <c r="I3" s="64"/>
      <c r="J3" s="64"/>
      <c r="L3" s="1" t="s">
        <v>191</v>
      </c>
      <c r="M3" s="1" t="s">
        <v>192</v>
      </c>
    </row>
    <row r="4" customFormat="false" ht="14.25" hidden="false" customHeight="true" outlineLevel="0" collapsed="false">
      <c r="B4" s="60" t="s">
        <v>67</v>
      </c>
      <c r="C4" s="60"/>
      <c r="D4" s="60"/>
      <c r="E4" s="60"/>
      <c r="F4" s="60"/>
      <c r="G4" s="62"/>
      <c r="H4" s="60"/>
      <c r="I4" s="60"/>
      <c r="J4" s="60"/>
      <c r="K4" s="1" t="n">
        <v>1</v>
      </c>
      <c r="L4" s="1" t="s">
        <v>133</v>
      </c>
      <c r="M4" s="1" t="s">
        <v>193</v>
      </c>
      <c r="N4" s="1" t="n">
        <v>1</v>
      </c>
    </row>
    <row r="5" customFormat="false" ht="15" hidden="false" customHeight="true" outlineLevel="0" collapsed="false">
      <c r="B5" s="63" t="s">
        <v>75</v>
      </c>
      <c r="C5" s="64"/>
      <c r="D5" s="64"/>
      <c r="E5" s="64"/>
      <c r="F5" s="64"/>
      <c r="G5" s="65"/>
      <c r="H5" s="64"/>
      <c r="I5" s="64"/>
      <c r="J5" s="64"/>
      <c r="K5" s="1" t="n">
        <v>2</v>
      </c>
      <c r="L5" s="1" t="s">
        <v>194</v>
      </c>
      <c r="M5" s="1" t="s">
        <v>155</v>
      </c>
      <c r="N5" s="1" t="n">
        <v>2</v>
      </c>
    </row>
    <row r="6" customFormat="false" ht="14.25" hidden="false" customHeight="true" outlineLevel="0" collapsed="false">
      <c r="B6" s="57"/>
      <c r="M6" s="1" t="s">
        <v>162</v>
      </c>
      <c r="N6" s="1" t="n">
        <v>3</v>
      </c>
    </row>
    <row r="7" customFormat="false" ht="14.25" hidden="false" customHeight="true" outlineLevel="0" collapsed="false">
      <c r="B7" s="60" t="s">
        <v>195</v>
      </c>
      <c r="C7" s="61" t="s">
        <v>182</v>
      </c>
      <c r="D7" s="60" t="s">
        <v>183</v>
      </c>
      <c r="E7" s="60" t="s">
        <v>184</v>
      </c>
      <c r="F7" s="61" t="s">
        <v>185</v>
      </c>
      <c r="G7" s="62" t="s">
        <v>186</v>
      </c>
      <c r="H7" s="60" t="s">
        <v>187</v>
      </c>
      <c r="I7" s="60" t="s">
        <v>188</v>
      </c>
      <c r="J7" s="60" t="s">
        <v>189</v>
      </c>
      <c r="M7" s="1" t="s">
        <v>168</v>
      </c>
      <c r="N7" s="1" t="n">
        <v>4</v>
      </c>
    </row>
    <row r="8" customFormat="false" ht="15" hidden="false" customHeight="true" outlineLevel="0" collapsed="false">
      <c r="B8" s="63" t="s">
        <v>190</v>
      </c>
      <c r="C8" s="64"/>
      <c r="D8" s="64"/>
      <c r="E8" s="64"/>
      <c r="F8" s="64"/>
      <c r="G8" s="65"/>
      <c r="H8" s="64"/>
      <c r="I8" s="64"/>
      <c r="J8" s="64"/>
    </row>
    <row r="9" customFormat="false" ht="14.25" hidden="false" customHeight="true" outlineLevel="0" collapsed="false">
      <c r="B9" s="60" t="s">
        <v>67</v>
      </c>
      <c r="C9" s="60"/>
      <c r="D9" s="60"/>
      <c r="E9" s="60"/>
      <c r="F9" s="60"/>
      <c r="G9" s="62"/>
      <c r="H9" s="60"/>
      <c r="I9" s="60"/>
      <c r="J9" s="60"/>
    </row>
    <row r="10" customFormat="false" ht="15" hidden="false" customHeight="true" outlineLevel="0" collapsed="false">
      <c r="B10" s="63" t="s">
        <v>75</v>
      </c>
      <c r="C10" s="64"/>
      <c r="D10" s="64"/>
      <c r="E10" s="64"/>
      <c r="F10" s="64"/>
      <c r="G10" s="65"/>
      <c r="H10" s="64"/>
      <c r="I10" s="64"/>
      <c r="J10" s="64"/>
    </row>
    <row r="11" customFormat="false" ht="14.25" hidden="false" customHeight="true" outlineLevel="0" collapsed="false"/>
    <row r="12" customFormat="false" ht="14.25" hidden="false" customHeight="true" outlineLevel="0" collapsed="false">
      <c r="C12" s="1" t="s">
        <v>196</v>
      </c>
    </row>
    <row r="13" customFormat="false" ht="15" hidden="false" customHeight="true" outlineLevel="0" collapsed="false"/>
    <row r="14" customFormat="false" ht="20.25" hidden="false" customHeight="true" outlineLevel="0" collapsed="false">
      <c r="B14" s="66" t="s">
        <v>197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 customFormat="false" ht="20.25" hidden="false" customHeight="true" outlineLevel="0" collapsed="false">
      <c r="B15" s="67" t="s">
        <v>198</v>
      </c>
      <c r="C15" s="68" t="n">
        <v>10</v>
      </c>
      <c r="D15" s="67" t="s">
        <v>138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 customFormat="false" ht="44.25" hidden="false" customHeight="true" outlineLevel="0" collapsed="false">
      <c r="B16" s="69" t="s">
        <v>199</v>
      </c>
      <c r="C16" s="69" t="s">
        <v>191</v>
      </c>
      <c r="D16" s="69" t="s">
        <v>200</v>
      </c>
      <c r="E16" s="69" t="s">
        <v>201</v>
      </c>
      <c r="F16" s="69" t="s">
        <v>202</v>
      </c>
      <c r="G16" s="69" t="s">
        <v>203</v>
      </c>
      <c r="H16" s="69" t="s">
        <v>192</v>
      </c>
      <c r="I16" s="69" t="s">
        <v>204</v>
      </c>
      <c r="J16" s="69" t="s">
        <v>205</v>
      </c>
      <c r="K16" s="69" t="s">
        <v>206</v>
      </c>
      <c r="L16" s="69" t="s">
        <v>207</v>
      </c>
      <c r="M16" s="69" t="s">
        <v>208</v>
      </c>
      <c r="N16" s="67"/>
    </row>
    <row r="17" customFormat="false" ht="30" hidden="false" customHeight="true" outlineLevel="0" collapsed="false">
      <c r="B17" s="70" t="s">
        <v>182</v>
      </c>
      <c r="C17" s="70" t="s">
        <v>132</v>
      </c>
      <c r="D17" s="71" t="n">
        <f aca="false">VLOOKUP(C17,Componentes!$AA$3:$AC$17,2,FALSE())</f>
        <v>150.22</v>
      </c>
      <c r="E17" s="72" t="n">
        <f aca="false">VLOOKUP(C17,Componentes!$AA$3:$AC$17,3,FALSE())</f>
        <v>0.999</v>
      </c>
      <c r="F17" s="73" t="n">
        <f aca="false">$C$15*D17/(D17+I17)/E17</f>
        <v>5.00500500500501</v>
      </c>
      <c r="G17" s="74" t="n">
        <v>5.0064</v>
      </c>
      <c r="H17" s="70" t="s">
        <v>139</v>
      </c>
      <c r="I17" s="71" t="n">
        <f aca="false">VLOOKUP(H17,Componentes!$AA$3:$AC$17,2,FALSE())</f>
        <v>150.22</v>
      </c>
      <c r="J17" s="72" t="n">
        <f aca="false">VLOOKUP(H17,Componentes!$AA$3:$AC$17,3,FALSE())</f>
        <v>0.992</v>
      </c>
      <c r="K17" s="73" t="n">
        <f aca="false">$C$15*I17/(D17+I17)/J17</f>
        <v>5.04032258064516</v>
      </c>
      <c r="L17" s="74" t="n">
        <v>5.0469</v>
      </c>
      <c r="M17" s="75" t="n">
        <f aca="false">IF(AND(G17&lt;&gt;"",L17&lt;&gt;""),(G17*E17/D17)/(L17*J17/I17),"")</f>
        <v>0.998975097456823</v>
      </c>
      <c r="N17" s="67"/>
    </row>
    <row r="18" customFormat="false" ht="30" hidden="false" customHeight="true" outlineLevel="0" collapsed="false">
      <c r="B18" s="70" t="s">
        <v>183</v>
      </c>
      <c r="C18" s="70" t="s">
        <v>132</v>
      </c>
      <c r="D18" s="71" t="n">
        <f aca="false">VLOOKUP(C18,Componentes!$AA$3:$AC$17,2,FALSE())</f>
        <v>150.22</v>
      </c>
      <c r="E18" s="72" t="n">
        <f aca="false">VLOOKUP(C18,Componentes!$AA$3:$AC$17,3,FALSE())</f>
        <v>0.999</v>
      </c>
      <c r="F18" s="73" t="n">
        <f aca="false">$C$15*D18/(D18+I18)/E18</f>
        <v>4.93875818209907</v>
      </c>
      <c r="G18" s="74" t="n">
        <v>4.95</v>
      </c>
      <c r="H18" s="70" t="s">
        <v>154</v>
      </c>
      <c r="I18" s="71" t="n">
        <f aca="false">VLOOKUP(H18,Componentes!$AA$3:$AC$17,2,FALSE())</f>
        <v>154.25</v>
      </c>
      <c r="J18" s="72" t="n">
        <f aca="false">VLOOKUP(H18,Componentes!$AA$3:$AC$17,3,FALSE())</f>
        <v>0.989</v>
      </c>
      <c r="K18" s="73" t="n">
        <f aca="false">$C$15*I18/(D18+I18)/J18</f>
        <v>5.12252838835493</v>
      </c>
      <c r="L18" s="74" t="n">
        <v>5.1232</v>
      </c>
      <c r="M18" s="75" t="n">
        <f aca="false">IF(AND(G18&lt;&gt;"",L18&lt;&gt;""),(G18*E18/D18)/(L18*J18/I18),"")</f>
        <v>1.00214485322772</v>
      </c>
      <c r="N18" s="67"/>
    </row>
    <row r="19" customFormat="false" ht="30" hidden="false" customHeight="true" outlineLevel="0" collapsed="false">
      <c r="B19" s="70" t="s">
        <v>209</v>
      </c>
      <c r="C19" s="70" t="s">
        <v>132</v>
      </c>
      <c r="D19" s="71" t="n">
        <f aca="false">VLOOKUP(C19,Componentes!$AA$3:$AC$17,2,FALSE())</f>
        <v>150.22</v>
      </c>
      <c r="E19" s="72" t="n">
        <f aca="false">VLOOKUP(C19,Componentes!$AA$3:$AC$17,3,FALSE())</f>
        <v>0.999</v>
      </c>
      <c r="F19" s="73" t="n">
        <f aca="false">$C$15*D19/(D19+I19)/E19</f>
        <v>5.00500500500501</v>
      </c>
      <c r="G19" s="74" t="n">
        <v>5.0063</v>
      </c>
      <c r="H19" s="70" t="s">
        <v>161</v>
      </c>
      <c r="I19" s="71" t="n">
        <f aca="false">VLOOKUP(H19,Componentes!$AA$3:$AC$17,2,FALSE())</f>
        <v>150.22</v>
      </c>
      <c r="J19" s="72" t="n">
        <f aca="false">VLOOKUP(H19,Componentes!$AA$3:$AC$17,3,FALSE())</f>
        <v>0.997</v>
      </c>
      <c r="K19" s="73" t="n">
        <f aca="false">$C$15*I19/(D19+I19)/J19</f>
        <v>5.01504513540622</v>
      </c>
      <c r="L19" s="74" t="n">
        <v>5.0156</v>
      </c>
      <c r="M19" s="75" t="n">
        <f aca="false">IF(AND(G19&lt;&gt;"",L19&lt;&gt;""),(G19*E19/D19)/(L19*J19/I19),"")</f>
        <v>1.00014808361603</v>
      </c>
      <c r="N19" s="67"/>
    </row>
    <row r="20" customFormat="false" ht="30" hidden="false" customHeight="true" outlineLevel="0" collapsed="false">
      <c r="B20" s="70" t="s">
        <v>185</v>
      </c>
      <c r="C20" s="70" t="s">
        <v>132</v>
      </c>
      <c r="D20" s="71" t="n">
        <f aca="false">VLOOKUP(C20,Componentes!$AA$3:$AC$17,2,FALSE())</f>
        <v>150.22</v>
      </c>
      <c r="E20" s="72" t="n">
        <f aca="false">VLOOKUP(C20,Componentes!$AA$3:$AC$17,3,FALSE())</f>
        <v>0.999</v>
      </c>
      <c r="F20" s="73" t="n">
        <f aca="false">$C$15*D20/(D20+I20)/E20</f>
        <v>4.78246836620986</v>
      </c>
      <c r="G20" s="74" t="n">
        <v>4.7931</v>
      </c>
      <c r="H20" s="70" t="s">
        <v>167</v>
      </c>
      <c r="I20" s="71" t="n">
        <f aca="false">VLOOKUP(H20,Componentes!$AA$3:$AC$17,2,FALSE())</f>
        <v>164.2</v>
      </c>
      <c r="J20" s="72" t="n">
        <f aca="false">VLOOKUP(H20,Componentes!$AA$3:$AC$17,3,FALSE())</f>
        <v>0.992</v>
      </c>
      <c r="K20" s="73" t="n">
        <f aca="false">$C$15*I20/(D20+I20)/J20</f>
        <v>5.26442953846406</v>
      </c>
      <c r="L20" s="74" t="n">
        <v>5.2668</v>
      </c>
      <c r="M20" s="75" t="n">
        <f aca="false">IF(AND(G20&lt;&gt;"",L20&lt;&gt;""),(G20*E20/D20)/(L20*J20/I20),"")</f>
        <v>1.00177196642398</v>
      </c>
      <c r="N20" s="67"/>
    </row>
    <row r="21" customFormat="false" ht="30" hidden="false" customHeight="true" outlineLevel="0" collapsed="false">
      <c r="B21" s="70" t="s">
        <v>210</v>
      </c>
      <c r="C21" s="70" t="s">
        <v>132</v>
      </c>
      <c r="D21" s="71" t="n">
        <f aca="false">VLOOKUP(C21,Componentes!$AA$3:$AC$17,2,FALSE())</f>
        <v>150.22</v>
      </c>
      <c r="E21" s="72" t="n">
        <f aca="false">VLOOKUP(C21,Componentes!$AA$3:$AC$17,3,FALSE())</f>
        <v>0.999</v>
      </c>
      <c r="F21" s="73" t="n">
        <f aca="false">$C$15*D21/(D21+I21)/E21</f>
        <v>4.97157873339848</v>
      </c>
      <c r="G21" s="74" t="n">
        <f aca="false">1.6711+1.6663+1.6953</f>
        <v>5.0327</v>
      </c>
      <c r="H21" s="70" t="s">
        <v>147</v>
      </c>
      <c r="I21" s="71" t="n">
        <f aca="false">VLOOKUP(H21,Componentes!$AA$3:$AC$17,2,FALSE())</f>
        <v>152.24</v>
      </c>
      <c r="J21" s="72" t="n">
        <f aca="false">VLOOKUP(H21,Componentes!$AA$3:$AC$17,3,FALSE())</f>
        <v>0.969</v>
      </c>
      <c r="K21" s="73" t="n">
        <f aca="false">$C$15*I21/(D21+I21)/J21</f>
        <v>5.19441986102675</v>
      </c>
      <c r="L21" s="74" t="n">
        <f aca="false">1.7344+1.7354+1.7709</f>
        <v>5.2407</v>
      </c>
      <c r="M21" s="75" t="n">
        <f aca="false">IF(AND(G21&lt;&gt;"",L21&lt;&gt;""),(G21*E21/D21)/(L21*J21/I21),"")</f>
        <v>1.00335466003125</v>
      </c>
      <c r="N21" s="67"/>
    </row>
    <row r="22" customFormat="false" ht="30" hidden="false" customHeight="true" outlineLevel="0" collapsed="false">
      <c r="B22" s="70" t="s">
        <v>186</v>
      </c>
      <c r="C22" s="70" t="s">
        <v>147</v>
      </c>
      <c r="D22" s="71" t="n">
        <f aca="false">VLOOKUP(C22,Componentes!$AA$3:$AC$17,2,FALSE())</f>
        <v>152.24</v>
      </c>
      <c r="E22" s="72" t="n">
        <f aca="false">VLOOKUP(C22,Componentes!$AA$3:$AC$17,3,FALSE())</f>
        <v>0.969</v>
      </c>
      <c r="F22" s="73" t="n">
        <f aca="false">$C$15*D22/(D22+I22)/E22</f>
        <v>5.19441986102675</v>
      </c>
      <c r="G22" s="74" t="n">
        <v>5.2014</v>
      </c>
      <c r="H22" s="70" t="s">
        <v>139</v>
      </c>
      <c r="I22" s="71" t="n">
        <f aca="false">VLOOKUP(H22,Componentes!$AA$3:$AC$17,2,FALSE())</f>
        <v>150.22</v>
      </c>
      <c r="J22" s="72" t="n">
        <f aca="false">VLOOKUP(H22,Componentes!$AA$3:$AC$17,3,FALSE())</f>
        <v>0.992</v>
      </c>
      <c r="K22" s="73" t="n">
        <f aca="false">$C$15*I22/(D22+I22)/J22</f>
        <v>5.00666043817044</v>
      </c>
      <c r="L22" s="74" t="n">
        <v>5.0074</v>
      </c>
      <c r="M22" s="75" t="n">
        <f aca="false">IF(AND(G22&lt;&gt;"",L22&lt;&gt;""),(G22*E22/D22)/(L22*J22/I22),"")</f>
        <v>1.00119588418278</v>
      </c>
      <c r="N22" s="67"/>
    </row>
    <row r="23" customFormat="false" ht="30" hidden="false" customHeight="true" outlineLevel="0" collapsed="false">
      <c r="B23" s="70" t="s">
        <v>187</v>
      </c>
      <c r="C23" s="70" t="s">
        <v>147</v>
      </c>
      <c r="D23" s="71" t="n">
        <f aca="false">VLOOKUP(C23,Componentes!$AA$3:$AC$17,2,FALSE())</f>
        <v>152.24</v>
      </c>
      <c r="E23" s="72" t="n">
        <f aca="false">VLOOKUP(C23,Componentes!$AA$3:$AC$17,3,FALSE())</f>
        <v>0.969</v>
      </c>
      <c r="F23" s="73" t="n">
        <f aca="false">$C$15*D23/(D23+I23)/E23</f>
        <v>5.12611906152289</v>
      </c>
      <c r="G23" s="74" t="n">
        <v>5.1236</v>
      </c>
      <c r="H23" s="70" t="s">
        <v>154</v>
      </c>
      <c r="I23" s="71" t="n">
        <f aca="false">VLOOKUP(H23,Componentes!$AA$3:$AC$17,2,FALSE())</f>
        <v>154.25</v>
      </c>
      <c r="J23" s="72" t="n">
        <f aca="false">VLOOKUP(H23,Componentes!$AA$3:$AC$17,3,FALSE())</f>
        <v>0.989</v>
      </c>
      <c r="K23" s="73" t="n">
        <f aca="false">$C$15*I23/(D23+I23)/J23</f>
        <v>5.08876706712267</v>
      </c>
      <c r="L23" s="74" t="n">
        <v>5.084</v>
      </c>
      <c r="M23" s="75" t="n">
        <f aca="false">IF(AND(G23&lt;&gt;"",L23&lt;&gt;""),(G23*E23/D23)/(L23*J23/I23),"")</f>
        <v>1.00044578304504</v>
      </c>
      <c r="N23" s="67"/>
    </row>
    <row r="24" customFormat="false" ht="30" hidden="false" customHeight="true" outlineLevel="0" collapsed="false">
      <c r="B24" s="70" t="s">
        <v>188</v>
      </c>
      <c r="C24" s="70" t="s">
        <v>147</v>
      </c>
      <c r="D24" s="71" t="n">
        <f aca="false">VLOOKUP(C24,Componentes!$AA$3:$AC$17,2,FALSE())</f>
        <v>152.24</v>
      </c>
      <c r="E24" s="72" t="n">
        <f aca="false">VLOOKUP(C24,Componentes!$AA$3:$AC$17,3,FALSE())</f>
        <v>0.969</v>
      </c>
      <c r="F24" s="73" t="n">
        <f aca="false">$C$15*D24/(D24+I24)/E24</f>
        <v>5.19441986102675</v>
      </c>
      <c r="G24" s="74" t="n">
        <v>5.1992</v>
      </c>
      <c r="H24" s="70" t="s">
        <v>161</v>
      </c>
      <c r="I24" s="71" t="n">
        <f aca="false">VLOOKUP(H24,Componentes!$AA$3:$AC$17,2,FALSE())</f>
        <v>150.22</v>
      </c>
      <c r="J24" s="72" t="n">
        <f aca="false">VLOOKUP(H24,Componentes!$AA$3:$AC$17,3,FALSE())</f>
        <v>0.997</v>
      </c>
      <c r="K24" s="73" t="n">
        <f aca="false">$C$15*I24/(D24+I24)/J24</f>
        <v>4.98155181009537</v>
      </c>
      <c r="L24" s="74" t="n">
        <v>4.9816</v>
      </c>
      <c r="M24" s="75" t="n">
        <f aca="false">IF(AND(G24&lt;&gt;"",L24&lt;&gt;""),(G24*E24/D24)/(L24*J24/I24),"")</f>
        <v>1.00091056253137</v>
      </c>
      <c r="N24" s="67"/>
    </row>
    <row r="25" customFormat="false" ht="30" hidden="false" customHeight="true" outlineLevel="0" collapsed="false">
      <c r="B25" s="70" t="s">
        <v>189</v>
      </c>
      <c r="C25" s="70" t="s">
        <v>147</v>
      </c>
      <c r="D25" s="71" t="n">
        <f aca="false">VLOOKUP(C25,Componentes!$AA$3:$AC$17,2,FALSE())</f>
        <v>152.24</v>
      </c>
      <c r="E25" s="72" t="n">
        <f aca="false">VLOOKUP(C25,Componentes!$AA$3:$AC$17,3,FALSE())</f>
        <v>0.969</v>
      </c>
      <c r="F25" s="73" t="n">
        <f aca="false">$C$15*D25/(D25+I25)/E25</f>
        <v>4.96493563129235</v>
      </c>
      <c r="G25" s="74" t="n">
        <v>4.9655</v>
      </c>
      <c r="H25" s="70" t="s">
        <v>167</v>
      </c>
      <c r="I25" s="71" t="n">
        <f aca="false">VLOOKUP(H25,Componentes!$AA$3:$AC$17,2,FALSE())</f>
        <v>164.2</v>
      </c>
      <c r="J25" s="72" t="n">
        <f aca="false">VLOOKUP(H25,Componentes!$AA$3:$AC$17,3,FALSE())</f>
        <v>0.992</v>
      </c>
      <c r="K25" s="73" t="n">
        <f aca="false">$C$15*I25/(D25+I25)/J25</f>
        <v>5.2308239649977</v>
      </c>
      <c r="L25" s="74" t="n">
        <v>5.2307</v>
      </c>
      <c r="M25" s="75" t="n">
        <f aca="false">IF(AND(G25&lt;&gt;"",L25&lt;&gt;""),(G25*E25/D25)/(L25*J25/I25),"")</f>
        <v>1.00013737309956</v>
      </c>
      <c r="N25" s="67"/>
    </row>
    <row r="26" customFormat="false" ht="20.25" hidden="false" customHeight="true" outlineLevel="0" collapsed="false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customFormat="false" ht="20.25" hidden="false" customHeight="true" outlineLevel="0" collapsed="false">
      <c r="B27" s="76" t="s">
        <v>211</v>
      </c>
      <c r="C27" s="67"/>
      <c r="D27" s="67"/>
      <c r="E27" s="76" t="s">
        <v>212</v>
      </c>
      <c r="F27" s="67"/>
      <c r="G27" s="67"/>
      <c r="H27" s="67"/>
      <c r="I27" s="67"/>
      <c r="J27" s="67"/>
      <c r="K27" s="67"/>
      <c r="L27" s="67"/>
      <c r="M27" s="67"/>
      <c r="N27" s="67"/>
    </row>
    <row r="28" customFormat="false" ht="12.75" hidden="false" customHeight="true" outlineLevel="0" collapsed="false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</sheetData>
  <printOptions headings="false" gridLines="false" gridLinesSet="true" horizontalCentered="true" verticalCentered="false"/>
  <pageMargins left="0.7" right="0.7" top="1.14375" bottom="1.143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5"/>
    <col collapsed="false" customWidth="true" hidden="false" outlineLevel="0" max="6" min="6" style="1" width="10"/>
    <col collapsed="false" customWidth="true" hidden="false" outlineLevel="0" max="17" min="7" style="1" width="11"/>
    <col collapsed="false" customWidth="true" hidden="false" outlineLevel="0" max="20" min="18" style="1" width="9"/>
    <col collapsed="false" customWidth="true" hidden="false" outlineLevel="0" max="21" min="21" style="1" width="22"/>
  </cols>
  <sheetData>
    <row r="1" customFormat="false" ht="15.75" hidden="false" customHeight="true" outlineLevel="0" collapsed="false">
      <c r="A1" s="77" t="s">
        <v>213</v>
      </c>
    </row>
    <row r="2" customFormat="false" ht="15" hidden="false" customHeight="true" outlineLevel="0" collapsed="false">
      <c r="A2" s="78" t="s">
        <v>214</v>
      </c>
    </row>
    <row r="4" customFormat="false" ht="15" hidden="false" customHeight="true" outlineLevel="0" collapsed="false">
      <c r="A4" s="79" t="s">
        <v>215</v>
      </c>
      <c r="B4" s="80" t="n">
        <f aca="false">Componentes!P4</f>
        <v>0.94498</v>
      </c>
      <c r="C4" s="78" t="s">
        <v>67</v>
      </c>
    </row>
    <row r="5" customFormat="false" ht="15" hidden="false" customHeight="true" outlineLevel="0" collapsed="false">
      <c r="A5" s="79" t="s">
        <v>216</v>
      </c>
      <c r="B5" s="81" t="n">
        <v>0.997</v>
      </c>
    </row>
    <row r="7" customFormat="false" ht="15" hidden="false" customHeight="true" outlineLevel="0" collapsed="false">
      <c r="A7" s="82"/>
      <c r="B7" s="83" t="s">
        <v>217</v>
      </c>
      <c r="C7" s="84"/>
      <c r="D7" s="84"/>
      <c r="E7" s="85"/>
      <c r="F7" s="83" t="s">
        <v>218</v>
      </c>
      <c r="G7" s="84"/>
      <c r="H7" s="84"/>
      <c r="I7" s="86"/>
      <c r="J7" s="83" t="s">
        <v>219</v>
      </c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</row>
    <row r="9" customFormat="false" ht="23.25" hidden="false" customHeight="true" outlineLevel="0" collapsed="false">
      <c r="A9" s="87" t="s">
        <v>220</v>
      </c>
      <c r="B9" s="87" t="s">
        <v>199</v>
      </c>
      <c r="C9" s="87" t="s">
        <v>191</v>
      </c>
      <c r="D9" s="87" t="s">
        <v>192</v>
      </c>
      <c r="E9" s="87" t="s">
        <v>221</v>
      </c>
      <c r="F9" s="87" t="s">
        <v>222</v>
      </c>
      <c r="G9" s="87" t="s">
        <v>223</v>
      </c>
      <c r="H9" s="87" t="s">
        <v>224</v>
      </c>
      <c r="I9" s="87" t="s">
        <v>225</v>
      </c>
      <c r="J9" s="87" t="s">
        <v>226</v>
      </c>
      <c r="K9" s="87" t="s">
        <v>227</v>
      </c>
      <c r="L9" s="87" t="s">
        <v>228</v>
      </c>
      <c r="M9" s="87" t="s">
        <v>229</v>
      </c>
      <c r="N9" s="87" t="s">
        <v>230</v>
      </c>
      <c r="O9" s="87" t="s">
        <v>231</v>
      </c>
      <c r="P9" s="87" t="s">
        <v>232</v>
      </c>
      <c r="Q9" s="87" t="s">
        <v>233</v>
      </c>
      <c r="R9" s="87" t="s">
        <v>234</v>
      </c>
      <c r="S9" s="87" t="s">
        <v>235</v>
      </c>
      <c r="T9" s="87" t="s">
        <v>236</v>
      </c>
      <c r="U9" s="87" t="s">
        <v>28</v>
      </c>
    </row>
    <row r="10" customFormat="false" ht="15" hidden="false" customHeight="true" outlineLevel="0" collapsed="false">
      <c r="A10" s="88" t="n">
        <v>1</v>
      </c>
      <c r="B10" s="89" t="s">
        <v>182</v>
      </c>
      <c r="C10" s="88" t="s">
        <v>133</v>
      </c>
      <c r="D10" s="88" t="s">
        <v>193</v>
      </c>
      <c r="E10" s="88" t="n">
        <v>1</v>
      </c>
      <c r="F10" s="90" t="n">
        <f aca="false">(Componentes!AB12/(Componentes!AB12+Componentes!AB13))*Componentes!P12+(Componentes!AB13/(Componentes!AB12+Componentes!AB13))*Componentes!P13</f>
        <v>0.88953</v>
      </c>
      <c r="G10" s="91" t="e">
        <f aca="false">IF(#REF!="","",#REF!*7/$B$5)</f>
        <v>#REF!</v>
      </c>
      <c r="H10" s="91" t="e">
        <f aca="false">IF(#REF!="","",#REF!*7/$B$4)</f>
        <v>#REF!</v>
      </c>
      <c r="I10" s="91" t="e">
        <f aca="false">IF(#REF!="","",#REF!*7/F10)</f>
        <v>#REF!</v>
      </c>
      <c r="J10" s="92"/>
      <c r="K10" s="92"/>
      <c r="L10" s="92"/>
      <c r="M10" s="92"/>
      <c r="N10" s="90" t="str">
        <f aca="false">IF(OR(J10="",K10=""),"",K10-J10)</f>
        <v/>
      </c>
      <c r="O10" s="90" t="str">
        <f aca="false">IF(OR(K10="",L10=""),"",L10-K10)</f>
        <v/>
      </c>
      <c r="P10" s="90" t="str">
        <f aca="false">IF(OR(L10="",M10=""),"",M10-L10)</f>
        <v/>
      </c>
      <c r="Q10" s="90" t="str">
        <f aca="false">IF(OR(J10="",M10=""),"",M10-J10)</f>
        <v/>
      </c>
      <c r="R10" s="90" t="str">
        <f aca="false">IF(Q10="","",N10/Q10)</f>
        <v/>
      </c>
      <c r="S10" s="90" t="str">
        <f aca="false">IF(Q10="","",O10/Q10)</f>
        <v/>
      </c>
      <c r="T10" s="90" t="str">
        <f aca="false">IF(Q10="","",P10/Q10)</f>
        <v/>
      </c>
      <c r="U10" s="93"/>
    </row>
    <row r="11" customFormat="false" ht="15" hidden="false" customHeight="true" outlineLevel="0" collapsed="false">
      <c r="A11" s="88" t="n">
        <v>2</v>
      </c>
      <c r="B11" s="88"/>
      <c r="C11" s="88"/>
      <c r="D11" s="88"/>
      <c r="E11" s="88" t="n">
        <v>2</v>
      </c>
      <c r="F11" s="90" t="n">
        <f aca="false">(Componentes!AB12/(Componentes!AB12+Componentes!AB13))*Componentes!P12+(Componentes!AB13/(Componentes!AB12+Componentes!AB13))*Componentes!P13</f>
        <v>0.88953</v>
      </c>
      <c r="G11" s="91" t="e">
        <f aca="false">IF(#REF!="","",#REF!*7/$B$5)</f>
        <v>#REF!</v>
      </c>
      <c r="H11" s="91" t="e">
        <f aca="false">IF(#REF!="","",#REF!*7/$B$4)</f>
        <v>#REF!</v>
      </c>
      <c r="I11" s="91" t="e">
        <f aca="false">IF(#REF!="","",#REF!*7/F11)</f>
        <v>#REF!</v>
      </c>
      <c r="J11" s="92"/>
      <c r="K11" s="92"/>
      <c r="L11" s="92"/>
      <c r="M11" s="92"/>
      <c r="N11" s="90" t="str">
        <f aca="false">IF(OR(J11="",K11=""),"",K11-J11)</f>
        <v/>
      </c>
      <c r="O11" s="90" t="str">
        <f aca="false">IF(OR(K11="",L11=""),"",L11-K11)</f>
        <v/>
      </c>
      <c r="P11" s="90" t="str">
        <f aca="false">IF(OR(L11="",M11=""),"",M11-L11)</f>
        <v/>
      </c>
      <c r="Q11" s="90" t="str">
        <f aca="false">IF(OR(J11="",M11=""),"",M11-J11)</f>
        <v/>
      </c>
      <c r="R11" s="90" t="str">
        <f aca="false">IF(Q11="","",N11/Q11)</f>
        <v/>
      </c>
      <c r="S11" s="90" t="str">
        <f aca="false">IF(Q11="","",O11/Q11)</f>
        <v/>
      </c>
      <c r="T11" s="90" t="str">
        <f aca="false">IF(Q11="","",P11/Q11)</f>
        <v/>
      </c>
      <c r="U11" s="93"/>
    </row>
    <row r="12" customFormat="false" ht="15" hidden="false" customHeight="true" outlineLevel="0" collapsed="false">
      <c r="A12" s="88" t="n">
        <v>3</v>
      </c>
      <c r="B12" s="88"/>
      <c r="C12" s="88"/>
      <c r="D12" s="88"/>
      <c r="E12" s="88" t="n">
        <v>3</v>
      </c>
      <c r="F12" s="90" t="n">
        <f aca="false">(Componentes!AB12/(Componentes!AB12+Componentes!AB13))*Componentes!P12+(Componentes!AB13/(Componentes!AB12+Componentes!AB13))*Componentes!P13</f>
        <v>0.88953</v>
      </c>
      <c r="G12" s="91" t="e">
        <f aca="false">IF(#REF!="","",#REF!*7/$B$5)</f>
        <v>#REF!</v>
      </c>
      <c r="H12" s="91" t="e">
        <f aca="false">IF(#REF!="","",#REF!*7/$B$4)</f>
        <v>#REF!</v>
      </c>
      <c r="I12" s="91" t="e">
        <f aca="false">IF(#REF!="","",#REF!*7/F12)</f>
        <v>#REF!</v>
      </c>
      <c r="J12" s="92"/>
      <c r="K12" s="92"/>
      <c r="L12" s="92"/>
      <c r="M12" s="92"/>
      <c r="N12" s="90" t="str">
        <f aca="false">IF(OR(J12="",K12=""),"",K12-J12)</f>
        <v/>
      </c>
      <c r="O12" s="90" t="str">
        <f aca="false">IF(OR(K12="",L12=""),"",L12-K12)</f>
        <v/>
      </c>
      <c r="P12" s="90" t="str">
        <f aca="false">IF(OR(L12="",M12=""),"",M12-L12)</f>
        <v/>
      </c>
      <c r="Q12" s="90" t="str">
        <f aca="false">IF(OR(J12="",M12=""),"",M12-J12)</f>
        <v/>
      </c>
      <c r="R12" s="90" t="str">
        <f aca="false">IF(Q12="","",N12/Q12)</f>
        <v/>
      </c>
      <c r="S12" s="90" t="str">
        <f aca="false">IF(Q12="","",O12/Q12)</f>
        <v/>
      </c>
      <c r="T12" s="90" t="str">
        <f aca="false">IF(Q12="","",P12/Q12)</f>
        <v/>
      </c>
      <c r="U12" s="93"/>
    </row>
    <row r="13" customFormat="false" ht="15" hidden="false" customHeight="true" outlineLevel="0" collapsed="false">
      <c r="A13" s="88" t="n">
        <v>4</v>
      </c>
      <c r="B13" s="88"/>
      <c r="C13" s="88"/>
      <c r="D13" s="88"/>
      <c r="E13" s="88" t="n">
        <v>4</v>
      </c>
      <c r="F13" s="90" t="n">
        <f aca="false">(Componentes!AB12/(Componentes!AB12+Componentes!AB13))*Componentes!P12+(Componentes!AB13/(Componentes!AB12+Componentes!AB13))*Componentes!P13</f>
        <v>0.88953</v>
      </c>
      <c r="G13" s="91" t="e">
        <f aca="false">IF(#REF!="","",#REF!*7/$B$5)</f>
        <v>#REF!</v>
      </c>
      <c r="H13" s="91" t="e">
        <f aca="false">IF(#REF!="","",#REF!*7/$B$4)</f>
        <v>#REF!</v>
      </c>
      <c r="I13" s="91" t="e">
        <f aca="false">IF(#REF!="","",#REF!*7/F13)</f>
        <v>#REF!</v>
      </c>
      <c r="J13" s="92"/>
      <c r="K13" s="92"/>
      <c r="L13" s="92"/>
      <c r="M13" s="92"/>
      <c r="N13" s="90" t="str">
        <f aca="false">IF(OR(J13="",K13=""),"",K13-J13)</f>
        <v/>
      </c>
      <c r="O13" s="90" t="str">
        <f aca="false">IF(OR(K13="",L13=""),"",L13-K13)</f>
        <v/>
      </c>
      <c r="P13" s="90" t="str">
        <f aca="false">IF(OR(L13="",M13=""),"",M13-L13)</f>
        <v/>
      </c>
      <c r="Q13" s="90" t="str">
        <f aca="false">IF(OR(J13="",M13=""),"",M13-J13)</f>
        <v/>
      </c>
      <c r="R13" s="90" t="str">
        <f aca="false">IF(Q13="","",N13/Q13)</f>
        <v/>
      </c>
      <c r="S13" s="90" t="str">
        <f aca="false">IF(Q13="","",O13/Q13)</f>
        <v/>
      </c>
      <c r="T13" s="90" t="str">
        <f aca="false">IF(Q13="","",P13/Q13)</f>
        <v/>
      </c>
      <c r="U13" s="93"/>
    </row>
    <row r="14" customFormat="false" ht="15" hidden="false" customHeight="true" outlineLevel="0" collapsed="false">
      <c r="A14" s="88" t="n">
        <v>5</v>
      </c>
      <c r="B14" s="88"/>
      <c r="C14" s="88"/>
      <c r="D14" s="88"/>
      <c r="E14" s="88" t="n">
        <v>5</v>
      </c>
      <c r="F14" s="90" t="n">
        <f aca="false">(Componentes!AB12/(Componentes!AB12+Componentes!AB13))*Componentes!P12+(Componentes!AB13/(Componentes!AB12+Componentes!AB13))*Componentes!P13</f>
        <v>0.88953</v>
      </c>
      <c r="G14" s="91" t="e">
        <f aca="false">IF(#REF!="","",#REF!*7/$B$5)</f>
        <v>#REF!</v>
      </c>
      <c r="H14" s="91" t="e">
        <f aca="false">IF(#REF!="","",#REF!*7/$B$4)</f>
        <v>#REF!</v>
      </c>
      <c r="I14" s="91" t="e">
        <f aca="false">IF(#REF!="","",#REF!*7/F14)</f>
        <v>#REF!</v>
      </c>
      <c r="J14" s="92"/>
      <c r="K14" s="92"/>
      <c r="L14" s="92"/>
      <c r="M14" s="92"/>
      <c r="N14" s="90" t="str">
        <f aca="false">IF(OR(J14="",K14=""),"",K14-J14)</f>
        <v/>
      </c>
      <c r="O14" s="90" t="str">
        <f aca="false">IF(OR(K14="",L14=""),"",L14-K14)</f>
        <v/>
      </c>
      <c r="P14" s="90" t="str">
        <f aca="false">IF(OR(L14="",M14=""),"",M14-L14)</f>
        <v/>
      </c>
      <c r="Q14" s="90" t="str">
        <f aca="false">IF(OR(J14="",M14=""),"",M14-J14)</f>
        <v/>
      </c>
      <c r="R14" s="90" t="str">
        <f aca="false">IF(Q14="","",N14/Q14)</f>
        <v/>
      </c>
      <c r="S14" s="90" t="str">
        <f aca="false">IF(Q14="","",O14/Q14)</f>
        <v/>
      </c>
      <c r="T14" s="90" t="str">
        <f aca="false">IF(Q14="","",P14/Q14)</f>
        <v/>
      </c>
      <c r="U14" s="93"/>
    </row>
    <row r="16" customFormat="false" ht="15" hidden="false" customHeight="true" outlineLevel="0" collapsed="false">
      <c r="A16" s="88" t="n">
        <v>6</v>
      </c>
      <c r="B16" s="89" t="s">
        <v>183</v>
      </c>
      <c r="C16" s="88" t="s">
        <v>133</v>
      </c>
      <c r="D16" s="88" t="s">
        <v>155</v>
      </c>
      <c r="E16" s="88" t="n">
        <v>1</v>
      </c>
      <c r="F16" s="90" t="n">
        <f aca="false">(Componentes!AB12/(Componentes!AB12+Componentes!AB15))*Componentes!P12+(Componentes!AB15/(Componentes!AB12+Componentes!AB15))*Componentes!P15</f>
        <v>0.905661290767563</v>
      </c>
      <c r="G16" s="91" t="e">
        <f aca="false">IF(#REF!="","",#REF!*7/$B$5)</f>
        <v>#REF!</v>
      </c>
      <c r="H16" s="91" t="e">
        <f aca="false">IF(#REF!="","",#REF!*7/$B$4)</f>
        <v>#REF!</v>
      </c>
      <c r="I16" s="91" t="e">
        <f aca="false">IF(#REF!="","",#REF!*7/F16)</f>
        <v>#REF!</v>
      </c>
      <c r="J16" s="92"/>
      <c r="K16" s="92"/>
      <c r="L16" s="92"/>
      <c r="M16" s="92"/>
      <c r="N16" s="90" t="str">
        <f aca="false">IF(OR(J16="",K16=""),"",K16-J16)</f>
        <v/>
      </c>
      <c r="O16" s="90" t="str">
        <f aca="false">IF(OR(K16="",L16=""),"",L16-K16)</f>
        <v/>
      </c>
      <c r="P16" s="90" t="str">
        <f aca="false">IF(OR(L16="",M16=""),"",M16-L16)</f>
        <v/>
      </c>
      <c r="Q16" s="90" t="str">
        <f aca="false">IF(OR(J16="",M16=""),"",M16-J16)</f>
        <v/>
      </c>
      <c r="R16" s="90" t="str">
        <f aca="false">IF(Q16="","",N16/Q16)</f>
        <v/>
      </c>
      <c r="S16" s="90" t="str">
        <f aca="false">IF(Q16="","",O16/Q16)</f>
        <v/>
      </c>
      <c r="T16" s="90" t="str">
        <f aca="false">IF(Q16="","",P16/Q16)</f>
        <v/>
      </c>
      <c r="U16" s="93"/>
    </row>
    <row r="17" customFormat="false" ht="15" hidden="false" customHeight="true" outlineLevel="0" collapsed="false">
      <c r="A17" s="88" t="n">
        <v>7</v>
      </c>
      <c r="B17" s="88"/>
      <c r="C17" s="88"/>
      <c r="D17" s="88"/>
      <c r="E17" s="88" t="n">
        <v>2</v>
      </c>
      <c r="F17" s="90" t="n">
        <f aca="false">(Componentes!AB12/(Componentes!AB12+Componentes!AB15))*Componentes!P12+(Componentes!AB15/(Componentes!AB12+Componentes!AB15))*Componentes!P15</f>
        <v>0.905661290767563</v>
      </c>
      <c r="G17" s="91" t="e">
        <f aca="false">IF(#REF!="","",#REF!*7/$B$5)</f>
        <v>#REF!</v>
      </c>
      <c r="H17" s="91" t="e">
        <f aca="false">IF(#REF!="","",#REF!*7/$B$4)</f>
        <v>#REF!</v>
      </c>
      <c r="I17" s="91" t="e">
        <f aca="false">IF(#REF!="","",#REF!*7/F17)</f>
        <v>#REF!</v>
      </c>
      <c r="J17" s="92"/>
      <c r="K17" s="92"/>
      <c r="L17" s="92"/>
      <c r="M17" s="92"/>
      <c r="N17" s="90" t="str">
        <f aca="false">IF(OR(J17="",K17=""),"",K17-J17)</f>
        <v/>
      </c>
      <c r="O17" s="90" t="str">
        <f aca="false">IF(OR(K17="",L17=""),"",L17-K17)</f>
        <v/>
      </c>
      <c r="P17" s="90" t="str">
        <f aca="false">IF(OR(L17="",M17=""),"",M17-L17)</f>
        <v/>
      </c>
      <c r="Q17" s="90" t="str">
        <f aca="false">IF(OR(J17="",M17=""),"",M17-J17)</f>
        <v/>
      </c>
      <c r="R17" s="90" t="str">
        <f aca="false">IF(Q17="","",N17/Q17)</f>
        <v/>
      </c>
      <c r="S17" s="90" t="str">
        <f aca="false">IF(Q17="","",O17/Q17)</f>
        <v/>
      </c>
      <c r="T17" s="90" t="str">
        <f aca="false">IF(Q17="","",P17/Q17)</f>
        <v/>
      </c>
      <c r="U17" s="93"/>
    </row>
    <row r="18" customFormat="false" ht="15" hidden="false" customHeight="true" outlineLevel="0" collapsed="false">
      <c r="A18" s="88" t="n">
        <v>8</v>
      </c>
      <c r="B18" s="88"/>
      <c r="C18" s="88"/>
      <c r="D18" s="88"/>
      <c r="E18" s="88" t="n">
        <v>3</v>
      </c>
      <c r="F18" s="90" t="n">
        <f aca="false">(Componentes!AB12/(Componentes!AB12+Componentes!AB15))*Componentes!P12+(Componentes!AB15/(Componentes!AB12+Componentes!AB15))*Componentes!P15</f>
        <v>0.905661290767563</v>
      </c>
      <c r="G18" s="91" t="e">
        <f aca="false">IF(#REF!="","",#REF!*7/$B$5)</f>
        <v>#REF!</v>
      </c>
      <c r="H18" s="91" t="e">
        <f aca="false">IF(#REF!="","",#REF!*7/$B$4)</f>
        <v>#REF!</v>
      </c>
      <c r="I18" s="91" t="e">
        <f aca="false">IF(#REF!="","",#REF!*7/F18)</f>
        <v>#REF!</v>
      </c>
      <c r="J18" s="92"/>
      <c r="K18" s="92"/>
      <c r="L18" s="92"/>
      <c r="M18" s="92"/>
      <c r="N18" s="90" t="str">
        <f aca="false">IF(OR(J18="",K18=""),"",K18-J18)</f>
        <v/>
      </c>
      <c r="O18" s="90" t="str">
        <f aca="false">IF(OR(K18="",L18=""),"",L18-K18)</f>
        <v/>
      </c>
      <c r="P18" s="90" t="str">
        <f aca="false">IF(OR(L18="",M18=""),"",M18-L18)</f>
        <v/>
      </c>
      <c r="Q18" s="90" t="str">
        <f aca="false">IF(OR(J18="",M18=""),"",M18-J18)</f>
        <v/>
      </c>
      <c r="R18" s="90" t="str">
        <f aca="false">IF(Q18="","",N18/Q18)</f>
        <v/>
      </c>
      <c r="S18" s="90" t="str">
        <f aca="false">IF(Q18="","",O18/Q18)</f>
        <v/>
      </c>
      <c r="T18" s="90" t="str">
        <f aca="false">IF(Q18="","",P18/Q18)</f>
        <v/>
      </c>
      <c r="U18" s="93"/>
    </row>
    <row r="19" customFormat="false" ht="15" hidden="false" customHeight="true" outlineLevel="0" collapsed="false">
      <c r="A19" s="88" t="n">
        <v>9</v>
      </c>
      <c r="B19" s="88"/>
      <c r="C19" s="88"/>
      <c r="D19" s="88"/>
      <c r="E19" s="88" t="n">
        <v>4</v>
      </c>
      <c r="F19" s="90" t="n">
        <f aca="false">(Componentes!AB12/(Componentes!AB12+Componentes!AB15))*Componentes!P12+(Componentes!AB15/(Componentes!AB12+Componentes!AB15))*Componentes!P15</f>
        <v>0.905661290767563</v>
      </c>
      <c r="G19" s="91" t="e">
        <f aca="false">IF(#REF!="","",#REF!*7/$B$5)</f>
        <v>#REF!</v>
      </c>
      <c r="H19" s="91" t="e">
        <f aca="false">IF(#REF!="","",#REF!*7/$B$4)</f>
        <v>#REF!</v>
      </c>
      <c r="I19" s="91" t="e">
        <f aca="false">IF(#REF!="","",#REF!*7/F19)</f>
        <v>#REF!</v>
      </c>
      <c r="J19" s="92"/>
      <c r="K19" s="92"/>
      <c r="L19" s="92"/>
      <c r="M19" s="92"/>
      <c r="N19" s="90" t="str">
        <f aca="false">IF(OR(J19="",K19=""),"",K19-J19)</f>
        <v/>
      </c>
      <c r="O19" s="90" t="str">
        <f aca="false">IF(OR(K19="",L19=""),"",L19-K19)</f>
        <v/>
      </c>
      <c r="P19" s="90" t="str">
        <f aca="false">IF(OR(L19="",M19=""),"",M19-L19)</f>
        <v/>
      </c>
      <c r="Q19" s="90" t="str">
        <f aca="false">IF(OR(J19="",M19=""),"",M19-J19)</f>
        <v/>
      </c>
      <c r="R19" s="90" t="str">
        <f aca="false">IF(Q19="","",N19/Q19)</f>
        <v/>
      </c>
      <c r="S19" s="90" t="str">
        <f aca="false">IF(Q19="","",O19/Q19)</f>
        <v/>
      </c>
      <c r="T19" s="90" t="str">
        <f aca="false">IF(Q19="","",P19/Q19)</f>
        <v/>
      </c>
      <c r="U19" s="93"/>
    </row>
    <row r="20" customFormat="false" ht="15" hidden="false" customHeight="true" outlineLevel="0" collapsed="false">
      <c r="A20" s="88" t="n">
        <v>10</v>
      </c>
      <c r="B20" s="88"/>
      <c r="C20" s="88"/>
      <c r="D20" s="88"/>
      <c r="E20" s="88" t="n">
        <v>5</v>
      </c>
      <c r="F20" s="90" t="n">
        <f aca="false">(Componentes!AB12/(Componentes!AB12+Componentes!AB15))*Componentes!P12+(Componentes!AB15/(Componentes!AB12+Componentes!AB15))*Componentes!P15</f>
        <v>0.905661290767563</v>
      </c>
      <c r="G20" s="91" t="e">
        <f aca="false">IF(#REF!="","",#REF!*7/$B$5)</f>
        <v>#REF!</v>
      </c>
      <c r="H20" s="91" t="e">
        <f aca="false">IF(#REF!="","",#REF!*7/$B$4)</f>
        <v>#REF!</v>
      </c>
      <c r="I20" s="91" t="e">
        <f aca="false">IF(#REF!="","",#REF!*7/F20)</f>
        <v>#REF!</v>
      </c>
      <c r="J20" s="92"/>
      <c r="K20" s="92"/>
      <c r="L20" s="92"/>
      <c r="M20" s="92"/>
      <c r="N20" s="90" t="str">
        <f aca="false">IF(OR(J20="",K20=""),"",K20-J20)</f>
        <v/>
      </c>
      <c r="O20" s="90" t="str">
        <f aca="false">IF(OR(K20="",L20=""),"",L20-K20)</f>
        <v/>
      </c>
      <c r="P20" s="90" t="str">
        <f aca="false">IF(OR(L20="",M20=""),"",M20-L20)</f>
        <v/>
      </c>
      <c r="Q20" s="90" t="str">
        <f aca="false">IF(OR(J20="",M20=""),"",M20-J20)</f>
        <v/>
      </c>
      <c r="R20" s="90" t="str">
        <f aca="false">IF(Q20="","",N20/Q20)</f>
        <v/>
      </c>
      <c r="S20" s="90" t="str">
        <f aca="false">IF(Q20="","",O20/Q20)</f>
        <v/>
      </c>
      <c r="T20" s="90" t="str">
        <f aca="false">IF(Q20="","",P20/Q20)</f>
        <v/>
      </c>
      <c r="U20" s="93"/>
    </row>
    <row r="22" customFormat="false" ht="15" hidden="false" customHeight="true" outlineLevel="0" collapsed="false">
      <c r="A22" s="88" t="n">
        <v>11</v>
      </c>
      <c r="B22" s="89" t="s">
        <v>209</v>
      </c>
      <c r="C22" s="88" t="s">
        <v>133</v>
      </c>
      <c r="D22" s="88" t="s">
        <v>162</v>
      </c>
      <c r="E22" s="88" t="n">
        <v>1</v>
      </c>
      <c r="F22" s="90" t="n">
        <f aca="false">(Componentes!AB12/(Componentes!AB12+Componentes!AB16))*Componentes!P12+(Componentes!AB16/(Componentes!AB12+Componentes!AB16))*Componentes!P16</f>
        <v>0.85403</v>
      </c>
      <c r="G22" s="91" t="e">
        <f aca="false">IF(#REF!="","",#REF!*7/$B$5)</f>
        <v>#REF!</v>
      </c>
      <c r="H22" s="91" t="e">
        <f aca="false">IF(#REF!="","",#REF!*7/$B$4)</f>
        <v>#REF!</v>
      </c>
      <c r="I22" s="91" t="e">
        <f aca="false">IF(#REF!="","",#REF!*7/F22)</f>
        <v>#REF!</v>
      </c>
      <c r="J22" s="92"/>
      <c r="K22" s="92"/>
      <c r="L22" s="92"/>
      <c r="M22" s="92"/>
      <c r="N22" s="90" t="str">
        <f aca="false">IF(OR(J22="",K22=""),"",K22-J22)</f>
        <v/>
      </c>
      <c r="O22" s="90" t="str">
        <f aca="false">IF(OR(K22="",L22=""),"",L22-K22)</f>
        <v/>
      </c>
      <c r="P22" s="90" t="str">
        <f aca="false">IF(OR(L22="",M22=""),"",M22-L22)</f>
        <v/>
      </c>
      <c r="Q22" s="90" t="str">
        <f aca="false">IF(OR(J22="",M22=""),"",M22-J22)</f>
        <v/>
      </c>
      <c r="R22" s="90" t="str">
        <f aca="false">IF(Q22="","",N22/Q22)</f>
        <v/>
      </c>
      <c r="S22" s="90" t="str">
        <f aca="false">IF(Q22="","",O22/Q22)</f>
        <v/>
      </c>
      <c r="T22" s="90" t="str">
        <f aca="false">IF(Q22="","",P22/Q22)</f>
        <v/>
      </c>
      <c r="U22" s="93"/>
    </row>
    <row r="23" customFormat="false" ht="15" hidden="false" customHeight="true" outlineLevel="0" collapsed="false">
      <c r="A23" s="88" t="n">
        <v>12</v>
      </c>
      <c r="B23" s="88"/>
      <c r="C23" s="88"/>
      <c r="D23" s="88"/>
      <c r="E23" s="88" t="n">
        <v>2</v>
      </c>
      <c r="F23" s="90" t="n">
        <f aca="false">(Componentes!AB12/(Componentes!AB12+Componentes!AB16))*Componentes!P12+(Componentes!AB16/(Componentes!AB12+Componentes!AB16))*Componentes!P16</f>
        <v>0.85403</v>
      </c>
      <c r="G23" s="91" t="e">
        <f aca="false">IF(#REF!="","",#REF!*7/$B$5)</f>
        <v>#REF!</v>
      </c>
      <c r="H23" s="91" t="e">
        <f aca="false">IF(#REF!="","",#REF!*7/$B$4)</f>
        <v>#REF!</v>
      </c>
      <c r="I23" s="91" t="e">
        <f aca="false">IF(#REF!="","",#REF!*7/F23)</f>
        <v>#REF!</v>
      </c>
      <c r="J23" s="92"/>
      <c r="K23" s="92"/>
      <c r="L23" s="92"/>
      <c r="M23" s="92"/>
      <c r="N23" s="90" t="str">
        <f aca="false">IF(OR(J23="",K23=""),"",K23-J23)</f>
        <v/>
      </c>
      <c r="O23" s="90" t="str">
        <f aca="false">IF(OR(K23="",L23=""),"",L23-K23)</f>
        <v/>
      </c>
      <c r="P23" s="90" t="str">
        <f aca="false">IF(OR(L23="",M23=""),"",M23-L23)</f>
        <v/>
      </c>
      <c r="Q23" s="90" t="str">
        <f aca="false">IF(OR(J23="",M23=""),"",M23-J23)</f>
        <v/>
      </c>
      <c r="R23" s="90" t="str">
        <f aca="false">IF(Q23="","",N23/Q23)</f>
        <v/>
      </c>
      <c r="S23" s="90" t="str">
        <f aca="false">IF(Q23="","",O23/Q23)</f>
        <v/>
      </c>
      <c r="T23" s="90" t="str">
        <f aca="false">IF(Q23="","",P23/Q23)</f>
        <v/>
      </c>
      <c r="U23" s="93"/>
    </row>
    <row r="24" customFormat="false" ht="15" hidden="false" customHeight="true" outlineLevel="0" collapsed="false">
      <c r="A24" s="88" t="n">
        <v>13</v>
      </c>
      <c r="B24" s="88"/>
      <c r="C24" s="88"/>
      <c r="D24" s="88"/>
      <c r="E24" s="88" t="n">
        <v>3</v>
      </c>
      <c r="F24" s="90" t="n">
        <f aca="false">(Componentes!AB12/(Componentes!AB12+Componentes!AB16))*Componentes!P12+(Componentes!AB16/(Componentes!AB12+Componentes!AB16))*Componentes!P16</f>
        <v>0.85403</v>
      </c>
      <c r="G24" s="91" t="e">
        <f aca="false">IF(#REF!="","",#REF!*7/$B$5)</f>
        <v>#REF!</v>
      </c>
      <c r="H24" s="91" t="e">
        <f aca="false">IF(#REF!="","",#REF!*7/$B$4)</f>
        <v>#REF!</v>
      </c>
      <c r="I24" s="91" t="e">
        <f aca="false">IF(#REF!="","",#REF!*7/F24)</f>
        <v>#REF!</v>
      </c>
      <c r="J24" s="92"/>
      <c r="K24" s="92"/>
      <c r="L24" s="92"/>
      <c r="M24" s="92"/>
      <c r="N24" s="90" t="str">
        <f aca="false">IF(OR(J24="",K24=""),"",K24-J24)</f>
        <v/>
      </c>
      <c r="O24" s="90" t="str">
        <f aca="false">IF(OR(K24="",L24=""),"",L24-K24)</f>
        <v/>
      </c>
      <c r="P24" s="90" t="str">
        <f aca="false">IF(OR(L24="",M24=""),"",M24-L24)</f>
        <v/>
      </c>
      <c r="Q24" s="90" t="str">
        <f aca="false">IF(OR(J24="",M24=""),"",M24-J24)</f>
        <v/>
      </c>
      <c r="R24" s="90" t="str">
        <f aca="false">IF(Q24="","",N24/Q24)</f>
        <v/>
      </c>
      <c r="S24" s="90" t="str">
        <f aca="false">IF(Q24="","",O24/Q24)</f>
        <v/>
      </c>
      <c r="T24" s="90" t="str">
        <f aca="false">IF(Q24="","",P24/Q24)</f>
        <v/>
      </c>
      <c r="U24" s="93"/>
    </row>
    <row r="25" customFormat="false" ht="15" hidden="false" customHeight="true" outlineLevel="0" collapsed="false">
      <c r="A25" s="88" t="n">
        <v>14</v>
      </c>
      <c r="B25" s="88"/>
      <c r="C25" s="88"/>
      <c r="D25" s="88"/>
      <c r="E25" s="88" t="n">
        <v>4</v>
      </c>
      <c r="F25" s="90" t="n">
        <f aca="false">(Componentes!AB12/(Componentes!AB12+Componentes!AB16))*Componentes!P12+(Componentes!AB16/(Componentes!AB12+Componentes!AB16))*Componentes!P16</f>
        <v>0.85403</v>
      </c>
      <c r="G25" s="91" t="e">
        <f aca="false">IF(#REF!="","",#REF!*7/$B$5)</f>
        <v>#REF!</v>
      </c>
      <c r="H25" s="91" t="e">
        <f aca="false">IF(#REF!="","",#REF!*7/$B$4)</f>
        <v>#REF!</v>
      </c>
      <c r="I25" s="91" t="e">
        <f aca="false">IF(#REF!="","",#REF!*7/F25)</f>
        <v>#REF!</v>
      </c>
      <c r="J25" s="92"/>
      <c r="K25" s="92"/>
      <c r="L25" s="92"/>
      <c r="M25" s="92"/>
      <c r="N25" s="90" t="str">
        <f aca="false">IF(OR(J25="",K25=""),"",K25-J25)</f>
        <v/>
      </c>
      <c r="O25" s="90" t="str">
        <f aca="false">IF(OR(K25="",L25=""),"",L25-K25)</f>
        <v/>
      </c>
      <c r="P25" s="90" t="str">
        <f aca="false">IF(OR(L25="",M25=""),"",M25-L25)</f>
        <v/>
      </c>
      <c r="Q25" s="90" t="str">
        <f aca="false">IF(OR(J25="",M25=""),"",M25-J25)</f>
        <v/>
      </c>
      <c r="R25" s="90" t="str">
        <f aca="false">IF(Q25="","",N25/Q25)</f>
        <v/>
      </c>
      <c r="S25" s="90" t="str">
        <f aca="false">IF(Q25="","",O25/Q25)</f>
        <v/>
      </c>
      <c r="T25" s="90" t="str">
        <f aca="false">IF(Q25="","",P25/Q25)</f>
        <v/>
      </c>
      <c r="U25" s="93"/>
    </row>
    <row r="26" customFormat="false" ht="15" hidden="false" customHeight="true" outlineLevel="0" collapsed="false">
      <c r="A26" s="88" t="n">
        <v>15</v>
      </c>
      <c r="B26" s="88"/>
      <c r="C26" s="88"/>
      <c r="D26" s="88"/>
      <c r="E26" s="88" t="n">
        <v>5</v>
      </c>
      <c r="F26" s="90" t="n">
        <f aca="false">(Componentes!AB12/(Componentes!AB12+Componentes!AB16))*Componentes!P12+(Componentes!AB16/(Componentes!AB12+Componentes!AB16))*Componentes!P16</f>
        <v>0.85403</v>
      </c>
      <c r="G26" s="91" t="e">
        <f aca="false">IF(#REF!="","",#REF!*7/$B$5)</f>
        <v>#REF!</v>
      </c>
      <c r="H26" s="91" t="e">
        <f aca="false">IF(#REF!="","",#REF!*7/$B$4)</f>
        <v>#REF!</v>
      </c>
      <c r="I26" s="91" t="e">
        <f aca="false">IF(#REF!="","",#REF!*7/F26)</f>
        <v>#REF!</v>
      </c>
      <c r="J26" s="92"/>
      <c r="K26" s="92"/>
      <c r="L26" s="92"/>
      <c r="M26" s="92"/>
      <c r="N26" s="90" t="str">
        <f aca="false">IF(OR(J26="",K26=""),"",K26-J26)</f>
        <v/>
      </c>
      <c r="O26" s="90" t="str">
        <f aca="false">IF(OR(K26="",L26=""),"",L26-K26)</f>
        <v/>
      </c>
      <c r="P26" s="90" t="str">
        <f aca="false">IF(OR(L26="",M26=""),"",M26-L26)</f>
        <v/>
      </c>
      <c r="Q26" s="90" t="str">
        <f aca="false">IF(OR(J26="",M26=""),"",M26-J26)</f>
        <v/>
      </c>
      <c r="R26" s="90" t="str">
        <f aca="false">IF(Q26="","",N26/Q26)</f>
        <v/>
      </c>
      <c r="S26" s="90" t="str">
        <f aca="false">IF(Q26="","",O26/Q26)</f>
        <v/>
      </c>
      <c r="T26" s="90" t="str">
        <f aca="false">IF(Q26="","",P26/Q26)</f>
        <v/>
      </c>
      <c r="U26" s="93"/>
    </row>
    <row r="28" customFormat="false" ht="15" hidden="false" customHeight="true" outlineLevel="0" collapsed="false">
      <c r="A28" s="88" t="n">
        <v>16</v>
      </c>
      <c r="B28" s="89" t="s">
        <v>185</v>
      </c>
      <c r="C28" s="88" t="s">
        <v>133</v>
      </c>
      <c r="D28" s="88" t="s">
        <v>168</v>
      </c>
      <c r="E28" s="88" t="n">
        <v>1</v>
      </c>
      <c r="F28" s="90" t="n">
        <f aca="false">(Componentes!AB12/(Componentes!AB12+Componentes!AB17))*Componentes!P12+(Componentes!AB17/(Componentes!AB12+Componentes!AB17))*Componentes!P17</f>
        <v>0.901541228929458</v>
      </c>
      <c r="G28" s="91" t="e">
        <f aca="false">IF(#REF!="","",#REF!*7/$B$5)</f>
        <v>#REF!</v>
      </c>
      <c r="H28" s="91" t="e">
        <f aca="false">IF(#REF!="","",#REF!*7/$B$4)</f>
        <v>#REF!</v>
      </c>
      <c r="I28" s="91" t="e">
        <f aca="false">IF(#REF!="","",#REF!*7/F28)</f>
        <v>#REF!</v>
      </c>
      <c r="J28" s="92"/>
      <c r="K28" s="92"/>
      <c r="L28" s="92"/>
      <c r="M28" s="92"/>
      <c r="N28" s="90" t="str">
        <f aca="false">IF(OR(J28="",K28=""),"",K28-J28)</f>
        <v/>
      </c>
      <c r="O28" s="90" t="str">
        <f aca="false">IF(OR(K28="",L28=""),"",L28-K28)</f>
        <v/>
      </c>
      <c r="P28" s="90" t="str">
        <f aca="false">IF(OR(L28="",M28=""),"",M28-L28)</f>
        <v/>
      </c>
      <c r="Q28" s="90" t="str">
        <f aca="false">IF(OR(J28="",M28=""),"",M28-J28)</f>
        <v/>
      </c>
      <c r="R28" s="90" t="str">
        <f aca="false">IF(Q28="","",N28/Q28)</f>
        <v/>
      </c>
      <c r="S28" s="90" t="str">
        <f aca="false">IF(Q28="","",O28/Q28)</f>
        <v/>
      </c>
      <c r="T28" s="90" t="str">
        <f aca="false">IF(Q28="","",P28/Q28)</f>
        <v/>
      </c>
      <c r="U28" s="93"/>
    </row>
    <row r="29" customFormat="false" ht="15" hidden="false" customHeight="true" outlineLevel="0" collapsed="false">
      <c r="A29" s="88" t="n">
        <v>17</v>
      </c>
      <c r="B29" s="88"/>
      <c r="C29" s="88"/>
      <c r="D29" s="88"/>
      <c r="E29" s="88" t="n">
        <v>2</v>
      </c>
      <c r="F29" s="90" t="n">
        <f aca="false">(Componentes!AB12/(Componentes!AB12+Componentes!AB17))*Componentes!P12+(Componentes!AB17/(Componentes!AB12+Componentes!AB17))*Componentes!P17</f>
        <v>0.901541228929458</v>
      </c>
      <c r="G29" s="91" t="e">
        <f aca="false">IF(#REF!="","",#REF!*7/$B$5)</f>
        <v>#REF!</v>
      </c>
      <c r="H29" s="91" t="e">
        <f aca="false">IF(#REF!="","",#REF!*7/$B$4)</f>
        <v>#REF!</v>
      </c>
      <c r="I29" s="91" t="e">
        <f aca="false">IF(#REF!="","",#REF!*7/F29)</f>
        <v>#REF!</v>
      </c>
      <c r="J29" s="92"/>
      <c r="K29" s="92"/>
      <c r="L29" s="92"/>
      <c r="M29" s="92"/>
      <c r="N29" s="90" t="str">
        <f aca="false">IF(OR(J29="",K29=""),"",K29-J29)</f>
        <v/>
      </c>
      <c r="O29" s="90" t="str">
        <f aca="false">IF(OR(K29="",L29=""),"",L29-K29)</f>
        <v/>
      </c>
      <c r="P29" s="90" t="str">
        <f aca="false">IF(OR(L29="",M29=""),"",M29-L29)</f>
        <v/>
      </c>
      <c r="Q29" s="90" t="str">
        <f aca="false">IF(OR(J29="",M29=""),"",M29-J29)</f>
        <v/>
      </c>
      <c r="R29" s="90" t="str">
        <f aca="false">IF(Q29="","",N29/Q29)</f>
        <v/>
      </c>
      <c r="S29" s="90" t="str">
        <f aca="false">IF(Q29="","",O29/Q29)</f>
        <v/>
      </c>
      <c r="T29" s="90" t="str">
        <f aca="false">IF(Q29="","",P29/Q29)</f>
        <v/>
      </c>
      <c r="U29" s="93"/>
    </row>
    <row r="30" customFormat="false" ht="15" hidden="false" customHeight="true" outlineLevel="0" collapsed="false">
      <c r="A30" s="88" t="n">
        <v>18</v>
      </c>
      <c r="B30" s="88"/>
      <c r="C30" s="88"/>
      <c r="D30" s="88"/>
      <c r="E30" s="88" t="n">
        <v>3</v>
      </c>
      <c r="F30" s="90" t="n">
        <f aca="false">(Componentes!AB12/(Componentes!AB12+Componentes!AB17))*Componentes!P12+(Componentes!AB17/(Componentes!AB12+Componentes!AB17))*Componentes!P17</f>
        <v>0.901541228929458</v>
      </c>
      <c r="G30" s="91" t="e">
        <f aca="false">IF(#REF!="","",#REF!*7/$B$5)</f>
        <v>#REF!</v>
      </c>
      <c r="H30" s="91" t="e">
        <f aca="false">IF(#REF!="","",#REF!*7/$B$4)</f>
        <v>#REF!</v>
      </c>
      <c r="I30" s="91" t="e">
        <f aca="false">IF(#REF!="","",#REF!*7/F30)</f>
        <v>#REF!</v>
      </c>
      <c r="J30" s="92"/>
      <c r="K30" s="92"/>
      <c r="L30" s="92"/>
      <c r="M30" s="92"/>
      <c r="N30" s="90" t="str">
        <f aca="false">IF(OR(J30="",K30=""),"",K30-J30)</f>
        <v/>
      </c>
      <c r="O30" s="90" t="str">
        <f aca="false">IF(OR(K30="",L30=""),"",L30-K30)</f>
        <v/>
      </c>
      <c r="P30" s="90" t="str">
        <f aca="false">IF(OR(L30="",M30=""),"",M30-L30)</f>
        <v/>
      </c>
      <c r="Q30" s="90" t="str">
        <f aca="false">IF(OR(J30="",M30=""),"",M30-J30)</f>
        <v/>
      </c>
      <c r="R30" s="90" t="str">
        <f aca="false">IF(Q30="","",N30/Q30)</f>
        <v/>
      </c>
      <c r="S30" s="90" t="str">
        <f aca="false">IF(Q30="","",O30/Q30)</f>
        <v/>
      </c>
      <c r="T30" s="90" t="str">
        <f aca="false">IF(Q30="","",P30/Q30)</f>
        <v/>
      </c>
      <c r="U30" s="93"/>
    </row>
    <row r="31" customFormat="false" ht="15" hidden="false" customHeight="true" outlineLevel="0" collapsed="false">
      <c r="A31" s="88" t="n">
        <v>19</v>
      </c>
      <c r="B31" s="88"/>
      <c r="C31" s="88"/>
      <c r="D31" s="88"/>
      <c r="E31" s="88" t="n">
        <v>4</v>
      </c>
      <c r="F31" s="90" t="n">
        <f aca="false">(Componentes!AB12/(Componentes!AB12+Componentes!AB17))*Componentes!P12+(Componentes!AB17/(Componentes!AB12+Componentes!AB17))*Componentes!P17</f>
        <v>0.901541228929458</v>
      </c>
      <c r="G31" s="91" t="e">
        <f aca="false">IF(#REF!="","",#REF!*7/$B$5)</f>
        <v>#REF!</v>
      </c>
      <c r="H31" s="91" t="e">
        <f aca="false">IF(#REF!="","",#REF!*7/$B$4)</f>
        <v>#REF!</v>
      </c>
      <c r="I31" s="91" t="e">
        <f aca="false">IF(#REF!="","",#REF!*7/F31)</f>
        <v>#REF!</v>
      </c>
      <c r="J31" s="92"/>
      <c r="K31" s="92"/>
      <c r="L31" s="92"/>
      <c r="M31" s="92"/>
      <c r="N31" s="90" t="str">
        <f aca="false">IF(OR(J31="",K31=""),"",K31-J31)</f>
        <v/>
      </c>
      <c r="O31" s="90" t="str">
        <f aca="false">IF(OR(K31="",L31=""),"",L31-K31)</f>
        <v/>
      </c>
      <c r="P31" s="90" t="str">
        <f aca="false">IF(OR(L31="",M31=""),"",M31-L31)</f>
        <v/>
      </c>
      <c r="Q31" s="90" t="str">
        <f aca="false">IF(OR(J31="",M31=""),"",M31-J31)</f>
        <v/>
      </c>
      <c r="R31" s="90" t="str">
        <f aca="false">IF(Q31="","",N31/Q31)</f>
        <v/>
      </c>
      <c r="S31" s="90" t="str">
        <f aca="false">IF(Q31="","",O31/Q31)</f>
        <v/>
      </c>
      <c r="T31" s="90" t="str">
        <f aca="false">IF(Q31="","",P31/Q31)</f>
        <v/>
      </c>
      <c r="U31" s="93"/>
    </row>
    <row r="32" customFormat="false" ht="15" hidden="false" customHeight="true" outlineLevel="0" collapsed="false">
      <c r="A32" s="88" t="n">
        <v>20</v>
      </c>
      <c r="B32" s="88"/>
      <c r="C32" s="88"/>
      <c r="D32" s="88"/>
      <c r="E32" s="88" t="n">
        <v>5</v>
      </c>
      <c r="F32" s="90" t="n">
        <f aca="false">(Componentes!AB12/(Componentes!AB12+Componentes!AB17))*Componentes!P12+(Componentes!AB17/(Componentes!AB12+Componentes!AB17))*Componentes!P17</f>
        <v>0.901541228929458</v>
      </c>
      <c r="G32" s="91" t="e">
        <f aca="false">IF(#REF!="","",#REF!*7/$B$5)</f>
        <v>#REF!</v>
      </c>
      <c r="H32" s="91" t="e">
        <f aca="false">IF(#REF!="","",#REF!*7/$B$4)</f>
        <v>#REF!</v>
      </c>
      <c r="I32" s="91" t="e">
        <f aca="false">IF(#REF!="","",#REF!*7/F32)</f>
        <v>#REF!</v>
      </c>
      <c r="J32" s="92"/>
      <c r="K32" s="92"/>
      <c r="L32" s="92"/>
      <c r="M32" s="92"/>
      <c r="N32" s="90" t="str">
        <f aca="false">IF(OR(J32="",K32=""),"",K32-J32)</f>
        <v/>
      </c>
      <c r="O32" s="90" t="str">
        <f aca="false">IF(OR(K32="",L32=""),"",L32-K32)</f>
        <v/>
      </c>
      <c r="P32" s="90" t="str">
        <f aca="false">IF(OR(L32="",M32=""),"",M32-L32)</f>
        <v/>
      </c>
      <c r="Q32" s="90" t="str">
        <f aca="false">IF(OR(J32="",M32=""),"",M32-J32)</f>
        <v/>
      </c>
      <c r="R32" s="90" t="str">
        <f aca="false">IF(Q32="","",N32/Q32)</f>
        <v/>
      </c>
      <c r="S32" s="90" t="str">
        <f aca="false">IF(Q32="","",O32/Q32)</f>
        <v/>
      </c>
      <c r="T32" s="90" t="str">
        <f aca="false">IF(Q32="","",P32/Q32)</f>
        <v/>
      </c>
      <c r="U32" s="93"/>
    </row>
    <row r="34" customFormat="false" ht="15" hidden="false" customHeight="true" outlineLevel="0" collapsed="false">
      <c r="A34" s="88" t="n">
        <v>21</v>
      </c>
      <c r="B34" s="89" t="s">
        <v>210</v>
      </c>
      <c r="C34" s="88" t="s">
        <v>133</v>
      </c>
      <c r="D34" s="88" t="s">
        <v>194</v>
      </c>
      <c r="E34" s="88" t="n">
        <v>1</v>
      </c>
      <c r="F34" s="90" t="n">
        <f aca="false">(Componentes!AB12/(Componentes!AB12+Componentes!AB14))*Componentes!P12+(Componentes!AB14/(Componentes!AB12+Componentes!AB14))*Componentes!P14</f>
        <v>0.89000063876215</v>
      </c>
      <c r="G34" s="91" t="e">
        <f aca="false">IF(#REF!="","",#REF!*7/$B$5)</f>
        <v>#REF!</v>
      </c>
      <c r="H34" s="91" t="e">
        <f aca="false">IF(#REF!="","",#REF!*7/$B$4)</f>
        <v>#REF!</v>
      </c>
      <c r="I34" s="91" t="e">
        <f aca="false">IF(#REF!="","",#REF!*7/F34)</f>
        <v>#REF!</v>
      </c>
      <c r="J34" s="92"/>
      <c r="K34" s="92"/>
      <c r="L34" s="92"/>
      <c r="M34" s="92"/>
      <c r="N34" s="90" t="str">
        <f aca="false">IF(OR(J34="",K34=""),"",K34-J34)</f>
        <v/>
      </c>
      <c r="O34" s="90" t="str">
        <f aca="false">IF(OR(K34="",L34=""),"",L34-K34)</f>
        <v/>
      </c>
      <c r="P34" s="90" t="str">
        <f aca="false">IF(OR(L34="",M34=""),"",M34-L34)</f>
        <v/>
      </c>
      <c r="Q34" s="90" t="str">
        <f aca="false">IF(OR(J34="",M34=""),"",M34-J34)</f>
        <v/>
      </c>
      <c r="R34" s="90" t="str">
        <f aca="false">IF(Q34="","",N34/Q34)</f>
        <v/>
      </c>
      <c r="S34" s="90" t="str">
        <f aca="false">IF(Q34="","",O34/Q34)</f>
        <v/>
      </c>
      <c r="T34" s="90" t="str">
        <f aca="false">IF(Q34="","",P34/Q34)</f>
        <v/>
      </c>
      <c r="U34" s="93"/>
    </row>
    <row r="35" customFormat="false" ht="15" hidden="false" customHeight="true" outlineLevel="0" collapsed="false">
      <c r="A35" s="88" t="n">
        <v>22</v>
      </c>
      <c r="B35" s="88"/>
      <c r="C35" s="88"/>
      <c r="D35" s="88"/>
      <c r="E35" s="88" t="n">
        <v>2</v>
      </c>
      <c r="F35" s="90" t="n">
        <f aca="false">(Componentes!AB12/(Componentes!AB12+Componentes!AB14))*Componentes!P12+(Componentes!AB14/(Componentes!AB12+Componentes!AB14))*Componentes!P14</f>
        <v>0.89000063876215</v>
      </c>
      <c r="G35" s="91" t="e">
        <f aca="false">IF(#REF!="","",#REF!*7/$B$5)</f>
        <v>#REF!</v>
      </c>
      <c r="H35" s="91" t="e">
        <f aca="false">IF(#REF!="","",#REF!*7/$B$4)</f>
        <v>#REF!</v>
      </c>
      <c r="I35" s="91" t="e">
        <f aca="false">IF(#REF!="","",#REF!*7/F35)</f>
        <v>#REF!</v>
      </c>
      <c r="J35" s="92"/>
      <c r="K35" s="92"/>
      <c r="L35" s="92"/>
      <c r="M35" s="92"/>
      <c r="N35" s="90" t="str">
        <f aca="false">IF(OR(J35="",K35=""),"",K35-J35)</f>
        <v/>
      </c>
      <c r="O35" s="90" t="str">
        <f aca="false">IF(OR(K35="",L35=""),"",L35-K35)</f>
        <v/>
      </c>
      <c r="P35" s="90" t="str">
        <f aca="false">IF(OR(L35="",M35=""),"",M35-L35)</f>
        <v/>
      </c>
      <c r="Q35" s="90" t="str">
        <f aca="false">IF(OR(J35="",M35=""),"",M35-J35)</f>
        <v/>
      </c>
      <c r="R35" s="90" t="str">
        <f aca="false">IF(Q35="","",N35/Q35)</f>
        <v/>
      </c>
      <c r="S35" s="90" t="str">
        <f aca="false">IF(Q35="","",O35/Q35)</f>
        <v/>
      </c>
      <c r="T35" s="90" t="str">
        <f aca="false">IF(Q35="","",P35/Q35)</f>
        <v/>
      </c>
      <c r="U35" s="93"/>
    </row>
    <row r="36" customFormat="false" ht="15" hidden="false" customHeight="true" outlineLevel="0" collapsed="false">
      <c r="A36" s="88" t="n">
        <v>23</v>
      </c>
      <c r="B36" s="88"/>
      <c r="C36" s="88"/>
      <c r="D36" s="88"/>
      <c r="E36" s="88" t="n">
        <v>3</v>
      </c>
      <c r="F36" s="90" t="n">
        <f aca="false">(Componentes!AB12/(Componentes!AB12+Componentes!AB14))*Componentes!P12+(Componentes!AB14/(Componentes!AB12+Componentes!AB14))*Componentes!P14</f>
        <v>0.89000063876215</v>
      </c>
      <c r="G36" s="91" t="e">
        <f aca="false">IF(#REF!="","",#REF!*7/$B$5)</f>
        <v>#REF!</v>
      </c>
      <c r="H36" s="91" t="e">
        <f aca="false">IF(#REF!="","",#REF!*7/$B$4)</f>
        <v>#REF!</v>
      </c>
      <c r="I36" s="91" t="e">
        <f aca="false">IF(#REF!="","",#REF!*7/F36)</f>
        <v>#REF!</v>
      </c>
      <c r="J36" s="92"/>
      <c r="K36" s="92"/>
      <c r="L36" s="92"/>
      <c r="M36" s="92"/>
      <c r="N36" s="90" t="str">
        <f aca="false">IF(OR(J36="",K36=""),"",K36-J36)</f>
        <v/>
      </c>
      <c r="O36" s="90" t="str">
        <f aca="false">IF(OR(K36="",L36=""),"",L36-K36)</f>
        <v/>
      </c>
      <c r="P36" s="90" t="str">
        <f aca="false">IF(OR(L36="",M36=""),"",M36-L36)</f>
        <v/>
      </c>
      <c r="Q36" s="90" t="str">
        <f aca="false">IF(OR(J36="",M36=""),"",M36-J36)</f>
        <v/>
      </c>
      <c r="R36" s="90" t="str">
        <f aca="false">IF(Q36="","",N36/Q36)</f>
        <v/>
      </c>
      <c r="S36" s="90" t="str">
        <f aca="false">IF(Q36="","",O36/Q36)</f>
        <v/>
      </c>
      <c r="T36" s="90" t="str">
        <f aca="false">IF(Q36="","",P36/Q36)</f>
        <v/>
      </c>
      <c r="U36" s="93"/>
    </row>
    <row r="37" customFormat="false" ht="15" hidden="false" customHeight="true" outlineLevel="0" collapsed="false">
      <c r="A37" s="88" t="n">
        <v>24</v>
      </c>
      <c r="B37" s="88"/>
      <c r="C37" s="88"/>
      <c r="D37" s="88"/>
      <c r="E37" s="88" t="n">
        <v>4</v>
      </c>
      <c r="F37" s="90" t="n">
        <f aca="false">(Componentes!AB12/(Componentes!AB12+Componentes!AB14))*Componentes!P12+(Componentes!AB14/(Componentes!AB12+Componentes!AB14))*Componentes!P14</f>
        <v>0.89000063876215</v>
      </c>
      <c r="G37" s="91" t="e">
        <f aca="false">IF(#REF!="","",#REF!*7/$B$5)</f>
        <v>#REF!</v>
      </c>
      <c r="H37" s="91" t="e">
        <f aca="false">IF(#REF!="","",#REF!*7/$B$4)</f>
        <v>#REF!</v>
      </c>
      <c r="I37" s="91" t="e">
        <f aca="false">IF(#REF!="","",#REF!*7/F37)</f>
        <v>#REF!</v>
      </c>
      <c r="J37" s="92"/>
      <c r="K37" s="92"/>
      <c r="L37" s="92"/>
      <c r="M37" s="92"/>
      <c r="N37" s="90" t="str">
        <f aca="false">IF(OR(J37="",K37=""),"",K37-J37)</f>
        <v/>
      </c>
      <c r="O37" s="90" t="str">
        <f aca="false">IF(OR(K37="",L37=""),"",L37-K37)</f>
        <v/>
      </c>
      <c r="P37" s="90" t="str">
        <f aca="false">IF(OR(L37="",M37=""),"",M37-L37)</f>
        <v/>
      </c>
      <c r="Q37" s="90" t="str">
        <f aca="false">IF(OR(J37="",M37=""),"",M37-J37)</f>
        <v/>
      </c>
      <c r="R37" s="90" t="str">
        <f aca="false">IF(Q37="","",N37/Q37)</f>
        <v/>
      </c>
      <c r="S37" s="90" t="str">
        <f aca="false">IF(Q37="","",O37/Q37)</f>
        <v/>
      </c>
      <c r="T37" s="90" t="str">
        <f aca="false">IF(Q37="","",P37/Q37)</f>
        <v/>
      </c>
      <c r="U37" s="93"/>
    </row>
    <row r="38" customFormat="false" ht="15" hidden="false" customHeight="true" outlineLevel="0" collapsed="false">
      <c r="A38" s="88" t="n">
        <v>25</v>
      </c>
      <c r="B38" s="88"/>
      <c r="C38" s="88"/>
      <c r="D38" s="88"/>
      <c r="E38" s="88" t="n">
        <v>5</v>
      </c>
      <c r="F38" s="90" t="n">
        <f aca="false">(Componentes!AB12/(Componentes!AB12+Componentes!AB14))*Componentes!P12+(Componentes!AB14/(Componentes!AB12+Componentes!AB14))*Componentes!P14</f>
        <v>0.89000063876215</v>
      </c>
      <c r="G38" s="91" t="e">
        <f aca="false">IF(#REF!="","",#REF!*7/$B$5)</f>
        <v>#REF!</v>
      </c>
      <c r="H38" s="91" t="e">
        <f aca="false">IF(#REF!="","",#REF!*7/$B$4)</f>
        <v>#REF!</v>
      </c>
      <c r="I38" s="91" t="e">
        <f aca="false">IF(#REF!="","",#REF!*7/F38)</f>
        <v>#REF!</v>
      </c>
      <c r="J38" s="92"/>
      <c r="K38" s="92"/>
      <c r="L38" s="92"/>
      <c r="M38" s="92"/>
      <c r="N38" s="90" t="str">
        <f aca="false">IF(OR(J38="",K38=""),"",K38-J38)</f>
        <v/>
      </c>
      <c r="O38" s="90" t="str">
        <f aca="false">IF(OR(K38="",L38=""),"",L38-K38)</f>
        <v/>
      </c>
      <c r="P38" s="90" t="str">
        <f aca="false">IF(OR(L38="",M38=""),"",M38-L38)</f>
        <v/>
      </c>
      <c r="Q38" s="90" t="str">
        <f aca="false">IF(OR(J38="",M38=""),"",M38-J38)</f>
        <v/>
      </c>
      <c r="R38" s="90" t="str">
        <f aca="false">IF(Q38="","",N38/Q38)</f>
        <v/>
      </c>
      <c r="S38" s="90" t="str">
        <f aca="false">IF(Q38="","",O38/Q38)</f>
        <v/>
      </c>
      <c r="T38" s="90" t="str">
        <f aca="false">IF(Q38="","",P38/Q38)</f>
        <v/>
      </c>
      <c r="U38" s="93"/>
    </row>
    <row r="40" customFormat="false" ht="15" hidden="false" customHeight="true" outlineLevel="0" collapsed="false">
      <c r="A40" s="88" t="n">
        <v>26</v>
      </c>
      <c r="B40" s="89" t="s">
        <v>186</v>
      </c>
      <c r="C40" s="88" t="s">
        <v>194</v>
      </c>
      <c r="D40" s="88" t="s">
        <v>193</v>
      </c>
      <c r="E40" s="88" t="n">
        <v>1</v>
      </c>
      <c r="F40" s="90" t="n">
        <f aca="false">(Componentes!AB14/(Componentes!AB14+Componentes!AB13))*Componentes!P14+(Componentes!AB13/(Componentes!AB14+Componentes!AB13))*Componentes!P13</f>
        <v>0.96</v>
      </c>
      <c r="G40" s="91" t="e">
        <f aca="false">IF(#REF!="","",#REF!*7/$B$5)</f>
        <v>#REF!</v>
      </c>
      <c r="H40" s="91" t="e">
        <f aca="false">IF(#REF!="","",#REF!*7/$B$4)</f>
        <v>#REF!</v>
      </c>
      <c r="I40" s="91" t="e">
        <f aca="false">IF(#REF!="","",#REF!*7/F40)</f>
        <v>#REF!</v>
      </c>
      <c r="J40" s="92"/>
      <c r="K40" s="92"/>
      <c r="L40" s="92"/>
      <c r="M40" s="92"/>
      <c r="N40" s="90" t="str">
        <f aca="false">IF(OR(J40="",K40=""),"",K40-J40)</f>
        <v/>
      </c>
      <c r="O40" s="90" t="str">
        <f aca="false">IF(OR(K40="",L40=""),"",L40-K40)</f>
        <v/>
      </c>
      <c r="P40" s="90" t="str">
        <f aca="false">IF(OR(L40="",M40=""),"",M40-L40)</f>
        <v/>
      </c>
      <c r="Q40" s="90" t="str">
        <f aca="false">IF(OR(J40="",M40=""),"",M40-J40)</f>
        <v/>
      </c>
      <c r="R40" s="90" t="str">
        <f aca="false">IF(Q40="","",N40/Q40)</f>
        <v/>
      </c>
      <c r="S40" s="90" t="str">
        <f aca="false">IF(Q40="","",O40/Q40)</f>
        <v/>
      </c>
      <c r="T40" s="90" t="str">
        <f aca="false">IF(Q40="","",P40/Q40)</f>
        <v/>
      </c>
      <c r="U40" s="93"/>
    </row>
    <row r="41" customFormat="false" ht="15" hidden="false" customHeight="true" outlineLevel="0" collapsed="false">
      <c r="A41" s="88" t="n">
        <v>27</v>
      </c>
      <c r="B41" s="88"/>
      <c r="C41" s="88"/>
      <c r="D41" s="88"/>
      <c r="E41" s="88" t="n">
        <v>2</v>
      </c>
      <c r="F41" s="90" t="n">
        <f aca="false">(Componentes!AB14/(Componentes!AB14+Componentes!AB13))*Componentes!P14+(Componentes!AB13/(Componentes!AB14+Componentes!AB13))*Componentes!P13</f>
        <v>0.96</v>
      </c>
      <c r="G41" s="91" t="e">
        <f aca="false">IF(#REF!="","",#REF!*7/$B$5)</f>
        <v>#REF!</v>
      </c>
      <c r="H41" s="91" t="e">
        <f aca="false">IF(#REF!="","",#REF!*7/$B$4)</f>
        <v>#REF!</v>
      </c>
      <c r="I41" s="91" t="e">
        <f aca="false">IF(#REF!="","",#REF!*7/F41)</f>
        <v>#REF!</v>
      </c>
      <c r="J41" s="92"/>
      <c r="K41" s="92"/>
      <c r="L41" s="92"/>
      <c r="M41" s="92"/>
      <c r="N41" s="90" t="str">
        <f aca="false">IF(OR(J41="",K41=""),"",K41-J41)</f>
        <v/>
      </c>
      <c r="O41" s="90" t="str">
        <f aca="false">IF(OR(K41="",L41=""),"",L41-K41)</f>
        <v/>
      </c>
      <c r="P41" s="90" t="str">
        <f aca="false">IF(OR(L41="",M41=""),"",M41-L41)</f>
        <v/>
      </c>
      <c r="Q41" s="90" t="str">
        <f aca="false">IF(OR(J41="",M41=""),"",M41-J41)</f>
        <v/>
      </c>
      <c r="R41" s="90" t="str">
        <f aca="false">IF(Q41="","",N41/Q41)</f>
        <v/>
      </c>
      <c r="S41" s="90" t="str">
        <f aca="false">IF(Q41="","",O41/Q41)</f>
        <v/>
      </c>
      <c r="T41" s="90" t="str">
        <f aca="false">IF(Q41="","",P41/Q41)</f>
        <v/>
      </c>
      <c r="U41" s="93"/>
    </row>
    <row r="42" customFormat="false" ht="15" hidden="false" customHeight="true" outlineLevel="0" collapsed="false">
      <c r="A42" s="88" t="n">
        <v>28</v>
      </c>
      <c r="B42" s="88"/>
      <c r="C42" s="88"/>
      <c r="D42" s="88"/>
      <c r="E42" s="88" t="n">
        <v>3</v>
      </c>
      <c r="F42" s="90" t="n">
        <f aca="false">(Componentes!AB14/(Componentes!AB14+Componentes!AB13))*Componentes!P14+(Componentes!AB13/(Componentes!AB14+Componentes!AB13))*Componentes!P13</f>
        <v>0.96</v>
      </c>
      <c r="G42" s="91" t="e">
        <f aca="false">IF(#REF!="","",#REF!*7/$B$5)</f>
        <v>#REF!</v>
      </c>
      <c r="H42" s="91" t="e">
        <f aca="false">IF(#REF!="","",#REF!*7/$B$4)</f>
        <v>#REF!</v>
      </c>
      <c r="I42" s="91" t="e">
        <f aca="false">IF(#REF!="","",#REF!*7/F42)</f>
        <v>#REF!</v>
      </c>
      <c r="J42" s="92"/>
      <c r="K42" s="92"/>
      <c r="L42" s="92"/>
      <c r="M42" s="92"/>
      <c r="N42" s="90" t="str">
        <f aca="false">IF(OR(J42="",K42=""),"",K42-J42)</f>
        <v/>
      </c>
      <c r="O42" s="90" t="str">
        <f aca="false">IF(OR(K42="",L42=""),"",L42-K42)</f>
        <v/>
      </c>
      <c r="P42" s="90" t="str">
        <f aca="false">IF(OR(L42="",M42=""),"",M42-L42)</f>
        <v/>
      </c>
      <c r="Q42" s="90" t="str">
        <f aca="false">IF(OR(J42="",M42=""),"",M42-J42)</f>
        <v/>
      </c>
      <c r="R42" s="90" t="str">
        <f aca="false">IF(Q42="","",N42/Q42)</f>
        <v/>
      </c>
      <c r="S42" s="90" t="str">
        <f aca="false">IF(Q42="","",O42/Q42)</f>
        <v/>
      </c>
      <c r="T42" s="90" t="str">
        <f aca="false">IF(Q42="","",P42/Q42)</f>
        <v/>
      </c>
      <c r="U42" s="93"/>
    </row>
    <row r="43" customFormat="false" ht="15" hidden="false" customHeight="true" outlineLevel="0" collapsed="false">
      <c r="A43" s="88" t="n">
        <v>29</v>
      </c>
      <c r="B43" s="88"/>
      <c r="C43" s="88"/>
      <c r="D43" s="88"/>
      <c r="E43" s="88" t="n">
        <v>4</v>
      </c>
      <c r="F43" s="90" t="n">
        <f aca="false">(Componentes!AB14/(Componentes!AB14+Componentes!AB13))*Componentes!P14+(Componentes!AB13/(Componentes!AB14+Componentes!AB13))*Componentes!P13</f>
        <v>0.96</v>
      </c>
      <c r="G43" s="91" t="e">
        <f aca="false">IF(#REF!="","",#REF!*7/$B$5)</f>
        <v>#REF!</v>
      </c>
      <c r="H43" s="91" t="e">
        <f aca="false">IF(#REF!="","",#REF!*7/$B$4)</f>
        <v>#REF!</v>
      </c>
      <c r="I43" s="91" t="e">
        <f aca="false">IF(#REF!="","",#REF!*7/F43)</f>
        <v>#REF!</v>
      </c>
      <c r="J43" s="92"/>
      <c r="K43" s="92"/>
      <c r="L43" s="92"/>
      <c r="M43" s="92"/>
      <c r="N43" s="90" t="str">
        <f aca="false">IF(OR(J43="",K43=""),"",K43-J43)</f>
        <v/>
      </c>
      <c r="O43" s="90" t="str">
        <f aca="false">IF(OR(K43="",L43=""),"",L43-K43)</f>
        <v/>
      </c>
      <c r="P43" s="90" t="str">
        <f aca="false">IF(OR(L43="",M43=""),"",M43-L43)</f>
        <v/>
      </c>
      <c r="Q43" s="90" t="str">
        <f aca="false">IF(OR(J43="",M43=""),"",M43-J43)</f>
        <v/>
      </c>
      <c r="R43" s="90" t="str">
        <f aca="false">IF(Q43="","",N43/Q43)</f>
        <v/>
      </c>
      <c r="S43" s="90" t="str">
        <f aca="false">IF(Q43="","",O43/Q43)</f>
        <v/>
      </c>
      <c r="T43" s="90" t="str">
        <f aca="false">IF(Q43="","",P43/Q43)</f>
        <v/>
      </c>
      <c r="U43" s="93"/>
    </row>
    <row r="44" customFormat="false" ht="15" hidden="false" customHeight="true" outlineLevel="0" collapsed="false">
      <c r="A44" s="88" t="n">
        <v>30</v>
      </c>
      <c r="B44" s="88"/>
      <c r="C44" s="88"/>
      <c r="D44" s="88"/>
      <c r="E44" s="88" t="n">
        <v>5</v>
      </c>
      <c r="F44" s="90" t="n">
        <f aca="false">(Componentes!AB14/(Componentes!AB14+Componentes!AB13))*Componentes!P14+(Componentes!AB13/(Componentes!AB14+Componentes!AB13))*Componentes!P13</f>
        <v>0.96</v>
      </c>
      <c r="G44" s="91" t="e">
        <f aca="false">IF(#REF!="","",#REF!*7/$B$5)</f>
        <v>#REF!</v>
      </c>
      <c r="H44" s="91" t="e">
        <f aca="false">IF(#REF!="","",#REF!*7/$B$4)</f>
        <v>#REF!</v>
      </c>
      <c r="I44" s="91" t="e">
        <f aca="false">IF(#REF!="","",#REF!*7/F44)</f>
        <v>#REF!</v>
      </c>
      <c r="J44" s="92"/>
      <c r="K44" s="92"/>
      <c r="L44" s="92"/>
      <c r="M44" s="92"/>
      <c r="N44" s="90" t="str">
        <f aca="false">IF(OR(J44="",K44=""),"",K44-J44)</f>
        <v/>
      </c>
      <c r="O44" s="90" t="str">
        <f aca="false">IF(OR(K44="",L44=""),"",L44-K44)</f>
        <v/>
      </c>
      <c r="P44" s="90" t="str">
        <f aca="false">IF(OR(L44="",M44=""),"",M44-L44)</f>
        <v/>
      </c>
      <c r="Q44" s="90" t="str">
        <f aca="false">IF(OR(J44="",M44=""),"",M44-J44)</f>
        <v/>
      </c>
      <c r="R44" s="90" t="str">
        <f aca="false">IF(Q44="","",N44/Q44)</f>
        <v/>
      </c>
      <c r="S44" s="90" t="str">
        <f aca="false">IF(Q44="","",O44/Q44)</f>
        <v/>
      </c>
      <c r="T44" s="90" t="str">
        <f aca="false">IF(Q44="","",P44/Q44)</f>
        <v/>
      </c>
      <c r="U44" s="93"/>
    </row>
    <row r="46" customFormat="false" ht="15" hidden="false" customHeight="true" outlineLevel="0" collapsed="false">
      <c r="A46" s="88" t="n">
        <v>31</v>
      </c>
      <c r="B46" s="89" t="s">
        <v>187</v>
      </c>
      <c r="C46" s="88" t="s">
        <v>194</v>
      </c>
      <c r="D46" s="88" t="s">
        <v>155</v>
      </c>
      <c r="E46" s="88" t="n">
        <v>1</v>
      </c>
      <c r="F46" s="90" t="n">
        <f aca="false">(Componentes!AB14/(Componentes!AB14+Componentes!AB15))*Componentes!P14+(Componentes!AB15/(Componentes!AB14+Componentes!AB15))*Componentes!P15</f>
        <v>0.975098371888153</v>
      </c>
      <c r="G46" s="91" t="e">
        <f aca="false">IF(#REF!="","",#REF!*7/$B$5)</f>
        <v>#REF!</v>
      </c>
      <c r="H46" s="91" t="e">
        <f aca="false">IF(#REF!="","",#REF!*7/$B$4)</f>
        <v>#REF!</v>
      </c>
      <c r="I46" s="91" t="e">
        <f aca="false">IF(#REF!="","",#REF!*7/F46)</f>
        <v>#REF!</v>
      </c>
      <c r="J46" s="92"/>
      <c r="K46" s="92"/>
      <c r="L46" s="92"/>
      <c r="M46" s="92"/>
      <c r="N46" s="90" t="str">
        <f aca="false">IF(OR(J46="",K46=""),"",K46-J46)</f>
        <v/>
      </c>
      <c r="O46" s="90" t="str">
        <f aca="false">IF(OR(K46="",L46=""),"",L46-K46)</f>
        <v/>
      </c>
      <c r="P46" s="90" t="str">
        <f aca="false">IF(OR(L46="",M46=""),"",M46-L46)</f>
        <v/>
      </c>
      <c r="Q46" s="90" t="str">
        <f aca="false">IF(OR(J46="",M46=""),"",M46-J46)</f>
        <v/>
      </c>
      <c r="R46" s="90" t="str">
        <f aca="false">IF(Q46="","",N46/Q46)</f>
        <v/>
      </c>
      <c r="S46" s="90" t="str">
        <f aca="false">IF(Q46="","",O46/Q46)</f>
        <v/>
      </c>
      <c r="T46" s="90" t="str">
        <f aca="false">IF(Q46="","",P46/Q46)</f>
        <v/>
      </c>
      <c r="U46" s="93"/>
    </row>
    <row r="47" customFormat="false" ht="15" hidden="false" customHeight="true" outlineLevel="0" collapsed="false">
      <c r="A47" s="88" t="n">
        <v>32</v>
      </c>
      <c r="B47" s="88"/>
      <c r="C47" s="88"/>
      <c r="D47" s="88"/>
      <c r="E47" s="88" t="n">
        <v>2</v>
      </c>
      <c r="F47" s="90" t="n">
        <f aca="false">(Componentes!AB14/(Componentes!AB14+Componentes!AB15))*Componentes!P14+(Componentes!AB15/(Componentes!AB14+Componentes!AB15))*Componentes!P15</f>
        <v>0.975098371888153</v>
      </c>
      <c r="G47" s="91" t="e">
        <f aca="false">IF(#REF!="","",#REF!*7/$B$5)</f>
        <v>#REF!</v>
      </c>
      <c r="H47" s="91" t="e">
        <f aca="false">IF(#REF!="","",#REF!*7/$B$4)</f>
        <v>#REF!</v>
      </c>
      <c r="I47" s="91" t="e">
        <f aca="false">IF(#REF!="","",#REF!*7/F47)</f>
        <v>#REF!</v>
      </c>
      <c r="J47" s="92"/>
      <c r="K47" s="92"/>
      <c r="L47" s="92"/>
      <c r="M47" s="92"/>
      <c r="N47" s="90" t="str">
        <f aca="false">IF(OR(J47="",K47=""),"",K47-J47)</f>
        <v/>
      </c>
      <c r="O47" s="90" t="str">
        <f aca="false">IF(OR(K47="",L47=""),"",L47-K47)</f>
        <v/>
      </c>
      <c r="P47" s="90" t="str">
        <f aca="false">IF(OR(L47="",M47=""),"",M47-L47)</f>
        <v/>
      </c>
      <c r="Q47" s="90" t="str">
        <f aca="false">IF(OR(J47="",M47=""),"",M47-J47)</f>
        <v/>
      </c>
      <c r="R47" s="90" t="str">
        <f aca="false">IF(Q47="","",N47/Q47)</f>
        <v/>
      </c>
      <c r="S47" s="90" t="str">
        <f aca="false">IF(Q47="","",O47/Q47)</f>
        <v/>
      </c>
      <c r="T47" s="90" t="str">
        <f aca="false">IF(Q47="","",P47/Q47)</f>
        <v/>
      </c>
      <c r="U47" s="93"/>
    </row>
    <row r="48" customFormat="false" ht="15" hidden="false" customHeight="true" outlineLevel="0" collapsed="false">
      <c r="A48" s="88" t="n">
        <v>33</v>
      </c>
      <c r="B48" s="88"/>
      <c r="C48" s="88"/>
      <c r="D48" s="88"/>
      <c r="E48" s="88" t="n">
        <v>3</v>
      </c>
      <c r="F48" s="90" t="n">
        <f aca="false">(Componentes!AB14/(Componentes!AB14+Componentes!AB15))*Componentes!P14+(Componentes!AB15/(Componentes!AB14+Componentes!AB15))*Componentes!P15</f>
        <v>0.975098371888153</v>
      </c>
      <c r="G48" s="91" t="e">
        <f aca="false">IF(#REF!="","",#REF!*7/$B$5)</f>
        <v>#REF!</v>
      </c>
      <c r="H48" s="91" t="e">
        <f aca="false">IF(#REF!="","",#REF!*7/$B$4)</f>
        <v>#REF!</v>
      </c>
      <c r="I48" s="91" t="e">
        <f aca="false">IF(#REF!="","",#REF!*7/F48)</f>
        <v>#REF!</v>
      </c>
      <c r="J48" s="92"/>
      <c r="K48" s="92"/>
      <c r="L48" s="92"/>
      <c r="M48" s="92"/>
      <c r="N48" s="90" t="str">
        <f aca="false">IF(OR(J48="",K48=""),"",K48-J48)</f>
        <v/>
      </c>
      <c r="O48" s="90" t="str">
        <f aca="false">IF(OR(K48="",L48=""),"",L48-K48)</f>
        <v/>
      </c>
      <c r="P48" s="90" t="str">
        <f aca="false">IF(OR(L48="",M48=""),"",M48-L48)</f>
        <v/>
      </c>
      <c r="Q48" s="90" t="str">
        <f aca="false">IF(OR(J48="",M48=""),"",M48-J48)</f>
        <v/>
      </c>
      <c r="R48" s="90" t="str">
        <f aca="false">IF(Q48="","",N48/Q48)</f>
        <v/>
      </c>
      <c r="S48" s="90" t="str">
        <f aca="false">IF(Q48="","",O48/Q48)</f>
        <v/>
      </c>
      <c r="T48" s="90" t="str">
        <f aca="false">IF(Q48="","",P48/Q48)</f>
        <v/>
      </c>
      <c r="U48" s="93"/>
    </row>
    <row r="49" customFormat="false" ht="15" hidden="false" customHeight="true" outlineLevel="0" collapsed="false">
      <c r="A49" s="88" t="n">
        <v>34</v>
      </c>
      <c r="B49" s="88"/>
      <c r="C49" s="88"/>
      <c r="D49" s="88"/>
      <c r="E49" s="88" t="n">
        <v>4</v>
      </c>
      <c r="F49" s="90" t="n">
        <f aca="false">(Componentes!AB14/(Componentes!AB14+Componentes!AB15))*Componentes!P14+(Componentes!AB15/(Componentes!AB14+Componentes!AB15))*Componentes!P15</f>
        <v>0.975098371888153</v>
      </c>
      <c r="G49" s="91" t="e">
        <f aca="false">IF(#REF!="","",#REF!*7/$B$5)</f>
        <v>#REF!</v>
      </c>
      <c r="H49" s="91" t="e">
        <f aca="false">IF(#REF!="","",#REF!*7/$B$4)</f>
        <v>#REF!</v>
      </c>
      <c r="I49" s="91" t="e">
        <f aca="false">IF(#REF!="","",#REF!*7/F49)</f>
        <v>#REF!</v>
      </c>
      <c r="J49" s="92"/>
      <c r="K49" s="92"/>
      <c r="L49" s="92"/>
      <c r="M49" s="92"/>
      <c r="N49" s="90" t="str">
        <f aca="false">IF(OR(J49="",K49=""),"",K49-J49)</f>
        <v/>
      </c>
      <c r="O49" s="90" t="str">
        <f aca="false">IF(OR(K49="",L49=""),"",L49-K49)</f>
        <v/>
      </c>
      <c r="P49" s="90" t="str">
        <f aca="false">IF(OR(L49="",M49=""),"",M49-L49)</f>
        <v/>
      </c>
      <c r="Q49" s="90" t="str">
        <f aca="false">IF(OR(J49="",M49=""),"",M49-J49)</f>
        <v/>
      </c>
      <c r="R49" s="90" t="str">
        <f aca="false">IF(Q49="","",N49/Q49)</f>
        <v/>
      </c>
      <c r="S49" s="90" t="str">
        <f aca="false">IF(Q49="","",O49/Q49)</f>
        <v/>
      </c>
      <c r="T49" s="90" t="str">
        <f aca="false">IF(Q49="","",P49/Q49)</f>
        <v/>
      </c>
      <c r="U49" s="93"/>
    </row>
    <row r="50" customFormat="false" ht="15" hidden="false" customHeight="true" outlineLevel="0" collapsed="false">
      <c r="A50" s="88" t="n">
        <v>35</v>
      </c>
      <c r="B50" s="88"/>
      <c r="C50" s="88"/>
      <c r="D50" s="88"/>
      <c r="E50" s="88" t="n">
        <v>5</v>
      </c>
      <c r="F50" s="90" t="n">
        <f aca="false">(Componentes!AB14/(Componentes!AB14+Componentes!AB15))*Componentes!P14+(Componentes!AB15/(Componentes!AB14+Componentes!AB15))*Componentes!P15</f>
        <v>0.975098371888153</v>
      </c>
      <c r="G50" s="91" t="e">
        <f aca="false">IF(#REF!="","",#REF!*7/$B$5)</f>
        <v>#REF!</v>
      </c>
      <c r="H50" s="91" t="e">
        <f aca="false">IF(#REF!="","",#REF!*7/$B$4)</f>
        <v>#REF!</v>
      </c>
      <c r="I50" s="91" t="e">
        <f aca="false">IF(#REF!="","",#REF!*7/F50)</f>
        <v>#REF!</v>
      </c>
      <c r="J50" s="92"/>
      <c r="K50" s="92"/>
      <c r="L50" s="92"/>
      <c r="M50" s="92"/>
      <c r="N50" s="90" t="str">
        <f aca="false">IF(OR(J50="",K50=""),"",K50-J50)</f>
        <v/>
      </c>
      <c r="O50" s="90" t="str">
        <f aca="false">IF(OR(K50="",L50=""),"",L50-K50)</f>
        <v/>
      </c>
      <c r="P50" s="90" t="str">
        <f aca="false">IF(OR(L50="",M50=""),"",M50-L50)</f>
        <v/>
      </c>
      <c r="Q50" s="90" t="str">
        <f aca="false">IF(OR(J50="",M50=""),"",M50-J50)</f>
        <v/>
      </c>
      <c r="R50" s="90" t="str">
        <f aca="false">IF(Q50="","",N50/Q50)</f>
        <v/>
      </c>
      <c r="S50" s="90" t="str">
        <f aca="false">IF(Q50="","",O50/Q50)</f>
        <v/>
      </c>
      <c r="T50" s="90" t="str">
        <f aca="false">IF(Q50="","",P50/Q50)</f>
        <v/>
      </c>
      <c r="U50" s="93"/>
    </row>
    <row r="52" customFormat="false" ht="15" hidden="false" customHeight="true" outlineLevel="0" collapsed="false">
      <c r="A52" s="88" t="n">
        <v>36</v>
      </c>
      <c r="B52" s="89" t="s">
        <v>188</v>
      </c>
      <c r="C52" s="88" t="s">
        <v>194</v>
      </c>
      <c r="D52" s="88" t="s">
        <v>162</v>
      </c>
      <c r="E52" s="88" t="n">
        <v>1</v>
      </c>
      <c r="F52" s="90" t="n">
        <f aca="false">(Componentes!AB14/(Componentes!AB14+Componentes!AB16))*Componentes!P14+(Componentes!AB16/(Componentes!AB14+Componentes!AB16))*Componentes!P16</f>
        <v>0.924737089201878</v>
      </c>
      <c r="G52" s="91" t="e">
        <f aca="false">IF(#REF!="","",#REF!*7/$B$5)</f>
        <v>#REF!</v>
      </c>
      <c r="H52" s="91" t="e">
        <f aca="false">IF(#REF!="","",#REF!*7/$B$4)</f>
        <v>#REF!</v>
      </c>
      <c r="I52" s="91" t="e">
        <f aca="false">IF(#REF!="","",#REF!*7/F52)</f>
        <v>#REF!</v>
      </c>
      <c r="J52" s="92"/>
      <c r="K52" s="92"/>
      <c r="L52" s="92"/>
      <c r="M52" s="92"/>
      <c r="N52" s="90" t="str">
        <f aca="false">IF(OR(J52="",K52=""),"",K52-J52)</f>
        <v/>
      </c>
      <c r="O52" s="90" t="str">
        <f aca="false">IF(OR(K52="",L52=""),"",L52-K52)</f>
        <v/>
      </c>
      <c r="P52" s="90" t="str">
        <f aca="false">IF(OR(L52="",M52=""),"",M52-L52)</f>
        <v/>
      </c>
      <c r="Q52" s="90" t="str">
        <f aca="false">IF(OR(J52="",M52=""),"",M52-J52)</f>
        <v/>
      </c>
      <c r="R52" s="90" t="str">
        <f aca="false">IF(Q52="","",N52/Q52)</f>
        <v/>
      </c>
      <c r="S52" s="90" t="str">
        <f aca="false">IF(Q52="","",O52/Q52)</f>
        <v/>
      </c>
      <c r="T52" s="90" t="str">
        <f aca="false">IF(Q52="","",P52/Q52)</f>
        <v/>
      </c>
      <c r="U52" s="93"/>
    </row>
    <row r="53" customFormat="false" ht="15" hidden="false" customHeight="true" outlineLevel="0" collapsed="false">
      <c r="A53" s="88" t="n">
        <v>37</v>
      </c>
      <c r="B53" s="88"/>
      <c r="C53" s="88"/>
      <c r="D53" s="88"/>
      <c r="E53" s="88" t="n">
        <v>2</v>
      </c>
      <c r="F53" s="90" t="n">
        <f aca="false">(Componentes!AB14/(Componentes!AB14+Componentes!AB16))*Componentes!P14+(Componentes!AB16/(Componentes!AB14+Componentes!AB16))*Componentes!P16</f>
        <v>0.924737089201878</v>
      </c>
      <c r="G53" s="91" t="e">
        <f aca="false">IF(#REF!="","",#REF!*7/$B$5)</f>
        <v>#REF!</v>
      </c>
      <c r="H53" s="91" t="e">
        <f aca="false">IF(#REF!="","",#REF!*7/$B$4)</f>
        <v>#REF!</v>
      </c>
      <c r="I53" s="91" t="e">
        <f aca="false">IF(#REF!="","",#REF!*7/F53)</f>
        <v>#REF!</v>
      </c>
      <c r="J53" s="92"/>
      <c r="K53" s="92"/>
      <c r="L53" s="92"/>
      <c r="M53" s="92"/>
      <c r="N53" s="90" t="str">
        <f aca="false">IF(OR(J53="",K53=""),"",K53-J53)</f>
        <v/>
      </c>
      <c r="O53" s="90" t="str">
        <f aca="false">IF(OR(K53="",L53=""),"",L53-K53)</f>
        <v/>
      </c>
      <c r="P53" s="90" t="str">
        <f aca="false">IF(OR(L53="",M53=""),"",M53-L53)</f>
        <v/>
      </c>
      <c r="Q53" s="90" t="str">
        <f aca="false">IF(OR(J53="",M53=""),"",M53-J53)</f>
        <v/>
      </c>
      <c r="R53" s="90" t="str">
        <f aca="false">IF(Q53="","",N53/Q53)</f>
        <v/>
      </c>
      <c r="S53" s="90" t="str">
        <f aca="false">IF(Q53="","",O53/Q53)</f>
        <v/>
      </c>
      <c r="T53" s="90" t="str">
        <f aca="false">IF(Q53="","",P53/Q53)</f>
        <v/>
      </c>
      <c r="U53" s="93"/>
    </row>
    <row r="54" customFormat="false" ht="15" hidden="false" customHeight="true" outlineLevel="0" collapsed="false">
      <c r="A54" s="88" t="n">
        <v>38</v>
      </c>
      <c r="B54" s="88"/>
      <c r="C54" s="88"/>
      <c r="D54" s="88"/>
      <c r="E54" s="88" t="n">
        <v>3</v>
      </c>
      <c r="F54" s="90" t="n">
        <f aca="false">(Componentes!AB14/(Componentes!AB14+Componentes!AB16))*Componentes!P14+(Componentes!AB16/(Componentes!AB14+Componentes!AB16))*Componentes!P16</f>
        <v>0.924737089201878</v>
      </c>
      <c r="G54" s="91" t="e">
        <f aca="false">IF(#REF!="","",#REF!*7/$B$5)</f>
        <v>#REF!</v>
      </c>
      <c r="H54" s="91" t="e">
        <f aca="false">IF(#REF!="","",#REF!*7/$B$4)</f>
        <v>#REF!</v>
      </c>
      <c r="I54" s="91" t="e">
        <f aca="false">IF(#REF!="","",#REF!*7/F54)</f>
        <v>#REF!</v>
      </c>
      <c r="J54" s="92"/>
      <c r="K54" s="92"/>
      <c r="L54" s="92"/>
      <c r="M54" s="92"/>
      <c r="N54" s="90" t="str">
        <f aca="false">IF(OR(J54="",K54=""),"",K54-J54)</f>
        <v/>
      </c>
      <c r="O54" s="90" t="str">
        <f aca="false">IF(OR(K54="",L54=""),"",L54-K54)</f>
        <v/>
      </c>
      <c r="P54" s="90" t="str">
        <f aca="false">IF(OR(L54="",M54=""),"",M54-L54)</f>
        <v/>
      </c>
      <c r="Q54" s="90" t="str">
        <f aca="false">IF(OR(J54="",M54=""),"",M54-J54)</f>
        <v/>
      </c>
      <c r="R54" s="90" t="str">
        <f aca="false">IF(Q54="","",N54/Q54)</f>
        <v/>
      </c>
      <c r="S54" s="90" t="str">
        <f aca="false">IF(Q54="","",O54/Q54)</f>
        <v/>
      </c>
      <c r="T54" s="90" t="str">
        <f aca="false">IF(Q54="","",P54/Q54)</f>
        <v/>
      </c>
      <c r="U54" s="93"/>
    </row>
    <row r="55" customFormat="false" ht="15" hidden="false" customHeight="true" outlineLevel="0" collapsed="false">
      <c r="A55" s="88" t="n">
        <v>39</v>
      </c>
      <c r="B55" s="88"/>
      <c r="C55" s="88"/>
      <c r="D55" s="88"/>
      <c r="E55" s="88" t="n">
        <v>4</v>
      </c>
      <c r="F55" s="90" t="n">
        <f aca="false">(Componentes!AB14/(Componentes!AB14+Componentes!AB16))*Componentes!P14+(Componentes!AB16/(Componentes!AB14+Componentes!AB16))*Componentes!P16</f>
        <v>0.924737089201878</v>
      </c>
      <c r="G55" s="91" t="e">
        <f aca="false">IF(#REF!="","",#REF!*7/$B$5)</f>
        <v>#REF!</v>
      </c>
      <c r="H55" s="91" t="e">
        <f aca="false">IF(#REF!="","",#REF!*7/$B$4)</f>
        <v>#REF!</v>
      </c>
      <c r="I55" s="91" t="e">
        <f aca="false">IF(#REF!="","",#REF!*7/F55)</f>
        <v>#REF!</v>
      </c>
      <c r="J55" s="92"/>
      <c r="K55" s="92"/>
      <c r="L55" s="92"/>
      <c r="M55" s="92"/>
      <c r="N55" s="90" t="str">
        <f aca="false">IF(OR(J55="",K55=""),"",K55-J55)</f>
        <v/>
      </c>
      <c r="O55" s="90" t="str">
        <f aca="false">IF(OR(K55="",L55=""),"",L55-K55)</f>
        <v/>
      </c>
      <c r="P55" s="90" t="str">
        <f aca="false">IF(OR(L55="",M55=""),"",M55-L55)</f>
        <v/>
      </c>
      <c r="Q55" s="90" t="str">
        <f aca="false">IF(OR(J55="",M55=""),"",M55-J55)</f>
        <v/>
      </c>
      <c r="R55" s="90" t="str">
        <f aca="false">IF(Q55="","",N55/Q55)</f>
        <v/>
      </c>
      <c r="S55" s="90" t="str">
        <f aca="false">IF(Q55="","",O55/Q55)</f>
        <v/>
      </c>
      <c r="T55" s="90" t="str">
        <f aca="false">IF(Q55="","",P55/Q55)</f>
        <v/>
      </c>
      <c r="U55" s="93"/>
    </row>
    <row r="56" customFormat="false" ht="15" hidden="false" customHeight="true" outlineLevel="0" collapsed="false">
      <c r="A56" s="88" t="n">
        <v>40</v>
      </c>
      <c r="B56" s="88"/>
      <c r="C56" s="88"/>
      <c r="D56" s="88"/>
      <c r="E56" s="88" t="n">
        <v>5</v>
      </c>
      <c r="F56" s="90" t="n">
        <f aca="false">(Componentes!AB14/(Componentes!AB14+Componentes!AB16))*Componentes!P14+(Componentes!AB16/(Componentes!AB14+Componentes!AB16))*Componentes!P16</f>
        <v>0.924737089201878</v>
      </c>
      <c r="G56" s="91" t="e">
        <f aca="false">IF(#REF!="","",#REF!*7/$B$5)</f>
        <v>#REF!</v>
      </c>
      <c r="H56" s="91" t="e">
        <f aca="false">IF(#REF!="","",#REF!*7/$B$4)</f>
        <v>#REF!</v>
      </c>
      <c r="I56" s="91" t="e">
        <f aca="false">IF(#REF!="","",#REF!*7/F56)</f>
        <v>#REF!</v>
      </c>
      <c r="J56" s="92"/>
      <c r="K56" s="92"/>
      <c r="L56" s="92"/>
      <c r="M56" s="92"/>
      <c r="N56" s="90" t="str">
        <f aca="false">IF(OR(J56="",K56=""),"",K56-J56)</f>
        <v/>
      </c>
      <c r="O56" s="90" t="str">
        <f aca="false">IF(OR(K56="",L56=""),"",L56-K56)</f>
        <v/>
      </c>
      <c r="P56" s="90" t="str">
        <f aca="false">IF(OR(L56="",M56=""),"",M56-L56)</f>
        <v/>
      </c>
      <c r="Q56" s="90" t="str">
        <f aca="false">IF(OR(J56="",M56=""),"",M56-J56)</f>
        <v/>
      </c>
      <c r="R56" s="90" t="str">
        <f aca="false">IF(Q56="","",N56/Q56)</f>
        <v/>
      </c>
      <c r="S56" s="90" t="str">
        <f aca="false">IF(Q56="","",O56/Q56)</f>
        <v/>
      </c>
      <c r="T56" s="90" t="str">
        <f aca="false">IF(Q56="","",P56/Q56)</f>
        <v/>
      </c>
      <c r="U56" s="93"/>
    </row>
    <row r="58" customFormat="false" ht="15" hidden="false" customHeight="true" outlineLevel="0" collapsed="false">
      <c r="A58" s="88" t="n">
        <v>41</v>
      </c>
      <c r="B58" s="89" t="s">
        <v>189</v>
      </c>
      <c r="C58" s="88" t="s">
        <v>194</v>
      </c>
      <c r="D58" s="88" t="s">
        <v>168</v>
      </c>
      <c r="E58" s="88" t="n">
        <v>1</v>
      </c>
      <c r="F58" s="90" t="n">
        <f aca="false">(Componentes!AB14/(Componentes!AB14+Componentes!AB17))*Componentes!P14+(Componentes!AB17/(Componentes!AB14+Componentes!AB17))*Componentes!P17</f>
        <v>0.968821261534572</v>
      </c>
      <c r="G58" s="91" t="e">
        <f aca="false">IF(#REF!="","",#REF!*7/$B$5)</f>
        <v>#REF!</v>
      </c>
      <c r="H58" s="91" t="e">
        <f aca="false">IF(#REF!="","",#REF!*7/$B$4)</f>
        <v>#REF!</v>
      </c>
      <c r="I58" s="91" t="e">
        <f aca="false">IF(#REF!="","",#REF!*7/F58)</f>
        <v>#REF!</v>
      </c>
      <c r="J58" s="92"/>
      <c r="K58" s="92"/>
      <c r="L58" s="92"/>
      <c r="M58" s="92"/>
      <c r="N58" s="90" t="str">
        <f aca="false">IF(OR(J58="",K58=""),"",K58-J58)</f>
        <v/>
      </c>
      <c r="O58" s="90" t="str">
        <f aca="false">IF(OR(K58="",L58=""),"",L58-K58)</f>
        <v/>
      </c>
      <c r="P58" s="90" t="str">
        <f aca="false">IF(OR(L58="",M58=""),"",M58-L58)</f>
        <v/>
      </c>
      <c r="Q58" s="90" t="str">
        <f aca="false">IF(OR(J58="",M58=""),"",M58-J58)</f>
        <v/>
      </c>
      <c r="R58" s="90" t="str">
        <f aca="false">IF(Q58="","",N58/Q58)</f>
        <v/>
      </c>
      <c r="S58" s="90" t="str">
        <f aca="false">IF(Q58="","",O58/Q58)</f>
        <v/>
      </c>
      <c r="T58" s="90" t="str">
        <f aca="false">IF(Q58="","",P58/Q58)</f>
        <v/>
      </c>
      <c r="U58" s="93"/>
    </row>
    <row r="59" customFormat="false" ht="15" hidden="false" customHeight="true" outlineLevel="0" collapsed="false">
      <c r="A59" s="88" t="n">
        <v>42</v>
      </c>
      <c r="B59" s="88"/>
      <c r="C59" s="88"/>
      <c r="D59" s="88"/>
      <c r="E59" s="88" t="n">
        <v>2</v>
      </c>
      <c r="F59" s="90" t="n">
        <f aca="false">(Componentes!AB14/(Componentes!AB14+Componentes!AB17))*Componentes!P14+(Componentes!AB17/(Componentes!AB14+Componentes!AB17))*Componentes!P17</f>
        <v>0.968821261534572</v>
      </c>
      <c r="G59" s="91" t="e">
        <f aca="false">IF(#REF!="","",#REF!*7/$B$5)</f>
        <v>#REF!</v>
      </c>
      <c r="H59" s="91" t="e">
        <f aca="false">IF(#REF!="","",#REF!*7/$B$4)</f>
        <v>#REF!</v>
      </c>
      <c r="I59" s="91" t="e">
        <f aca="false">IF(#REF!="","",#REF!*7/F59)</f>
        <v>#REF!</v>
      </c>
      <c r="J59" s="92"/>
      <c r="K59" s="92"/>
      <c r="L59" s="92"/>
      <c r="M59" s="92"/>
      <c r="N59" s="90" t="str">
        <f aca="false">IF(OR(J59="",K59=""),"",K59-J59)</f>
        <v/>
      </c>
      <c r="O59" s="90" t="str">
        <f aca="false">IF(OR(K59="",L59=""),"",L59-K59)</f>
        <v/>
      </c>
      <c r="P59" s="90" t="str">
        <f aca="false">IF(OR(L59="",M59=""),"",M59-L59)</f>
        <v/>
      </c>
      <c r="Q59" s="90" t="str">
        <f aca="false">IF(OR(J59="",M59=""),"",M59-J59)</f>
        <v/>
      </c>
      <c r="R59" s="90" t="str">
        <f aca="false">IF(Q59="","",N59/Q59)</f>
        <v/>
      </c>
      <c r="S59" s="90" t="str">
        <f aca="false">IF(Q59="","",O59/Q59)</f>
        <v/>
      </c>
      <c r="T59" s="90" t="str">
        <f aca="false">IF(Q59="","",P59/Q59)</f>
        <v/>
      </c>
      <c r="U59" s="93"/>
    </row>
    <row r="60" customFormat="false" ht="15" hidden="false" customHeight="true" outlineLevel="0" collapsed="false">
      <c r="A60" s="88" t="n">
        <v>43</v>
      </c>
      <c r="B60" s="88"/>
      <c r="C60" s="88"/>
      <c r="D60" s="88"/>
      <c r="E60" s="88" t="n">
        <v>3</v>
      </c>
      <c r="F60" s="90" t="n">
        <f aca="false">(Componentes!AB14/(Componentes!AB14+Componentes!AB17))*Componentes!P14+(Componentes!AB17/(Componentes!AB14+Componentes!AB17))*Componentes!P17</f>
        <v>0.968821261534572</v>
      </c>
      <c r="G60" s="91" t="e">
        <f aca="false">IF(#REF!="","",#REF!*7/$B$5)</f>
        <v>#REF!</v>
      </c>
      <c r="H60" s="91" t="e">
        <f aca="false">IF(#REF!="","",#REF!*7/$B$4)</f>
        <v>#REF!</v>
      </c>
      <c r="I60" s="91" t="e">
        <f aca="false">IF(#REF!="","",#REF!*7/F60)</f>
        <v>#REF!</v>
      </c>
      <c r="J60" s="92"/>
      <c r="K60" s="92"/>
      <c r="L60" s="92"/>
      <c r="M60" s="92"/>
      <c r="N60" s="90" t="str">
        <f aca="false">IF(OR(J60="",K60=""),"",K60-J60)</f>
        <v/>
      </c>
      <c r="O60" s="90" t="str">
        <f aca="false">IF(OR(K60="",L60=""),"",L60-K60)</f>
        <v/>
      </c>
      <c r="P60" s="90" t="str">
        <f aca="false">IF(OR(L60="",M60=""),"",M60-L60)</f>
        <v/>
      </c>
      <c r="Q60" s="90" t="str">
        <f aca="false">IF(OR(J60="",M60=""),"",M60-J60)</f>
        <v/>
      </c>
      <c r="R60" s="90" t="str">
        <f aca="false">IF(Q60="","",N60/Q60)</f>
        <v/>
      </c>
      <c r="S60" s="90" t="str">
        <f aca="false">IF(Q60="","",O60/Q60)</f>
        <v/>
      </c>
      <c r="T60" s="90" t="str">
        <f aca="false">IF(Q60="","",P60/Q60)</f>
        <v/>
      </c>
      <c r="U60" s="93"/>
    </row>
    <row r="61" customFormat="false" ht="15" hidden="false" customHeight="true" outlineLevel="0" collapsed="false">
      <c r="A61" s="88" t="n">
        <v>44</v>
      </c>
      <c r="B61" s="88"/>
      <c r="C61" s="88"/>
      <c r="D61" s="88"/>
      <c r="E61" s="88" t="n">
        <v>4</v>
      </c>
      <c r="F61" s="90" t="n">
        <f aca="false">(Componentes!AB14/(Componentes!AB14+Componentes!AB17))*Componentes!P14+(Componentes!AB17/(Componentes!AB14+Componentes!AB17))*Componentes!P17</f>
        <v>0.968821261534572</v>
      </c>
      <c r="G61" s="91" t="e">
        <f aca="false">IF(#REF!="","",#REF!*7/$B$5)</f>
        <v>#REF!</v>
      </c>
      <c r="H61" s="91" t="e">
        <f aca="false">IF(#REF!="","",#REF!*7/$B$4)</f>
        <v>#REF!</v>
      </c>
      <c r="I61" s="91" t="e">
        <f aca="false">IF(#REF!="","",#REF!*7/F61)</f>
        <v>#REF!</v>
      </c>
      <c r="J61" s="92"/>
      <c r="K61" s="92"/>
      <c r="L61" s="92"/>
      <c r="M61" s="92"/>
      <c r="N61" s="90" t="str">
        <f aca="false">IF(OR(J61="",K61=""),"",K61-J61)</f>
        <v/>
      </c>
      <c r="O61" s="90" t="str">
        <f aca="false">IF(OR(K61="",L61=""),"",L61-K61)</f>
        <v/>
      </c>
      <c r="P61" s="90" t="str">
        <f aca="false">IF(OR(L61="",M61=""),"",M61-L61)</f>
        <v/>
      </c>
      <c r="Q61" s="90" t="str">
        <f aca="false">IF(OR(J61="",M61=""),"",M61-J61)</f>
        <v/>
      </c>
      <c r="R61" s="90" t="str">
        <f aca="false">IF(Q61="","",N61/Q61)</f>
        <v/>
      </c>
      <c r="S61" s="90" t="str">
        <f aca="false">IF(Q61="","",O61/Q61)</f>
        <v/>
      </c>
      <c r="T61" s="90" t="str">
        <f aca="false">IF(Q61="","",P61/Q61)</f>
        <v/>
      </c>
      <c r="U61" s="93"/>
    </row>
    <row r="62" customFormat="false" ht="15" hidden="false" customHeight="true" outlineLevel="0" collapsed="false">
      <c r="A62" s="88" t="n">
        <v>45</v>
      </c>
      <c r="B62" s="88"/>
      <c r="C62" s="88"/>
      <c r="D62" s="88"/>
      <c r="E62" s="88" t="n">
        <v>5</v>
      </c>
      <c r="F62" s="90" t="n">
        <f aca="false">(Componentes!AB14/(Componentes!AB14+Componentes!AB17))*Componentes!P14+(Componentes!AB17/(Componentes!AB14+Componentes!AB17))*Componentes!P17</f>
        <v>0.968821261534572</v>
      </c>
      <c r="G62" s="91" t="e">
        <f aca="false">IF(#REF!="","",#REF!*7/$B$5)</f>
        <v>#REF!</v>
      </c>
      <c r="H62" s="91" t="e">
        <f aca="false">IF(#REF!="","",#REF!*7/$B$4)</f>
        <v>#REF!</v>
      </c>
      <c r="I62" s="91" t="e">
        <f aca="false">IF(#REF!="","",#REF!*7/F62)</f>
        <v>#REF!</v>
      </c>
      <c r="J62" s="92"/>
      <c r="K62" s="92"/>
      <c r="L62" s="92"/>
      <c r="M62" s="92"/>
      <c r="N62" s="90" t="str">
        <f aca="false">IF(OR(J62="",K62=""),"",K62-J62)</f>
        <v/>
      </c>
      <c r="O62" s="90" t="str">
        <f aca="false">IF(OR(K62="",L62=""),"",L62-K62)</f>
        <v/>
      </c>
      <c r="P62" s="90" t="str">
        <f aca="false">IF(OR(L62="",M62=""),"",M62-L62)</f>
        <v/>
      </c>
      <c r="Q62" s="90" t="str">
        <f aca="false">IF(OR(J62="",M62=""),"",M62-J62)</f>
        <v/>
      </c>
      <c r="R62" s="90" t="str">
        <f aca="false">IF(Q62="","",N62/Q62)</f>
        <v/>
      </c>
      <c r="S62" s="90" t="str">
        <f aca="false">IF(Q62="","",O62/Q62)</f>
        <v/>
      </c>
      <c r="T62" s="90" t="str">
        <f aca="false">IF(Q62="","",P62/Q62)</f>
        <v/>
      </c>
      <c r="U62" s="9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9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A185" activeCellId="0" sqref="A18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5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58.2"/>
  </cols>
  <sheetData>
    <row r="1" customFormat="false" ht="17.35" hidden="false" customHeight="false" outlineLevel="0" collapsed="false">
      <c r="A1" s="94" t="s">
        <v>237</v>
      </c>
      <c r="H1" s="95" t="s">
        <v>238</v>
      </c>
      <c r="I1" s="96" t="s">
        <v>239</v>
      </c>
      <c r="J1" s="97" t="s">
        <v>240</v>
      </c>
      <c r="K1" s="98" t="s">
        <v>241</v>
      </c>
    </row>
    <row r="2" customFormat="false" ht="15" hidden="false" customHeight="false" outlineLevel="0" collapsed="false">
      <c r="A2" s="99" t="s">
        <v>242</v>
      </c>
      <c r="I2" s="100" t="s">
        <v>243</v>
      </c>
      <c r="J2" s="101" t="s">
        <v>244</v>
      </c>
    </row>
    <row r="3" customFormat="false" ht="23.85" hidden="false" customHeight="false" outlineLevel="0" collapsed="false">
      <c r="A3" s="87" t="s">
        <v>245</v>
      </c>
      <c r="B3" s="87" t="s">
        <v>246</v>
      </c>
      <c r="C3" s="87" t="s">
        <v>247</v>
      </c>
      <c r="D3" s="87" t="s">
        <v>248</v>
      </c>
      <c r="E3" s="87" t="s">
        <v>249</v>
      </c>
      <c r="F3" s="87" t="s">
        <v>250</v>
      </c>
      <c r="G3" s="87" t="s">
        <v>251</v>
      </c>
      <c r="H3" s="87" t="s">
        <v>252</v>
      </c>
      <c r="I3" s="87" t="s">
        <v>253</v>
      </c>
      <c r="J3" s="87" t="s">
        <v>254</v>
      </c>
      <c r="K3" s="87" t="s">
        <v>255</v>
      </c>
      <c r="L3" s="87" t="s">
        <v>28</v>
      </c>
    </row>
    <row r="4" customFormat="false" ht="15" hidden="false" customHeight="false" outlineLevel="0" collapsed="false">
      <c r="A4" s="102" t="s">
        <v>256</v>
      </c>
      <c r="B4" s="103" t="s">
        <v>257</v>
      </c>
      <c r="C4" s="104" t="n">
        <v>1</v>
      </c>
      <c r="D4" s="105" t="s">
        <v>258</v>
      </c>
      <c r="E4" s="106"/>
      <c r="F4" s="106"/>
      <c r="G4" s="106"/>
      <c r="H4" s="107" t="str">
        <f aca="false">IF(OR(E4="",F4=""),"",F4-E4)</f>
        <v/>
      </c>
      <c r="I4" s="107" t="str">
        <f aca="false">IF(OR(F4="",G4=""),"",G4-F4)</f>
        <v/>
      </c>
      <c r="J4" s="108" t="str">
        <f aca="false">IF(OR(H4="",I4=""),"",(H4+I4)/H4)</f>
        <v/>
      </c>
      <c r="K4" s="109"/>
      <c r="L4" s="110"/>
    </row>
    <row r="5" customFormat="false" ht="15" hidden="false" customHeight="false" outlineLevel="0" collapsed="false">
      <c r="A5" s="111"/>
      <c r="B5" s="111"/>
      <c r="C5" s="111" t="n">
        <v>2</v>
      </c>
      <c r="D5" s="112" t="s">
        <v>259</v>
      </c>
      <c r="E5" s="92"/>
      <c r="F5" s="92"/>
      <c r="G5" s="92"/>
      <c r="H5" s="90" t="str">
        <f aca="false">IF(OR(E5="",F5=""),"",F5-E5)</f>
        <v/>
      </c>
      <c r="I5" s="90" t="str">
        <f aca="false">IF(OR(F5="",G5=""),"",G5-F5)</f>
        <v/>
      </c>
      <c r="J5" s="113" t="str">
        <f aca="false">IF(OR(H5="",I5=""),"",(H5+I5)/H5)</f>
        <v/>
      </c>
      <c r="K5" s="114"/>
      <c r="L5" s="93"/>
    </row>
    <row r="6" customFormat="false" ht="15" hidden="false" customHeight="false" outlineLevel="0" collapsed="false">
      <c r="A6" s="115"/>
      <c r="B6" s="116" t="s">
        <v>260</v>
      </c>
      <c r="C6" s="115" t="n">
        <v>1</v>
      </c>
      <c r="D6" s="112" t="s">
        <v>261</v>
      </c>
      <c r="E6" s="92"/>
      <c r="F6" s="92"/>
      <c r="G6" s="92"/>
      <c r="H6" s="90" t="str">
        <f aca="false">IF(OR(E6="",F6=""),"",F6-E6)</f>
        <v/>
      </c>
      <c r="I6" s="90" t="str">
        <f aca="false">IF(OR(F6="",G6=""),"",G6-F6)</f>
        <v/>
      </c>
      <c r="J6" s="113" t="str">
        <f aca="false">IF(OR(H6="",I6=""),"",(H6+I6)/H6)</f>
        <v/>
      </c>
      <c r="K6" s="117"/>
      <c r="L6" s="93"/>
    </row>
    <row r="7" customFormat="false" ht="15" hidden="false" customHeight="false" outlineLevel="0" collapsed="false">
      <c r="A7" s="115"/>
      <c r="B7" s="115"/>
      <c r="C7" s="115" t="n">
        <v>2</v>
      </c>
      <c r="D7" s="112" t="s">
        <v>262</v>
      </c>
      <c r="E7" s="92"/>
      <c r="F7" s="92"/>
      <c r="G7" s="92"/>
      <c r="H7" s="90" t="str">
        <f aca="false">IF(OR(E7="",F7=""),"",F7-E7)</f>
        <v/>
      </c>
      <c r="I7" s="90" t="str">
        <f aca="false">IF(OR(F7="",G7=""),"",G7-F7)</f>
        <v/>
      </c>
      <c r="J7" s="113" t="str">
        <f aca="false">IF(OR(H7="",I7=""),"",(H7+I7)/H7)</f>
        <v/>
      </c>
      <c r="K7" s="114"/>
      <c r="L7" s="93"/>
    </row>
    <row r="8" customFormat="false" ht="15" hidden="false" customHeight="false" outlineLevel="0" collapsed="false">
      <c r="A8" s="102" t="s">
        <v>263</v>
      </c>
      <c r="B8" s="103" t="s">
        <v>257</v>
      </c>
      <c r="C8" s="104" t="n">
        <v>1</v>
      </c>
      <c r="D8" s="105" t="s">
        <v>264</v>
      </c>
      <c r="E8" s="106"/>
      <c r="F8" s="106"/>
      <c r="G8" s="106"/>
      <c r="H8" s="107" t="str">
        <f aca="false">IF(OR(E8="",F8=""),"",F8-E8)</f>
        <v/>
      </c>
      <c r="I8" s="107" t="str">
        <f aca="false">IF(OR(F8="",G8=""),"",G8-F8)</f>
        <v/>
      </c>
      <c r="J8" s="108" t="str">
        <f aca="false">IF(OR(H8="",I8=""),"",(H8+I8)/H8)</f>
        <v/>
      </c>
      <c r="K8" s="109"/>
      <c r="L8" s="110"/>
    </row>
    <row r="9" customFormat="false" ht="15" hidden="false" customHeight="false" outlineLevel="0" collapsed="false">
      <c r="A9" s="111"/>
      <c r="B9" s="111"/>
      <c r="C9" s="111" t="n">
        <v>2</v>
      </c>
      <c r="D9" s="112" t="s">
        <v>265</v>
      </c>
      <c r="E9" s="92"/>
      <c r="F9" s="92"/>
      <c r="G9" s="92"/>
      <c r="H9" s="90" t="str">
        <f aca="false">IF(OR(E9="",F9=""),"",F9-E9)</f>
        <v/>
      </c>
      <c r="I9" s="90" t="str">
        <f aca="false">IF(OR(F9="",G9=""),"",G9-F9)</f>
        <v/>
      </c>
      <c r="J9" s="113" t="str">
        <f aca="false">IF(OR(H9="",I9=""),"",(H9+I9)/H9)</f>
        <v/>
      </c>
      <c r="K9" s="114"/>
      <c r="L9" s="93"/>
    </row>
    <row r="10" customFormat="false" ht="15" hidden="false" customHeight="false" outlineLevel="0" collapsed="false">
      <c r="A10" s="115"/>
      <c r="B10" s="116" t="s">
        <v>260</v>
      </c>
      <c r="C10" s="115" t="n">
        <v>1</v>
      </c>
      <c r="D10" s="112" t="s">
        <v>266</v>
      </c>
      <c r="E10" s="92"/>
      <c r="F10" s="92"/>
      <c r="G10" s="92"/>
      <c r="H10" s="90" t="str">
        <f aca="false">IF(OR(E10="",F10=""),"",F10-E10)</f>
        <v/>
      </c>
      <c r="I10" s="90" t="str">
        <f aca="false">IF(OR(F10="",G10=""),"",G10-F10)</f>
        <v/>
      </c>
      <c r="J10" s="113" t="str">
        <f aca="false">IF(OR(H10="",I10=""),"",(H10+I10)/H10)</f>
        <v/>
      </c>
      <c r="K10" s="117"/>
      <c r="L10" s="93"/>
    </row>
    <row r="11" customFormat="false" ht="15" hidden="false" customHeight="false" outlineLevel="0" collapsed="false">
      <c r="A11" s="115"/>
      <c r="B11" s="115"/>
      <c r="C11" s="115" t="n">
        <v>2</v>
      </c>
      <c r="D11" s="112" t="s">
        <v>267</v>
      </c>
      <c r="E11" s="92"/>
      <c r="F11" s="92"/>
      <c r="G11" s="92"/>
      <c r="H11" s="90" t="str">
        <f aca="false">IF(OR(E11="",F11=""),"",F11-E11)</f>
        <v/>
      </c>
      <c r="I11" s="90" t="str">
        <f aca="false">IF(OR(F11="",G11=""),"",G11-F11)</f>
        <v/>
      </c>
      <c r="J11" s="113" t="str">
        <f aca="false">IF(OR(H11="",I11=""),"",(H11+I11)/H11)</f>
        <v/>
      </c>
      <c r="K11" s="114"/>
      <c r="L11" s="93"/>
    </row>
    <row r="12" customFormat="false" ht="15" hidden="false" customHeight="false" outlineLevel="0" collapsed="false">
      <c r="A12" s="102" t="s">
        <v>268</v>
      </c>
      <c r="B12" s="103" t="s">
        <v>257</v>
      </c>
      <c r="C12" s="104" t="n">
        <v>1</v>
      </c>
      <c r="D12" s="105" t="s">
        <v>269</v>
      </c>
      <c r="E12" s="106"/>
      <c r="F12" s="106"/>
      <c r="G12" s="106"/>
      <c r="H12" s="107" t="str">
        <f aca="false">IF(OR(E12="",F12=""),"",F12-E12)</f>
        <v/>
      </c>
      <c r="I12" s="107" t="str">
        <f aca="false">IF(OR(F12="",G12=""),"",G12-F12)</f>
        <v/>
      </c>
      <c r="J12" s="108" t="str">
        <f aca="false">IF(OR(H12="",I12=""),"",(H12+I12)/H12)</f>
        <v/>
      </c>
      <c r="K12" s="109"/>
      <c r="L12" s="110"/>
    </row>
    <row r="13" customFormat="false" ht="15" hidden="false" customHeight="false" outlineLevel="0" collapsed="false">
      <c r="A13" s="111"/>
      <c r="B13" s="111"/>
      <c r="C13" s="111" t="n">
        <v>2</v>
      </c>
      <c r="D13" s="112" t="s">
        <v>270</v>
      </c>
      <c r="E13" s="92"/>
      <c r="F13" s="92"/>
      <c r="G13" s="92"/>
      <c r="H13" s="90" t="str">
        <f aca="false">IF(OR(E13="",F13=""),"",F13-E13)</f>
        <v/>
      </c>
      <c r="I13" s="90" t="str">
        <f aca="false">IF(OR(F13="",G13=""),"",G13-F13)</f>
        <v/>
      </c>
      <c r="J13" s="113" t="str">
        <f aca="false">IF(OR(H13="",I13=""),"",(H13+I13)/H13)</f>
        <v/>
      </c>
      <c r="K13" s="114"/>
      <c r="L13" s="93"/>
    </row>
    <row r="14" customFormat="false" ht="15" hidden="false" customHeight="false" outlineLevel="0" collapsed="false">
      <c r="A14" s="115"/>
      <c r="B14" s="116" t="s">
        <v>260</v>
      </c>
      <c r="C14" s="115" t="n">
        <v>1</v>
      </c>
      <c r="D14" s="112" t="s">
        <v>271</v>
      </c>
      <c r="E14" s="92"/>
      <c r="F14" s="92"/>
      <c r="G14" s="92"/>
      <c r="H14" s="90" t="str">
        <f aca="false">IF(OR(E14="",F14=""),"",F14-E14)</f>
        <v/>
      </c>
      <c r="I14" s="90" t="str">
        <f aca="false">IF(OR(F14="",G14=""),"",G14-F14)</f>
        <v/>
      </c>
      <c r="J14" s="113" t="str">
        <f aca="false">IF(OR(H14="",I14=""),"",(H14+I14)/H14)</f>
        <v/>
      </c>
      <c r="K14" s="117"/>
      <c r="L14" s="93"/>
    </row>
    <row r="15" customFormat="false" ht="15" hidden="false" customHeight="false" outlineLevel="0" collapsed="false">
      <c r="A15" s="115"/>
      <c r="B15" s="115"/>
      <c r="C15" s="115" t="n">
        <v>2</v>
      </c>
      <c r="D15" s="112" t="s">
        <v>272</v>
      </c>
      <c r="E15" s="92"/>
      <c r="F15" s="92"/>
      <c r="G15" s="92"/>
      <c r="H15" s="90" t="str">
        <f aca="false">IF(OR(E15="",F15=""),"",F15-E15)</f>
        <v/>
      </c>
      <c r="I15" s="90" t="str">
        <f aca="false">IF(OR(F15="",G15=""),"",G15-F15)</f>
        <v/>
      </c>
      <c r="J15" s="113" t="str">
        <f aca="false">IF(OR(H15="",I15=""),"",(H15+I15)/H15)</f>
        <v/>
      </c>
      <c r="K15" s="114"/>
      <c r="L15" s="93"/>
    </row>
    <row r="16" customFormat="false" ht="15" hidden="false" customHeight="false" outlineLevel="0" collapsed="false">
      <c r="A16" s="102" t="s">
        <v>273</v>
      </c>
      <c r="B16" s="103" t="s">
        <v>257</v>
      </c>
      <c r="C16" s="104" t="n">
        <v>1</v>
      </c>
      <c r="D16" s="105" t="s">
        <v>274</v>
      </c>
      <c r="E16" s="106"/>
      <c r="F16" s="106"/>
      <c r="G16" s="106"/>
      <c r="H16" s="107" t="str">
        <f aca="false">IF(OR(E16="",F16=""),"",F16-E16)</f>
        <v/>
      </c>
      <c r="I16" s="107" t="str">
        <f aca="false">IF(OR(F16="",G16=""),"",G16-F16)</f>
        <v/>
      </c>
      <c r="J16" s="108" t="str">
        <f aca="false">IF(OR(H16="",I16=""),"",(H16+I16)/H16)</f>
        <v/>
      </c>
      <c r="K16" s="109"/>
      <c r="L16" s="110"/>
    </row>
    <row r="17" customFormat="false" ht="15" hidden="false" customHeight="false" outlineLevel="0" collapsed="false">
      <c r="A17" s="111"/>
      <c r="B17" s="111"/>
      <c r="C17" s="111" t="n">
        <v>2</v>
      </c>
      <c r="D17" s="112" t="s">
        <v>275</v>
      </c>
      <c r="E17" s="92"/>
      <c r="F17" s="92"/>
      <c r="G17" s="92"/>
      <c r="H17" s="90" t="str">
        <f aca="false">IF(OR(E17="",F17=""),"",F17-E17)</f>
        <v/>
      </c>
      <c r="I17" s="90" t="str">
        <f aca="false">IF(OR(F17="",G17=""),"",G17-F17)</f>
        <v/>
      </c>
      <c r="J17" s="113" t="str">
        <f aca="false">IF(OR(H17="",I17=""),"",(H17+I17)/H17)</f>
        <v/>
      </c>
      <c r="K17" s="114"/>
      <c r="L17" s="93"/>
    </row>
    <row r="18" customFormat="false" ht="15" hidden="false" customHeight="false" outlineLevel="0" collapsed="false">
      <c r="A18" s="115"/>
      <c r="B18" s="116" t="s">
        <v>260</v>
      </c>
      <c r="C18" s="115" t="n">
        <v>1</v>
      </c>
      <c r="D18" s="112" t="s">
        <v>276</v>
      </c>
      <c r="E18" s="92"/>
      <c r="F18" s="92"/>
      <c r="G18" s="92"/>
      <c r="H18" s="90" t="str">
        <f aca="false">IF(OR(E18="",F18=""),"",F18-E18)</f>
        <v/>
      </c>
      <c r="I18" s="90" t="str">
        <f aca="false">IF(OR(F18="",G18=""),"",G18-F18)</f>
        <v/>
      </c>
      <c r="J18" s="113" t="str">
        <f aca="false">IF(OR(H18="",I18=""),"",(H18+I18)/H18)</f>
        <v/>
      </c>
      <c r="K18" s="117"/>
      <c r="L18" s="93"/>
    </row>
    <row r="19" customFormat="false" ht="15" hidden="false" customHeight="false" outlineLevel="0" collapsed="false">
      <c r="A19" s="115"/>
      <c r="B19" s="115"/>
      <c r="C19" s="115" t="n">
        <v>2</v>
      </c>
      <c r="D19" s="112" t="s">
        <v>277</v>
      </c>
      <c r="E19" s="92"/>
      <c r="F19" s="92"/>
      <c r="G19" s="92"/>
      <c r="H19" s="90" t="str">
        <f aca="false">IF(OR(E19="",F19=""),"",F19-E19)</f>
        <v/>
      </c>
      <c r="I19" s="90" t="str">
        <f aca="false">IF(OR(F19="",G19=""),"",G19-F19)</f>
        <v/>
      </c>
      <c r="J19" s="113" t="str">
        <f aca="false">IF(OR(H19="",I19=""),"",(H19+I19)/H19)</f>
        <v/>
      </c>
      <c r="K19" s="114"/>
      <c r="L19" s="93"/>
    </row>
    <row r="20" customFormat="false" ht="15" hidden="false" customHeight="false" outlineLevel="0" collapsed="false">
      <c r="A20" s="102" t="s">
        <v>278</v>
      </c>
      <c r="B20" s="103" t="s">
        <v>257</v>
      </c>
      <c r="C20" s="104" t="n">
        <v>1</v>
      </c>
      <c r="D20" s="105" t="s">
        <v>279</v>
      </c>
      <c r="E20" s="106"/>
      <c r="F20" s="106"/>
      <c r="G20" s="106"/>
      <c r="H20" s="107" t="str">
        <f aca="false">IF(OR(E20="",F20=""),"",F20-E20)</f>
        <v/>
      </c>
      <c r="I20" s="107" t="str">
        <f aca="false">IF(OR(F20="",G20=""),"",G20-F20)</f>
        <v/>
      </c>
      <c r="J20" s="108" t="str">
        <f aca="false">IF(OR(H20="",I20=""),"",(H20+I20)/H20)</f>
        <v/>
      </c>
      <c r="K20" s="109"/>
      <c r="L20" s="110"/>
    </row>
    <row r="21" customFormat="false" ht="15" hidden="false" customHeight="false" outlineLevel="0" collapsed="false">
      <c r="A21" s="111"/>
      <c r="B21" s="111"/>
      <c r="C21" s="111" t="n">
        <v>2</v>
      </c>
      <c r="D21" s="112" t="s">
        <v>280</v>
      </c>
      <c r="E21" s="92"/>
      <c r="F21" s="92"/>
      <c r="G21" s="92"/>
      <c r="H21" s="90" t="str">
        <f aca="false">IF(OR(E21="",F21=""),"",F21-E21)</f>
        <v/>
      </c>
      <c r="I21" s="90" t="str">
        <f aca="false">IF(OR(F21="",G21=""),"",G21-F21)</f>
        <v/>
      </c>
      <c r="J21" s="113" t="str">
        <f aca="false">IF(OR(H21="",I21=""),"",(H21+I21)/H21)</f>
        <v/>
      </c>
      <c r="K21" s="114"/>
      <c r="L21" s="93"/>
    </row>
    <row r="22" customFormat="false" ht="15" hidden="false" customHeight="false" outlineLevel="0" collapsed="false">
      <c r="A22" s="115"/>
      <c r="B22" s="116" t="s">
        <v>260</v>
      </c>
      <c r="C22" s="115" t="n">
        <v>1</v>
      </c>
      <c r="D22" s="112" t="s">
        <v>281</v>
      </c>
      <c r="E22" s="92"/>
      <c r="F22" s="92"/>
      <c r="G22" s="92"/>
      <c r="H22" s="90" t="str">
        <f aca="false">IF(OR(E22="",F22=""),"",F22-E22)</f>
        <v/>
      </c>
      <c r="I22" s="90" t="str">
        <f aca="false">IF(OR(F22="",G22=""),"",G22-F22)</f>
        <v/>
      </c>
      <c r="J22" s="113" t="str">
        <f aca="false">IF(OR(H22="",I22=""),"",(H22+I22)/H22)</f>
        <v/>
      </c>
      <c r="K22" s="117"/>
      <c r="L22" s="93"/>
    </row>
    <row r="23" customFormat="false" ht="15" hidden="false" customHeight="false" outlineLevel="0" collapsed="false">
      <c r="A23" s="115"/>
      <c r="B23" s="115"/>
      <c r="C23" s="115" t="n">
        <v>2</v>
      </c>
      <c r="D23" s="112" t="s">
        <v>282</v>
      </c>
      <c r="E23" s="92"/>
      <c r="F23" s="92"/>
      <c r="G23" s="92"/>
      <c r="H23" s="90" t="str">
        <f aca="false">IF(OR(E23="",F23=""),"",F23-E23)</f>
        <v/>
      </c>
      <c r="I23" s="90" t="str">
        <f aca="false">IF(OR(F23="",G23=""),"",G23-F23)</f>
        <v/>
      </c>
      <c r="J23" s="113" t="str">
        <f aca="false">IF(OR(H23="",I23=""),"",(H23+I23)/H23)</f>
        <v/>
      </c>
      <c r="K23" s="114"/>
      <c r="L23" s="93"/>
    </row>
    <row r="24" customFormat="false" ht="17.35" hidden="false" customHeight="false" outlineLevel="0" collapsed="false">
      <c r="A24" s="94" t="s">
        <v>283</v>
      </c>
      <c r="H24" s="95" t="s">
        <v>238</v>
      </c>
      <c r="I24" s="96" t="s">
        <v>239</v>
      </c>
      <c r="J24" s="97" t="s">
        <v>240</v>
      </c>
      <c r="K24" s="98" t="s">
        <v>241</v>
      </c>
    </row>
    <row r="25" customFormat="false" ht="15" hidden="false" customHeight="false" outlineLevel="0" collapsed="false">
      <c r="A25" s="99" t="s">
        <v>242</v>
      </c>
      <c r="I25" s="100" t="s">
        <v>243</v>
      </c>
      <c r="J25" s="101" t="s">
        <v>244</v>
      </c>
    </row>
    <row r="26" customFormat="false" ht="23.85" hidden="false" customHeight="false" outlineLevel="0" collapsed="false">
      <c r="A26" s="87" t="s">
        <v>245</v>
      </c>
      <c r="B26" s="87" t="s">
        <v>246</v>
      </c>
      <c r="C26" s="87" t="s">
        <v>247</v>
      </c>
      <c r="D26" s="87" t="s">
        <v>248</v>
      </c>
      <c r="E26" s="87" t="s">
        <v>249</v>
      </c>
      <c r="F26" s="87" t="s">
        <v>250</v>
      </c>
      <c r="G26" s="87" t="s">
        <v>251</v>
      </c>
      <c r="H26" s="87" t="s">
        <v>252</v>
      </c>
      <c r="I26" s="87" t="s">
        <v>253</v>
      </c>
      <c r="J26" s="87" t="s">
        <v>254</v>
      </c>
      <c r="K26" s="87" t="s">
        <v>255</v>
      </c>
      <c r="L26" s="87" t="s">
        <v>28</v>
      </c>
    </row>
    <row r="27" customFormat="false" ht="15" hidden="false" customHeight="false" outlineLevel="0" collapsed="false">
      <c r="A27" s="102" t="s">
        <v>284</v>
      </c>
      <c r="B27" s="103" t="s">
        <v>257</v>
      </c>
      <c r="C27" s="104" t="n">
        <v>1</v>
      </c>
      <c r="D27" s="105" t="s">
        <v>285</v>
      </c>
      <c r="E27" s="106"/>
      <c r="F27" s="106"/>
      <c r="G27" s="106"/>
      <c r="H27" s="107" t="str">
        <f aca="false">IF(OR(E27="",F27=""),"",F27-E27)</f>
        <v/>
      </c>
      <c r="I27" s="107" t="str">
        <f aca="false">IF(OR(F27="",G27=""),"",G27-F27)</f>
        <v/>
      </c>
      <c r="J27" s="108" t="str">
        <f aca="false">IF(OR(H27="",I27=""),"",(H27+I27)/H27)</f>
        <v/>
      </c>
      <c r="K27" s="109"/>
      <c r="L27" s="110"/>
    </row>
    <row r="28" customFormat="false" ht="15" hidden="false" customHeight="false" outlineLevel="0" collapsed="false">
      <c r="A28" s="111"/>
      <c r="B28" s="111"/>
      <c r="C28" s="111" t="n">
        <v>2</v>
      </c>
      <c r="D28" s="112" t="s">
        <v>286</v>
      </c>
      <c r="E28" s="92"/>
      <c r="F28" s="92"/>
      <c r="G28" s="92"/>
      <c r="H28" s="90" t="str">
        <f aca="false">IF(OR(E28="",F28=""),"",F28-E28)</f>
        <v/>
      </c>
      <c r="I28" s="90" t="str">
        <f aca="false">IF(OR(F28="",G28=""),"",G28-F28)</f>
        <v/>
      </c>
      <c r="J28" s="113" t="str">
        <f aca="false">IF(OR(H28="",I28=""),"",(H28+I28)/H28)</f>
        <v/>
      </c>
      <c r="K28" s="114"/>
      <c r="L28" s="93"/>
    </row>
    <row r="29" customFormat="false" ht="15" hidden="false" customHeight="false" outlineLevel="0" collapsed="false">
      <c r="A29" s="115"/>
      <c r="B29" s="116" t="s">
        <v>260</v>
      </c>
      <c r="C29" s="115" t="n">
        <v>1</v>
      </c>
      <c r="D29" s="112" t="s">
        <v>287</v>
      </c>
      <c r="E29" s="92"/>
      <c r="F29" s="92"/>
      <c r="G29" s="92"/>
      <c r="H29" s="90" t="str">
        <f aca="false">IF(OR(E29="",F29=""),"",F29-E29)</f>
        <v/>
      </c>
      <c r="I29" s="90" t="str">
        <f aca="false">IF(OR(F29="",G29=""),"",G29-F29)</f>
        <v/>
      </c>
      <c r="J29" s="113" t="str">
        <f aca="false">IF(OR(H29="",I29=""),"",(H29+I29)/H29)</f>
        <v/>
      </c>
      <c r="K29" s="117"/>
      <c r="L29" s="93"/>
    </row>
    <row r="30" customFormat="false" ht="15" hidden="false" customHeight="false" outlineLevel="0" collapsed="false">
      <c r="A30" s="115"/>
      <c r="B30" s="115"/>
      <c r="C30" s="115" t="n">
        <v>2</v>
      </c>
      <c r="D30" s="112" t="s">
        <v>288</v>
      </c>
      <c r="E30" s="92"/>
      <c r="F30" s="92"/>
      <c r="G30" s="92"/>
      <c r="H30" s="90" t="str">
        <f aca="false">IF(OR(E30="",F30=""),"",F30-E30)</f>
        <v/>
      </c>
      <c r="I30" s="90" t="str">
        <f aca="false">IF(OR(F30="",G30=""),"",G30-F30)</f>
        <v/>
      </c>
      <c r="J30" s="113" t="str">
        <f aca="false">IF(OR(H30="",I30=""),"",(H30+I30)/H30)</f>
        <v/>
      </c>
      <c r="K30" s="114"/>
      <c r="L30" s="93"/>
    </row>
    <row r="31" customFormat="false" ht="15" hidden="false" customHeight="false" outlineLevel="0" collapsed="false">
      <c r="A31" s="102" t="s">
        <v>289</v>
      </c>
      <c r="B31" s="103" t="s">
        <v>257</v>
      </c>
      <c r="C31" s="104" t="n">
        <v>1</v>
      </c>
      <c r="D31" s="105" t="s">
        <v>290</v>
      </c>
      <c r="E31" s="106"/>
      <c r="F31" s="106"/>
      <c r="G31" s="106"/>
      <c r="H31" s="107" t="str">
        <f aca="false">IF(OR(E31="",F31=""),"",F31-E31)</f>
        <v/>
      </c>
      <c r="I31" s="107" t="str">
        <f aca="false">IF(OR(F31="",G31=""),"",G31-F31)</f>
        <v/>
      </c>
      <c r="J31" s="108" t="str">
        <f aca="false">IF(OR(H31="",I31=""),"",(H31+I31)/H31)</f>
        <v/>
      </c>
      <c r="K31" s="109"/>
      <c r="L31" s="110"/>
    </row>
    <row r="32" customFormat="false" ht="15" hidden="false" customHeight="false" outlineLevel="0" collapsed="false">
      <c r="A32" s="111"/>
      <c r="B32" s="111"/>
      <c r="C32" s="111" t="n">
        <v>2</v>
      </c>
      <c r="D32" s="112" t="s">
        <v>291</v>
      </c>
      <c r="E32" s="92"/>
      <c r="F32" s="92"/>
      <c r="G32" s="92"/>
      <c r="H32" s="90" t="str">
        <f aca="false">IF(OR(E32="",F32=""),"",F32-E32)</f>
        <v/>
      </c>
      <c r="I32" s="90" t="str">
        <f aca="false">IF(OR(F32="",G32=""),"",G32-F32)</f>
        <v/>
      </c>
      <c r="J32" s="113" t="str">
        <f aca="false">IF(OR(H32="",I32=""),"",(H32+I32)/H32)</f>
        <v/>
      </c>
      <c r="K32" s="114"/>
      <c r="L32" s="93"/>
    </row>
    <row r="33" customFormat="false" ht="15" hidden="false" customHeight="false" outlineLevel="0" collapsed="false">
      <c r="A33" s="115"/>
      <c r="B33" s="116" t="s">
        <v>260</v>
      </c>
      <c r="C33" s="115" t="n">
        <v>1</v>
      </c>
      <c r="D33" s="112" t="s">
        <v>292</v>
      </c>
      <c r="E33" s="92"/>
      <c r="F33" s="92"/>
      <c r="G33" s="92"/>
      <c r="H33" s="90" t="str">
        <f aca="false">IF(OR(E33="",F33=""),"",F33-E33)</f>
        <v/>
      </c>
      <c r="I33" s="90" t="str">
        <f aca="false">IF(OR(F33="",G33=""),"",G33-F33)</f>
        <v/>
      </c>
      <c r="J33" s="113" t="str">
        <f aca="false">IF(OR(H33="",I33=""),"",(H33+I33)/H33)</f>
        <v/>
      </c>
      <c r="K33" s="117"/>
      <c r="L33" s="93"/>
    </row>
    <row r="34" customFormat="false" ht="15" hidden="false" customHeight="false" outlineLevel="0" collapsed="false">
      <c r="A34" s="115"/>
      <c r="B34" s="115"/>
      <c r="C34" s="115" t="n">
        <v>2</v>
      </c>
      <c r="D34" s="112" t="s">
        <v>293</v>
      </c>
      <c r="E34" s="92"/>
      <c r="F34" s="92"/>
      <c r="G34" s="92"/>
      <c r="H34" s="90" t="str">
        <f aca="false">IF(OR(E34="",F34=""),"",F34-E34)</f>
        <v/>
      </c>
      <c r="I34" s="90" t="str">
        <f aca="false">IF(OR(F34="",G34=""),"",G34-F34)</f>
        <v/>
      </c>
      <c r="J34" s="113" t="str">
        <f aca="false">IF(OR(H34="",I34=""),"",(H34+I34)/H34)</f>
        <v/>
      </c>
      <c r="K34" s="114"/>
      <c r="L34" s="93"/>
    </row>
    <row r="35" customFormat="false" ht="15" hidden="false" customHeight="false" outlineLevel="0" collapsed="false">
      <c r="A35" s="102" t="s">
        <v>294</v>
      </c>
      <c r="B35" s="103" t="s">
        <v>257</v>
      </c>
      <c r="C35" s="104" t="n">
        <v>1</v>
      </c>
      <c r="D35" s="105" t="s">
        <v>295</v>
      </c>
      <c r="E35" s="106"/>
      <c r="F35" s="106"/>
      <c r="G35" s="106"/>
      <c r="H35" s="107" t="str">
        <f aca="false">IF(OR(E35="",F35=""),"",F35-E35)</f>
        <v/>
      </c>
      <c r="I35" s="107" t="str">
        <f aca="false">IF(OR(F35="",G35=""),"",G35-F35)</f>
        <v/>
      </c>
      <c r="J35" s="108" t="str">
        <f aca="false">IF(OR(H35="",I35=""),"",(H35+I35)/H35)</f>
        <v/>
      </c>
      <c r="K35" s="109"/>
      <c r="L35" s="110"/>
    </row>
    <row r="36" customFormat="false" ht="15" hidden="false" customHeight="false" outlineLevel="0" collapsed="false">
      <c r="A36" s="111"/>
      <c r="B36" s="111"/>
      <c r="C36" s="111" t="n">
        <v>2</v>
      </c>
      <c r="D36" s="112" t="s">
        <v>296</v>
      </c>
      <c r="E36" s="92"/>
      <c r="F36" s="92"/>
      <c r="G36" s="92"/>
      <c r="H36" s="90" t="str">
        <f aca="false">IF(OR(E36="",F36=""),"",F36-E36)</f>
        <v/>
      </c>
      <c r="I36" s="90" t="str">
        <f aca="false">IF(OR(F36="",G36=""),"",G36-F36)</f>
        <v/>
      </c>
      <c r="J36" s="113" t="str">
        <f aca="false">IF(OR(H36="",I36=""),"",(H36+I36)/H36)</f>
        <v/>
      </c>
      <c r="K36" s="114"/>
      <c r="L36" s="93"/>
    </row>
    <row r="37" customFormat="false" ht="15" hidden="false" customHeight="false" outlineLevel="0" collapsed="false">
      <c r="A37" s="115"/>
      <c r="B37" s="116" t="s">
        <v>260</v>
      </c>
      <c r="C37" s="115" t="n">
        <v>1</v>
      </c>
      <c r="D37" s="112" t="s">
        <v>297</v>
      </c>
      <c r="E37" s="92"/>
      <c r="F37" s="92"/>
      <c r="G37" s="92"/>
      <c r="H37" s="90" t="str">
        <f aca="false">IF(OR(E37="",F37=""),"",F37-E37)</f>
        <v/>
      </c>
      <c r="I37" s="90" t="str">
        <f aca="false">IF(OR(F37="",G37=""),"",G37-F37)</f>
        <v/>
      </c>
      <c r="J37" s="113" t="str">
        <f aca="false">IF(OR(H37="",I37=""),"",(H37+I37)/H37)</f>
        <v/>
      </c>
      <c r="K37" s="117"/>
      <c r="L37" s="93"/>
    </row>
    <row r="38" customFormat="false" ht="15" hidden="false" customHeight="false" outlineLevel="0" collapsed="false">
      <c r="A38" s="115"/>
      <c r="B38" s="115"/>
      <c r="C38" s="115" t="n">
        <v>2</v>
      </c>
      <c r="D38" s="112" t="s">
        <v>298</v>
      </c>
      <c r="E38" s="92"/>
      <c r="F38" s="92"/>
      <c r="G38" s="92"/>
      <c r="H38" s="90" t="str">
        <f aca="false">IF(OR(E38="",F38=""),"",F38-E38)</f>
        <v/>
      </c>
      <c r="I38" s="90" t="str">
        <f aca="false">IF(OR(F38="",G38=""),"",G38-F38)</f>
        <v/>
      </c>
      <c r="J38" s="113" t="str">
        <f aca="false">IF(OR(H38="",I38=""),"",(H38+I38)/H38)</f>
        <v/>
      </c>
      <c r="K38" s="114"/>
      <c r="L38" s="93"/>
    </row>
    <row r="39" customFormat="false" ht="15" hidden="false" customHeight="false" outlineLevel="0" collapsed="false">
      <c r="A39" s="102" t="s">
        <v>299</v>
      </c>
      <c r="B39" s="103" t="s">
        <v>257</v>
      </c>
      <c r="C39" s="104" t="n">
        <v>1</v>
      </c>
      <c r="D39" s="105" t="s">
        <v>300</v>
      </c>
      <c r="E39" s="106"/>
      <c r="F39" s="106"/>
      <c r="G39" s="106"/>
      <c r="H39" s="107" t="str">
        <f aca="false">IF(OR(E39="",F39=""),"",F39-E39)</f>
        <v/>
      </c>
      <c r="I39" s="107" t="str">
        <f aca="false">IF(OR(F39="",G39=""),"",G39-F39)</f>
        <v/>
      </c>
      <c r="J39" s="108" t="str">
        <f aca="false">IF(OR(H39="",I39=""),"",(H39+I39)/H39)</f>
        <v/>
      </c>
      <c r="K39" s="109"/>
      <c r="L39" s="110"/>
    </row>
    <row r="40" customFormat="false" ht="15" hidden="false" customHeight="false" outlineLevel="0" collapsed="false">
      <c r="A40" s="111"/>
      <c r="B40" s="111"/>
      <c r="C40" s="111" t="n">
        <v>2</v>
      </c>
      <c r="D40" s="112" t="s">
        <v>301</v>
      </c>
      <c r="E40" s="92"/>
      <c r="F40" s="92"/>
      <c r="G40" s="92"/>
      <c r="H40" s="90" t="str">
        <f aca="false">IF(OR(E40="",F40=""),"",F40-E40)</f>
        <v/>
      </c>
      <c r="I40" s="90" t="str">
        <f aca="false">IF(OR(F40="",G40=""),"",G40-F40)</f>
        <v/>
      </c>
      <c r="J40" s="113" t="str">
        <f aca="false">IF(OR(H40="",I40=""),"",(H40+I40)/H40)</f>
        <v/>
      </c>
      <c r="K40" s="114"/>
      <c r="L40" s="93"/>
    </row>
    <row r="41" customFormat="false" ht="15" hidden="false" customHeight="false" outlineLevel="0" collapsed="false">
      <c r="A41" s="115"/>
      <c r="B41" s="116" t="s">
        <v>260</v>
      </c>
      <c r="C41" s="115" t="n">
        <v>1</v>
      </c>
      <c r="D41" s="112" t="s">
        <v>302</v>
      </c>
      <c r="E41" s="92"/>
      <c r="F41" s="92"/>
      <c r="G41" s="92"/>
      <c r="H41" s="90" t="str">
        <f aca="false">IF(OR(E41="",F41=""),"",F41-E41)</f>
        <v/>
      </c>
      <c r="I41" s="90" t="str">
        <f aca="false">IF(OR(F41="",G41=""),"",G41-F41)</f>
        <v/>
      </c>
      <c r="J41" s="113" t="str">
        <f aca="false">IF(OR(H41="",I41=""),"",(H41+I41)/H41)</f>
        <v/>
      </c>
      <c r="K41" s="117"/>
      <c r="L41" s="93"/>
    </row>
    <row r="42" customFormat="false" ht="15" hidden="false" customHeight="false" outlineLevel="0" collapsed="false">
      <c r="A42" s="115"/>
      <c r="B42" s="115"/>
      <c r="C42" s="115" t="n">
        <v>2</v>
      </c>
      <c r="D42" s="112" t="s">
        <v>303</v>
      </c>
      <c r="E42" s="92"/>
      <c r="F42" s="92"/>
      <c r="G42" s="92"/>
      <c r="H42" s="90" t="str">
        <f aca="false">IF(OR(E42="",F42=""),"",F42-E42)</f>
        <v/>
      </c>
      <c r="I42" s="90" t="str">
        <f aca="false">IF(OR(F42="",G42=""),"",G42-F42)</f>
        <v/>
      </c>
      <c r="J42" s="113" t="str">
        <f aca="false">IF(OR(H42="",I42=""),"",(H42+I42)/H42)</f>
        <v/>
      </c>
      <c r="K42" s="114"/>
      <c r="L42" s="93"/>
    </row>
    <row r="43" customFormat="false" ht="15" hidden="false" customHeight="false" outlineLevel="0" collapsed="false">
      <c r="A43" s="102" t="s">
        <v>304</v>
      </c>
      <c r="B43" s="103" t="s">
        <v>257</v>
      </c>
      <c r="C43" s="104" t="n">
        <v>1</v>
      </c>
      <c r="D43" s="105" t="s">
        <v>305</v>
      </c>
      <c r="E43" s="106"/>
      <c r="F43" s="106"/>
      <c r="G43" s="106"/>
      <c r="H43" s="107" t="str">
        <f aca="false">IF(OR(E43="",F43=""),"",F43-E43)</f>
        <v/>
      </c>
      <c r="I43" s="107" t="str">
        <f aca="false">IF(OR(F43="",G43=""),"",G43-F43)</f>
        <v/>
      </c>
      <c r="J43" s="108" t="str">
        <f aca="false">IF(OR(H43="",I43=""),"",(H43+I43)/H43)</f>
        <v/>
      </c>
      <c r="K43" s="109"/>
      <c r="L43" s="110"/>
    </row>
    <row r="44" customFormat="false" ht="15" hidden="false" customHeight="false" outlineLevel="0" collapsed="false">
      <c r="A44" s="111"/>
      <c r="B44" s="111"/>
      <c r="C44" s="111" t="n">
        <v>2</v>
      </c>
      <c r="D44" s="112" t="s">
        <v>306</v>
      </c>
      <c r="E44" s="92"/>
      <c r="F44" s="92"/>
      <c r="G44" s="92"/>
      <c r="H44" s="90" t="str">
        <f aca="false">IF(OR(E44="",F44=""),"",F44-E44)</f>
        <v/>
      </c>
      <c r="I44" s="90" t="str">
        <f aca="false">IF(OR(F44="",G44=""),"",G44-F44)</f>
        <v/>
      </c>
      <c r="J44" s="113" t="str">
        <f aca="false">IF(OR(H44="",I44=""),"",(H44+I44)/H44)</f>
        <v/>
      </c>
      <c r="K44" s="114"/>
      <c r="L44" s="93"/>
    </row>
    <row r="45" customFormat="false" ht="15" hidden="false" customHeight="false" outlineLevel="0" collapsed="false">
      <c r="A45" s="115"/>
      <c r="B45" s="116" t="s">
        <v>260</v>
      </c>
      <c r="C45" s="115" t="n">
        <v>1</v>
      </c>
      <c r="D45" s="112" t="s">
        <v>307</v>
      </c>
      <c r="E45" s="92"/>
      <c r="F45" s="92"/>
      <c r="G45" s="92"/>
      <c r="H45" s="90" t="str">
        <f aca="false">IF(OR(E45="",F45=""),"",F45-E45)</f>
        <v/>
      </c>
      <c r="I45" s="90" t="str">
        <f aca="false">IF(OR(F45="",G45=""),"",G45-F45)</f>
        <v/>
      </c>
      <c r="J45" s="113" t="str">
        <f aca="false">IF(OR(H45="",I45=""),"",(H45+I45)/H45)</f>
        <v/>
      </c>
      <c r="K45" s="117"/>
      <c r="L45" s="93"/>
    </row>
    <row r="46" customFormat="false" ht="15" hidden="false" customHeight="false" outlineLevel="0" collapsed="false">
      <c r="A46" s="115"/>
      <c r="B46" s="115"/>
      <c r="C46" s="115" t="n">
        <v>2</v>
      </c>
      <c r="D46" s="112" t="s">
        <v>308</v>
      </c>
      <c r="E46" s="92"/>
      <c r="F46" s="92"/>
      <c r="G46" s="92"/>
      <c r="H46" s="90" t="str">
        <f aca="false">IF(OR(E46="",F46=""),"",F46-E46)</f>
        <v/>
      </c>
      <c r="I46" s="90" t="str">
        <f aca="false">IF(OR(F46="",G46=""),"",G46-F46)</f>
        <v/>
      </c>
      <c r="J46" s="113" t="str">
        <f aca="false">IF(OR(H46="",I46=""),"",(H46+I46)/H46)</f>
        <v/>
      </c>
      <c r="K46" s="114"/>
      <c r="L46" s="93"/>
    </row>
    <row r="47" customFormat="false" ht="17.35" hidden="false" customHeight="false" outlineLevel="0" collapsed="false">
      <c r="A47" s="94" t="s">
        <v>309</v>
      </c>
      <c r="H47" s="95" t="s">
        <v>238</v>
      </c>
      <c r="I47" s="96" t="s">
        <v>239</v>
      </c>
      <c r="J47" s="97" t="s">
        <v>240</v>
      </c>
      <c r="K47" s="98" t="s">
        <v>241</v>
      </c>
    </row>
    <row r="48" customFormat="false" ht="15" hidden="false" customHeight="false" outlineLevel="0" collapsed="false">
      <c r="A48" s="99" t="s">
        <v>242</v>
      </c>
      <c r="I48" s="100" t="s">
        <v>243</v>
      </c>
      <c r="J48" s="101" t="s">
        <v>244</v>
      </c>
    </row>
    <row r="49" customFormat="false" ht="23.85" hidden="false" customHeight="false" outlineLevel="0" collapsed="false">
      <c r="A49" s="87" t="s">
        <v>245</v>
      </c>
      <c r="B49" s="87" t="s">
        <v>246</v>
      </c>
      <c r="C49" s="87" t="s">
        <v>247</v>
      </c>
      <c r="D49" s="87" t="s">
        <v>248</v>
      </c>
      <c r="E49" s="87" t="s">
        <v>249</v>
      </c>
      <c r="F49" s="87" t="s">
        <v>250</v>
      </c>
      <c r="G49" s="87" t="s">
        <v>251</v>
      </c>
      <c r="H49" s="87" t="s">
        <v>252</v>
      </c>
      <c r="I49" s="87" t="s">
        <v>253</v>
      </c>
      <c r="J49" s="87" t="s">
        <v>254</v>
      </c>
      <c r="K49" s="87" t="s">
        <v>255</v>
      </c>
      <c r="L49" s="87" t="s">
        <v>28</v>
      </c>
    </row>
    <row r="50" customFormat="false" ht="15" hidden="false" customHeight="false" outlineLevel="0" collapsed="false">
      <c r="A50" s="102" t="s">
        <v>310</v>
      </c>
      <c r="B50" s="103" t="s">
        <v>257</v>
      </c>
      <c r="C50" s="104" t="n">
        <v>1</v>
      </c>
      <c r="D50" s="105" t="s">
        <v>311</v>
      </c>
      <c r="E50" s="106"/>
      <c r="F50" s="106"/>
      <c r="G50" s="106"/>
      <c r="H50" s="107" t="str">
        <f aca="false">IF(OR(E50="",F50=""),"",F50-E50)</f>
        <v/>
      </c>
      <c r="I50" s="107" t="str">
        <f aca="false">IF(OR(F50="",G50=""),"",G50-F50)</f>
        <v/>
      </c>
      <c r="J50" s="108" t="str">
        <f aca="false">IF(OR(H50="",I50=""),"",(H50+I50)/H50)</f>
        <v/>
      </c>
      <c r="K50" s="109"/>
      <c r="L50" s="110"/>
    </row>
    <row r="51" customFormat="false" ht="15" hidden="false" customHeight="false" outlineLevel="0" collapsed="false">
      <c r="A51" s="111"/>
      <c r="B51" s="111"/>
      <c r="C51" s="111" t="n">
        <v>2</v>
      </c>
      <c r="D51" s="112" t="s">
        <v>312</v>
      </c>
      <c r="E51" s="92"/>
      <c r="F51" s="92"/>
      <c r="G51" s="92"/>
      <c r="H51" s="90" t="str">
        <f aca="false">IF(OR(E51="",F51=""),"",F51-E51)</f>
        <v/>
      </c>
      <c r="I51" s="90" t="str">
        <f aca="false">IF(OR(F51="",G51=""),"",G51-F51)</f>
        <v/>
      </c>
      <c r="J51" s="113" t="str">
        <f aca="false">IF(OR(H51="",I51=""),"",(H51+I51)/H51)</f>
        <v/>
      </c>
      <c r="K51" s="114"/>
      <c r="L51" s="93"/>
    </row>
    <row r="52" customFormat="false" ht="15" hidden="false" customHeight="false" outlineLevel="0" collapsed="false">
      <c r="A52" s="115"/>
      <c r="B52" s="116" t="s">
        <v>260</v>
      </c>
      <c r="C52" s="115" t="n">
        <v>1</v>
      </c>
      <c r="D52" s="112" t="s">
        <v>313</v>
      </c>
      <c r="E52" s="92"/>
      <c r="F52" s="92"/>
      <c r="G52" s="92"/>
      <c r="H52" s="90" t="str">
        <f aca="false">IF(OR(E52="",F52=""),"",F52-E52)</f>
        <v/>
      </c>
      <c r="I52" s="90" t="str">
        <f aca="false">IF(OR(F52="",G52=""),"",G52-F52)</f>
        <v/>
      </c>
      <c r="J52" s="113" t="str">
        <f aca="false">IF(OR(H52="",I52=""),"",(H52+I52)/H52)</f>
        <v/>
      </c>
      <c r="K52" s="117"/>
      <c r="L52" s="93"/>
    </row>
    <row r="53" customFormat="false" ht="15" hidden="false" customHeight="false" outlineLevel="0" collapsed="false">
      <c r="A53" s="115"/>
      <c r="B53" s="115"/>
      <c r="C53" s="115" t="n">
        <v>2</v>
      </c>
      <c r="D53" s="112" t="s">
        <v>314</v>
      </c>
      <c r="E53" s="92"/>
      <c r="F53" s="92"/>
      <c r="G53" s="92"/>
      <c r="H53" s="90" t="str">
        <f aca="false">IF(OR(E53="",F53=""),"",F53-E53)</f>
        <v/>
      </c>
      <c r="I53" s="90" t="str">
        <f aca="false">IF(OR(F53="",G53=""),"",G53-F53)</f>
        <v/>
      </c>
      <c r="J53" s="113" t="str">
        <f aca="false">IF(OR(H53="",I53=""),"",(H53+I53)/H53)</f>
        <v/>
      </c>
      <c r="K53" s="114"/>
      <c r="L53" s="93"/>
    </row>
    <row r="54" customFormat="false" ht="15" hidden="false" customHeight="false" outlineLevel="0" collapsed="false">
      <c r="A54" s="102" t="s">
        <v>315</v>
      </c>
      <c r="B54" s="103" t="s">
        <v>257</v>
      </c>
      <c r="C54" s="104" t="n">
        <v>1</v>
      </c>
      <c r="D54" s="105" t="s">
        <v>316</v>
      </c>
      <c r="E54" s="106"/>
      <c r="F54" s="106"/>
      <c r="G54" s="106"/>
      <c r="H54" s="107" t="str">
        <f aca="false">IF(OR(E54="",F54=""),"",F54-E54)</f>
        <v/>
      </c>
      <c r="I54" s="107" t="str">
        <f aca="false">IF(OR(F54="",G54=""),"",G54-F54)</f>
        <v/>
      </c>
      <c r="J54" s="108" t="str">
        <f aca="false">IF(OR(H54="",I54=""),"",(H54+I54)/H54)</f>
        <v/>
      </c>
      <c r="K54" s="109"/>
      <c r="L54" s="110"/>
    </row>
    <row r="55" customFormat="false" ht="15" hidden="false" customHeight="false" outlineLevel="0" collapsed="false">
      <c r="A55" s="111"/>
      <c r="B55" s="111"/>
      <c r="C55" s="111" t="n">
        <v>2</v>
      </c>
      <c r="D55" s="112" t="s">
        <v>317</v>
      </c>
      <c r="E55" s="92"/>
      <c r="F55" s="92"/>
      <c r="G55" s="92"/>
      <c r="H55" s="90" t="str">
        <f aca="false">IF(OR(E55="",F55=""),"",F55-E55)</f>
        <v/>
      </c>
      <c r="I55" s="90" t="str">
        <f aca="false">IF(OR(F55="",G55=""),"",G55-F55)</f>
        <v/>
      </c>
      <c r="J55" s="113" t="str">
        <f aca="false">IF(OR(H55="",I55=""),"",(H55+I55)/H55)</f>
        <v/>
      </c>
      <c r="K55" s="114"/>
      <c r="L55" s="93"/>
    </row>
    <row r="56" customFormat="false" ht="15" hidden="false" customHeight="false" outlineLevel="0" collapsed="false">
      <c r="A56" s="115"/>
      <c r="B56" s="116" t="s">
        <v>260</v>
      </c>
      <c r="C56" s="115" t="n">
        <v>1</v>
      </c>
      <c r="D56" s="112" t="s">
        <v>318</v>
      </c>
      <c r="E56" s="92"/>
      <c r="F56" s="92"/>
      <c r="G56" s="92"/>
      <c r="H56" s="90" t="str">
        <f aca="false">IF(OR(E56="",F56=""),"",F56-E56)</f>
        <v/>
      </c>
      <c r="I56" s="90" t="str">
        <f aca="false">IF(OR(F56="",G56=""),"",G56-F56)</f>
        <v/>
      </c>
      <c r="J56" s="113" t="str">
        <f aca="false">IF(OR(H56="",I56=""),"",(H56+I56)/H56)</f>
        <v/>
      </c>
      <c r="K56" s="117"/>
      <c r="L56" s="93"/>
    </row>
    <row r="57" customFormat="false" ht="15" hidden="false" customHeight="false" outlineLevel="0" collapsed="false">
      <c r="A57" s="115"/>
      <c r="B57" s="115"/>
      <c r="C57" s="115" t="n">
        <v>2</v>
      </c>
      <c r="D57" s="112" t="s">
        <v>319</v>
      </c>
      <c r="E57" s="92"/>
      <c r="F57" s="92"/>
      <c r="G57" s="92"/>
      <c r="H57" s="90" t="str">
        <f aca="false">IF(OR(E57="",F57=""),"",F57-E57)</f>
        <v/>
      </c>
      <c r="I57" s="90" t="str">
        <f aca="false">IF(OR(F57="",G57=""),"",G57-F57)</f>
        <v/>
      </c>
      <c r="J57" s="113" t="str">
        <f aca="false">IF(OR(H57="",I57=""),"",(H57+I57)/H57)</f>
        <v/>
      </c>
      <c r="K57" s="114"/>
      <c r="L57" s="93"/>
    </row>
    <row r="58" customFormat="false" ht="15" hidden="false" customHeight="false" outlineLevel="0" collapsed="false">
      <c r="A58" s="102" t="s">
        <v>320</v>
      </c>
      <c r="B58" s="103" t="s">
        <v>257</v>
      </c>
      <c r="C58" s="104" t="n">
        <v>1</v>
      </c>
      <c r="D58" s="105" t="s">
        <v>321</v>
      </c>
      <c r="E58" s="106"/>
      <c r="F58" s="106"/>
      <c r="G58" s="106"/>
      <c r="H58" s="107" t="str">
        <f aca="false">IF(OR(E58="",F58=""),"",F58-E58)</f>
        <v/>
      </c>
      <c r="I58" s="107" t="str">
        <f aca="false">IF(OR(F58="",G58=""),"",G58-F58)</f>
        <v/>
      </c>
      <c r="J58" s="108" t="str">
        <f aca="false">IF(OR(H58="",I58=""),"",(H58+I58)/H58)</f>
        <v/>
      </c>
      <c r="K58" s="109"/>
      <c r="L58" s="110"/>
    </row>
    <row r="59" customFormat="false" ht="15" hidden="false" customHeight="false" outlineLevel="0" collapsed="false">
      <c r="A59" s="111"/>
      <c r="B59" s="111"/>
      <c r="C59" s="111" t="n">
        <v>2</v>
      </c>
      <c r="D59" s="112" t="s">
        <v>322</v>
      </c>
      <c r="E59" s="92"/>
      <c r="F59" s="92"/>
      <c r="G59" s="92"/>
      <c r="H59" s="90" t="str">
        <f aca="false">IF(OR(E59="",F59=""),"",F59-E59)</f>
        <v/>
      </c>
      <c r="I59" s="90" t="str">
        <f aca="false">IF(OR(F59="",G59=""),"",G59-F59)</f>
        <v/>
      </c>
      <c r="J59" s="113" t="str">
        <f aca="false">IF(OR(H59="",I59=""),"",(H59+I59)/H59)</f>
        <v/>
      </c>
      <c r="K59" s="114"/>
      <c r="L59" s="93"/>
    </row>
    <row r="60" customFormat="false" ht="15" hidden="false" customHeight="false" outlineLevel="0" collapsed="false">
      <c r="A60" s="115"/>
      <c r="B60" s="116" t="s">
        <v>260</v>
      </c>
      <c r="C60" s="115" t="n">
        <v>1</v>
      </c>
      <c r="D60" s="112" t="s">
        <v>323</v>
      </c>
      <c r="E60" s="92"/>
      <c r="F60" s="92"/>
      <c r="G60" s="92"/>
      <c r="H60" s="90" t="str">
        <f aca="false">IF(OR(E60="",F60=""),"",F60-E60)</f>
        <v/>
      </c>
      <c r="I60" s="90" t="str">
        <f aca="false">IF(OR(F60="",G60=""),"",G60-F60)</f>
        <v/>
      </c>
      <c r="J60" s="113" t="str">
        <f aca="false">IF(OR(H60="",I60=""),"",(H60+I60)/H60)</f>
        <v/>
      </c>
      <c r="K60" s="117"/>
      <c r="L60" s="93"/>
    </row>
    <row r="61" customFormat="false" ht="15" hidden="false" customHeight="false" outlineLevel="0" collapsed="false">
      <c r="A61" s="115"/>
      <c r="B61" s="115"/>
      <c r="C61" s="115" t="n">
        <v>2</v>
      </c>
      <c r="D61" s="112" t="s">
        <v>324</v>
      </c>
      <c r="E61" s="92"/>
      <c r="F61" s="92"/>
      <c r="G61" s="92"/>
      <c r="H61" s="90" t="str">
        <f aca="false">IF(OR(E61="",F61=""),"",F61-E61)</f>
        <v/>
      </c>
      <c r="I61" s="90" t="str">
        <f aca="false">IF(OR(F61="",G61=""),"",G61-F61)</f>
        <v/>
      </c>
      <c r="J61" s="113" t="str">
        <f aca="false">IF(OR(H61="",I61=""),"",(H61+I61)/H61)</f>
        <v/>
      </c>
      <c r="K61" s="114"/>
      <c r="L61" s="93"/>
    </row>
    <row r="62" customFormat="false" ht="15" hidden="false" customHeight="false" outlineLevel="0" collapsed="false">
      <c r="A62" s="102" t="s">
        <v>325</v>
      </c>
      <c r="B62" s="103" t="s">
        <v>257</v>
      </c>
      <c r="C62" s="104" t="n">
        <v>1</v>
      </c>
      <c r="D62" s="105" t="s">
        <v>326</v>
      </c>
      <c r="E62" s="106"/>
      <c r="F62" s="106"/>
      <c r="G62" s="106"/>
      <c r="H62" s="107" t="str">
        <f aca="false">IF(OR(E62="",F62=""),"",F62-E62)</f>
        <v/>
      </c>
      <c r="I62" s="107" t="str">
        <f aca="false">IF(OR(F62="",G62=""),"",G62-F62)</f>
        <v/>
      </c>
      <c r="J62" s="108" t="str">
        <f aca="false">IF(OR(H62="",I62=""),"",(H62+I62)/H62)</f>
        <v/>
      </c>
      <c r="K62" s="109"/>
      <c r="L62" s="110"/>
    </row>
    <row r="63" customFormat="false" ht="15" hidden="false" customHeight="false" outlineLevel="0" collapsed="false">
      <c r="A63" s="111"/>
      <c r="B63" s="111"/>
      <c r="C63" s="111" t="n">
        <v>2</v>
      </c>
      <c r="D63" s="112" t="s">
        <v>327</v>
      </c>
      <c r="E63" s="92"/>
      <c r="F63" s="92"/>
      <c r="G63" s="92"/>
      <c r="H63" s="90" t="str">
        <f aca="false">IF(OR(E63="",F63=""),"",F63-E63)</f>
        <v/>
      </c>
      <c r="I63" s="90" t="str">
        <f aca="false">IF(OR(F63="",G63=""),"",G63-F63)</f>
        <v/>
      </c>
      <c r="J63" s="113" t="str">
        <f aca="false">IF(OR(H63="",I63=""),"",(H63+I63)/H63)</f>
        <v/>
      </c>
      <c r="K63" s="114"/>
      <c r="L63" s="93"/>
    </row>
    <row r="64" customFormat="false" ht="15" hidden="false" customHeight="false" outlineLevel="0" collapsed="false">
      <c r="A64" s="115"/>
      <c r="B64" s="116" t="s">
        <v>260</v>
      </c>
      <c r="C64" s="115" t="n">
        <v>1</v>
      </c>
      <c r="D64" s="112" t="s">
        <v>328</v>
      </c>
      <c r="E64" s="92"/>
      <c r="F64" s="92"/>
      <c r="G64" s="92"/>
      <c r="H64" s="90" t="str">
        <f aca="false">IF(OR(E64="",F64=""),"",F64-E64)</f>
        <v/>
      </c>
      <c r="I64" s="90" t="str">
        <f aca="false">IF(OR(F64="",G64=""),"",G64-F64)</f>
        <v/>
      </c>
      <c r="J64" s="113" t="str">
        <f aca="false">IF(OR(H64="",I64=""),"",(H64+I64)/H64)</f>
        <v/>
      </c>
      <c r="K64" s="117"/>
      <c r="L64" s="93"/>
    </row>
    <row r="65" customFormat="false" ht="15" hidden="false" customHeight="false" outlineLevel="0" collapsed="false">
      <c r="A65" s="115"/>
      <c r="B65" s="115"/>
      <c r="C65" s="115" t="n">
        <v>2</v>
      </c>
      <c r="D65" s="112" t="s">
        <v>329</v>
      </c>
      <c r="E65" s="92"/>
      <c r="F65" s="92"/>
      <c r="G65" s="92"/>
      <c r="H65" s="90" t="str">
        <f aca="false">IF(OR(E65="",F65=""),"",F65-E65)</f>
        <v/>
      </c>
      <c r="I65" s="90" t="str">
        <f aca="false">IF(OR(F65="",G65=""),"",G65-F65)</f>
        <v/>
      </c>
      <c r="J65" s="113" t="str">
        <f aca="false">IF(OR(H65="",I65=""),"",(H65+I65)/H65)</f>
        <v/>
      </c>
      <c r="K65" s="114"/>
      <c r="L65" s="93"/>
    </row>
    <row r="66" customFormat="false" ht="15" hidden="false" customHeight="false" outlineLevel="0" collapsed="false">
      <c r="A66" s="102" t="s">
        <v>330</v>
      </c>
      <c r="B66" s="103" t="s">
        <v>257</v>
      </c>
      <c r="C66" s="104" t="n">
        <v>1</v>
      </c>
      <c r="D66" s="105" t="s">
        <v>331</v>
      </c>
      <c r="E66" s="106"/>
      <c r="F66" s="106"/>
      <c r="G66" s="106"/>
      <c r="H66" s="107" t="str">
        <f aca="false">IF(OR(E66="",F66=""),"",F66-E66)</f>
        <v/>
      </c>
      <c r="I66" s="107" t="str">
        <f aca="false">IF(OR(F66="",G66=""),"",G66-F66)</f>
        <v/>
      </c>
      <c r="J66" s="108" t="str">
        <f aca="false">IF(OR(H66="",I66=""),"",(H66+I66)/H66)</f>
        <v/>
      </c>
      <c r="K66" s="109"/>
      <c r="L66" s="110"/>
    </row>
    <row r="67" customFormat="false" ht="15" hidden="false" customHeight="false" outlineLevel="0" collapsed="false">
      <c r="A67" s="111"/>
      <c r="B67" s="111"/>
      <c r="C67" s="111" t="n">
        <v>2</v>
      </c>
      <c r="D67" s="112" t="s">
        <v>332</v>
      </c>
      <c r="E67" s="92"/>
      <c r="F67" s="92"/>
      <c r="G67" s="92"/>
      <c r="H67" s="90" t="str">
        <f aca="false">IF(OR(E67="",F67=""),"",F67-E67)</f>
        <v/>
      </c>
      <c r="I67" s="90" t="str">
        <f aca="false">IF(OR(F67="",G67=""),"",G67-F67)</f>
        <v/>
      </c>
      <c r="J67" s="113" t="str">
        <f aca="false">IF(OR(H67="",I67=""),"",(H67+I67)/H67)</f>
        <v/>
      </c>
      <c r="K67" s="114"/>
      <c r="L67" s="93"/>
    </row>
    <row r="68" customFormat="false" ht="15" hidden="false" customHeight="false" outlineLevel="0" collapsed="false">
      <c r="A68" s="115"/>
      <c r="B68" s="116" t="s">
        <v>260</v>
      </c>
      <c r="C68" s="115" t="n">
        <v>1</v>
      </c>
      <c r="D68" s="112" t="s">
        <v>333</v>
      </c>
      <c r="E68" s="92"/>
      <c r="F68" s="92"/>
      <c r="G68" s="92"/>
      <c r="H68" s="90" t="str">
        <f aca="false">IF(OR(E68="",F68=""),"",F68-E68)</f>
        <v/>
      </c>
      <c r="I68" s="90" t="str">
        <f aca="false">IF(OR(F68="",G68=""),"",G68-F68)</f>
        <v/>
      </c>
      <c r="J68" s="113" t="str">
        <f aca="false">IF(OR(H68="",I68=""),"",(H68+I68)/H68)</f>
        <v/>
      </c>
      <c r="K68" s="117"/>
      <c r="L68" s="93"/>
    </row>
    <row r="69" customFormat="false" ht="15" hidden="false" customHeight="false" outlineLevel="0" collapsed="false">
      <c r="A69" s="115"/>
      <c r="B69" s="115"/>
      <c r="C69" s="115" t="n">
        <v>2</v>
      </c>
      <c r="D69" s="112" t="s">
        <v>334</v>
      </c>
      <c r="E69" s="92"/>
      <c r="F69" s="92"/>
      <c r="G69" s="92"/>
      <c r="H69" s="90" t="str">
        <f aca="false">IF(OR(E69="",F69=""),"",F69-E69)</f>
        <v/>
      </c>
      <c r="I69" s="90" t="str">
        <f aca="false">IF(OR(F69="",G69=""),"",G69-F69)</f>
        <v/>
      </c>
      <c r="J69" s="113" t="str">
        <f aca="false">IF(OR(H69="",I69=""),"",(H69+I69)/H69)</f>
        <v/>
      </c>
      <c r="K69" s="114"/>
      <c r="L69" s="93"/>
    </row>
    <row r="70" customFormat="false" ht="17.35" hidden="false" customHeight="false" outlineLevel="0" collapsed="false">
      <c r="A70" s="94" t="s">
        <v>335</v>
      </c>
      <c r="H70" s="95" t="s">
        <v>238</v>
      </c>
      <c r="I70" s="96" t="s">
        <v>239</v>
      </c>
      <c r="J70" s="97" t="s">
        <v>240</v>
      </c>
      <c r="K70" s="98" t="s">
        <v>241</v>
      </c>
    </row>
    <row r="71" customFormat="false" ht="15" hidden="false" customHeight="false" outlineLevel="0" collapsed="false">
      <c r="A71" s="99" t="s">
        <v>242</v>
      </c>
      <c r="I71" s="100" t="s">
        <v>243</v>
      </c>
      <c r="J71" s="101" t="s">
        <v>244</v>
      </c>
    </row>
    <row r="72" customFormat="false" ht="23.85" hidden="false" customHeight="false" outlineLevel="0" collapsed="false">
      <c r="A72" s="87" t="s">
        <v>245</v>
      </c>
      <c r="B72" s="87" t="s">
        <v>246</v>
      </c>
      <c r="C72" s="87" t="s">
        <v>247</v>
      </c>
      <c r="D72" s="87" t="s">
        <v>248</v>
      </c>
      <c r="E72" s="87" t="s">
        <v>249</v>
      </c>
      <c r="F72" s="87" t="s">
        <v>250</v>
      </c>
      <c r="G72" s="87" t="s">
        <v>251</v>
      </c>
      <c r="H72" s="87" t="s">
        <v>252</v>
      </c>
      <c r="I72" s="87" t="s">
        <v>253</v>
      </c>
      <c r="J72" s="87" t="s">
        <v>254</v>
      </c>
      <c r="K72" s="87" t="s">
        <v>255</v>
      </c>
      <c r="L72" s="87" t="s">
        <v>28</v>
      </c>
    </row>
    <row r="73" customFormat="false" ht="15" hidden="false" customHeight="false" outlineLevel="0" collapsed="false">
      <c r="A73" s="102" t="s">
        <v>336</v>
      </c>
      <c r="B73" s="103" t="s">
        <v>257</v>
      </c>
      <c r="C73" s="104" t="n">
        <v>1</v>
      </c>
      <c r="D73" s="105" t="s">
        <v>337</v>
      </c>
      <c r="E73" s="106"/>
      <c r="F73" s="106"/>
      <c r="G73" s="106"/>
      <c r="H73" s="107" t="str">
        <f aca="false">IF(OR(E73="",F73=""),"",F73-E73)</f>
        <v/>
      </c>
      <c r="I73" s="107" t="str">
        <f aca="false">IF(OR(F73="",G73=""),"",G73-F73)</f>
        <v/>
      </c>
      <c r="J73" s="108" t="str">
        <f aca="false">IF(OR(H73="",I73=""),"",(H73+I73)/H73)</f>
        <v/>
      </c>
      <c r="K73" s="109"/>
      <c r="L73" s="110"/>
    </row>
    <row r="74" customFormat="false" ht="15" hidden="false" customHeight="false" outlineLevel="0" collapsed="false">
      <c r="A74" s="111"/>
      <c r="B74" s="111"/>
      <c r="C74" s="111" t="n">
        <v>2</v>
      </c>
      <c r="D74" s="112" t="s">
        <v>338</v>
      </c>
      <c r="E74" s="92"/>
      <c r="F74" s="92"/>
      <c r="G74" s="92"/>
      <c r="H74" s="90" t="str">
        <f aca="false">IF(OR(E74="",F74=""),"",F74-E74)</f>
        <v/>
      </c>
      <c r="I74" s="90" t="str">
        <f aca="false">IF(OR(F74="",G74=""),"",G74-F74)</f>
        <v/>
      </c>
      <c r="J74" s="113" t="str">
        <f aca="false">IF(OR(H74="",I74=""),"",(H74+I74)/H74)</f>
        <v/>
      </c>
      <c r="K74" s="114"/>
      <c r="L74" s="93"/>
    </row>
    <row r="75" customFormat="false" ht="15" hidden="false" customHeight="false" outlineLevel="0" collapsed="false">
      <c r="A75" s="115"/>
      <c r="B75" s="116" t="s">
        <v>260</v>
      </c>
      <c r="C75" s="115" t="n">
        <v>1</v>
      </c>
      <c r="D75" s="112" t="s">
        <v>339</v>
      </c>
      <c r="E75" s="92"/>
      <c r="F75" s="92"/>
      <c r="G75" s="92"/>
      <c r="H75" s="90" t="str">
        <f aca="false">IF(OR(E75="",F75=""),"",F75-E75)</f>
        <v/>
      </c>
      <c r="I75" s="90" t="str">
        <f aca="false">IF(OR(F75="",G75=""),"",G75-F75)</f>
        <v/>
      </c>
      <c r="J75" s="113" t="str">
        <f aca="false">IF(OR(H75="",I75=""),"",(H75+I75)/H75)</f>
        <v/>
      </c>
      <c r="K75" s="117"/>
      <c r="L75" s="93"/>
    </row>
    <row r="76" customFormat="false" ht="15" hidden="false" customHeight="false" outlineLevel="0" collapsed="false">
      <c r="A76" s="115"/>
      <c r="B76" s="115"/>
      <c r="C76" s="115" t="n">
        <v>2</v>
      </c>
      <c r="D76" s="112" t="s">
        <v>340</v>
      </c>
      <c r="E76" s="92"/>
      <c r="F76" s="92"/>
      <c r="G76" s="92"/>
      <c r="H76" s="90" t="str">
        <f aca="false">IF(OR(E76="",F76=""),"",F76-E76)</f>
        <v/>
      </c>
      <c r="I76" s="90" t="str">
        <f aca="false">IF(OR(F76="",G76=""),"",G76-F76)</f>
        <v/>
      </c>
      <c r="J76" s="113" t="str">
        <f aca="false">IF(OR(H76="",I76=""),"",(H76+I76)/H76)</f>
        <v/>
      </c>
      <c r="K76" s="114"/>
      <c r="L76" s="93"/>
    </row>
    <row r="77" customFormat="false" ht="15" hidden="false" customHeight="false" outlineLevel="0" collapsed="false">
      <c r="A77" s="102" t="s">
        <v>341</v>
      </c>
      <c r="B77" s="103" t="s">
        <v>257</v>
      </c>
      <c r="C77" s="104" t="n">
        <v>1</v>
      </c>
      <c r="D77" s="105" t="s">
        <v>342</v>
      </c>
      <c r="E77" s="106"/>
      <c r="F77" s="106"/>
      <c r="G77" s="106"/>
      <c r="H77" s="107" t="str">
        <f aca="false">IF(OR(E77="",F77=""),"",F77-E77)</f>
        <v/>
      </c>
      <c r="I77" s="107" t="str">
        <f aca="false">IF(OR(F77="",G77=""),"",G77-F77)</f>
        <v/>
      </c>
      <c r="J77" s="108" t="str">
        <f aca="false">IF(OR(H77="",I77=""),"",(H77+I77)/H77)</f>
        <v/>
      </c>
      <c r="K77" s="109"/>
      <c r="L77" s="110"/>
    </row>
    <row r="78" customFormat="false" ht="15" hidden="false" customHeight="false" outlineLevel="0" collapsed="false">
      <c r="A78" s="111"/>
      <c r="B78" s="111"/>
      <c r="C78" s="111" t="n">
        <v>2</v>
      </c>
      <c r="D78" s="112" t="s">
        <v>343</v>
      </c>
      <c r="E78" s="92"/>
      <c r="F78" s="92"/>
      <c r="G78" s="92"/>
      <c r="H78" s="90" t="str">
        <f aca="false">IF(OR(E78="",F78=""),"",F78-E78)</f>
        <v/>
      </c>
      <c r="I78" s="90" t="str">
        <f aca="false">IF(OR(F78="",G78=""),"",G78-F78)</f>
        <v/>
      </c>
      <c r="J78" s="113" t="str">
        <f aca="false">IF(OR(H78="",I78=""),"",(H78+I78)/H78)</f>
        <v/>
      </c>
      <c r="K78" s="114"/>
      <c r="L78" s="93"/>
    </row>
    <row r="79" customFormat="false" ht="15" hidden="false" customHeight="false" outlineLevel="0" collapsed="false">
      <c r="A79" s="115"/>
      <c r="B79" s="116" t="s">
        <v>260</v>
      </c>
      <c r="C79" s="115" t="n">
        <v>1</v>
      </c>
      <c r="D79" s="112" t="s">
        <v>344</v>
      </c>
      <c r="E79" s="92"/>
      <c r="F79" s="92"/>
      <c r="G79" s="92"/>
      <c r="H79" s="90" t="str">
        <f aca="false">IF(OR(E79="",F79=""),"",F79-E79)</f>
        <v/>
      </c>
      <c r="I79" s="90" t="str">
        <f aca="false">IF(OR(F79="",G79=""),"",G79-F79)</f>
        <v/>
      </c>
      <c r="J79" s="113" t="str">
        <f aca="false">IF(OR(H79="",I79=""),"",(H79+I79)/H79)</f>
        <v/>
      </c>
      <c r="K79" s="117"/>
      <c r="L79" s="93"/>
    </row>
    <row r="80" customFormat="false" ht="15" hidden="false" customHeight="false" outlineLevel="0" collapsed="false">
      <c r="A80" s="115"/>
      <c r="B80" s="115"/>
      <c r="C80" s="115" t="n">
        <v>2</v>
      </c>
      <c r="D80" s="112" t="s">
        <v>345</v>
      </c>
      <c r="E80" s="92"/>
      <c r="F80" s="92"/>
      <c r="G80" s="92"/>
      <c r="H80" s="90" t="str">
        <f aca="false">IF(OR(E80="",F80=""),"",F80-E80)</f>
        <v/>
      </c>
      <c r="I80" s="90" t="str">
        <f aca="false">IF(OR(F80="",G80=""),"",G80-F80)</f>
        <v/>
      </c>
      <c r="J80" s="113" t="str">
        <f aca="false">IF(OR(H80="",I80=""),"",(H80+I80)/H80)</f>
        <v/>
      </c>
      <c r="K80" s="114"/>
      <c r="L80" s="93"/>
    </row>
    <row r="81" customFormat="false" ht="15" hidden="false" customHeight="false" outlineLevel="0" collapsed="false">
      <c r="A81" s="102" t="s">
        <v>346</v>
      </c>
      <c r="B81" s="103" t="s">
        <v>257</v>
      </c>
      <c r="C81" s="104" t="n">
        <v>1</v>
      </c>
      <c r="D81" s="105" t="s">
        <v>347</v>
      </c>
      <c r="E81" s="106"/>
      <c r="F81" s="106"/>
      <c r="G81" s="106"/>
      <c r="H81" s="107" t="str">
        <f aca="false">IF(OR(E81="",F81=""),"",F81-E81)</f>
        <v/>
      </c>
      <c r="I81" s="107" t="str">
        <f aca="false">IF(OR(F81="",G81=""),"",G81-F81)</f>
        <v/>
      </c>
      <c r="J81" s="108" t="str">
        <f aca="false">IF(OR(H81="",I81=""),"",(H81+I81)/H81)</f>
        <v/>
      </c>
      <c r="K81" s="109"/>
      <c r="L81" s="110"/>
    </row>
    <row r="82" customFormat="false" ht="15" hidden="false" customHeight="false" outlineLevel="0" collapsed="false">
      <c r="A82" s="111"/>
      <c r="B82" s="111"/>
      <c r="C82" s="111" t="n">
        <v>2</v>
      </c>
      <c r="D82" s="112" t="s">
        <v>348</v>
      </c>
      <c r="E82" s="92"/>
      <c r="F82" s="92"/>
      <c r="G82" s="92"/>
      <c r="H82" s="90" t="str">
        <f aca="false">IF(OR(E82="",F82=""),"",F82-E82)</f>
        <v/>
      </c>
      <c r="I82" s="90" t="str">
        <f aca="false">IF(OR(F82="",G82=""),"",G82-F82)</f>
        <v/>
      </c>
      <c r="J82" s="113" t="str">
        <f aca="false">IF(OR(H82="",I82=""),"",(H82+I82)/H82)</f>
        <v/>
      </c>
      <c r="K82" s="114"/>
      <c r="L82" s="93"/>
    </row>
    <row r="83" customFormat="false" ht="15" hidden="false" customHeight="false" outlineLevel="0" collapsed="false">
      <c r="A83" s="115"/>
      <c r="B83" s="116" t="s">
        <v>260</v>
      </c>
      <c r="C83" s="115" t="n">
        <v>1</v>
      </c>
      <c r="D83" s="112" t="s">
        <v>349</v>
      </c>
      <c r="E83" s="92"/>
      <c r="F83" s="92"/>
      <c r="G83" s="92"/>
      <c r="H83" s="90" t="str">
        <f aca="false">IF(OR(E83="",F83=""),"",F83-E83)</f>
        <v/>
      </c>
      <c r="I83" s="90" t="str">
        <f aca="false">IF(OR(F83="",G83=""),"",G83-F83)</f>
        <v/>
      </c>
      <c r="J83" s="113" t="str">
        <f aca="false">IF(OR(H83="",I83=""),"",(H83+I83)/H83)</f>
        <v/>
      </c>
      <c r="K83" s="117"/>
      <c r="L83" s="93"/>
    </row>
    <row r="84" customFormat="false" ht="15" hidden="false" customHeight="false" outlineLevel="0" collapsed="false">
      <c r="A84" s="115"/>
      <c r="B84" s="115"/>
      <c r="C84" s="115" t="n">
        <v>2</v>
      </c>
      <c r="D84" s="112" t="s">
        <v>350</v>
      </c>
      <c r="E84" s="92"/>
      <c r="F84" s="92"/>
      <c r="G84" s="92"/>
      <c r="H84" s="90" t="str">
        <f aca="false">IF(OR(E84="",F84=""),"",F84-E84)</f>
        <v/>
      </c>
      <c r="I84" s="90" t="str">
        <f aca="false">IF(OR(F84="",G84=""),"",G84-F84)</f>
        <v/>
      </c>
      <c r="J84" s="113" t="str">
        <f aca="false">IF(OR(H84="",I84=""),"",(H84+I84)/H84)</f>
        <v/>
      </c>
      <c r="K84" s="114"/>
      <c r="L84" s="93"/>
    </row>
    <row r="85" customFormat="false" ht="15" hidden="false" customHeight="false" outlineLevel="0" collapsed="false">
      <c r="A85" s="102" t="s">
        <v>351</v>
      </c>
      <c r="B85" s="103" t="s">
        <v>257</v>
      </c>
      <c r="C85" s="104" t="n">
        <v>1</v>
      </c>
      <c r="D85" s="105" t="s">
        <v>352</v>
      </c>
      <c r="E85" s="106"/>
      <c r="F85" s="106"/>
      <c r="G85" s="106"/>
      <c r="H85" s="107" t="str">
        <f aca="false">IF(OR(E85="",F85=""),"",F85-E85)</f>
        <v/>
      </c>
      <c r="I85" s="107" t="str">
        <f aca="false">IF(OR(F85="",G85=""),"",G85-F85)</f>
        <v/>
      </c>
      <c r="J85" s="108" t="str">
        <f aca="false">IF(OR(H85="",I85=""),"",(H85+I85)/H85)</f>
        <v/>
      </c>
      <c r="K85" s="109"/>
      <c r="L85" s="110"/>
    </row>
    <row r="86" customFormat="false" ht="15" hidden="false" customHeight="false" outlineLevel="0" collapsed="false">
      <c r="A86" s="111"/>
      <c r="B86" s="111"/>
      <c r="C86" s="111" t="n">
        <v>2</v>
      </c>
      <c r="D86" s="112" t="s">
        <v>353</v>
      </c>
      <c r="E86" s="92"/>
      <c r="F86" s="92"/>
      <c r="G86" s="92"/>
      <c r="H86" s="90" t="str">
        <f aca="false">IF(OR(E86="",F86=""),"",F86-E86)</f>
        <v/>
      </c>
      <c r="I86" s="90" t="str">
        <f aca="false">IF(OR(F86="",G86=""),"",G86-F86)</f>
        <v/>
      </c>
      <c r="J86" s="113" t="str">
        <f aca="false">IF(OR(H86="",I86=""),"",(H86+I86)/H86)</f>
        <v/>
      </c>
      <c r="K86" s="114"/>
      <c r="L86" s="93"/>
    </row>
    <row r="87" customFormat="false" ht="15" hidden="false" customHeight="false" outlineLevel="0" collapsed="false">
      <c r="A87" s="115"/>
      <c r="B87" s="116" t="s">
        <v>260</v>
      </c>
      <c r="C87" s="115" t="n">
        <v>1</v>
      </c>
      <c r="D87" s="112" t="s">
        <v>354</v>
      </c>
      <c r="E87" s="92"/>
      <c r="F87" s="92"/>
      <c r="G87" s="92"/>
      <c r="H87" s="90" t="str">
        <f aca="false">IF(OR(E87="",F87=""),"",F87-E87)</f>
        <v/>
      </c>
      <c r="I87" s="90" t="str">
        <f aca="false">IF(OR(F87="",G87=""),"",G87-F87)</f>
        <v/>
      </c>
      <c r="J87" s="113" t="str">
        <f aca="false">IF(OR(H87="",I87=""),"",(H87+I87)/H87)</f>
        <v/>
      </c>
      <c r="K87" s="117"/>
      <c r="L87" s="93"/>
    </row>
    <row r="88" customFormat="false" ht="15" hidden="false" customHeight="false" outlineLevel="0" collapsed="false">
      <c r="A88" s="115"/>
      <c r="B88" s="115"/>
      <c r="C88" s="115" t="n">
        <v>2</v>
      </c>
      <c r="D88" s="112" t="s">
        <v>355</v>
      </c>
      <c r="E88" s="92"/>
      <c r="F88" s="92"/>
      <c r="G88" s="92"/>
      <c r="H88" s="90" t="str">
        <f aca="false">IF(OR(E88="",F88=""),"",F88-E88)</f>
        <v/>
      </c>
      <c r="I88" s="90" t="str">
        <f aca="false">IF(OR(F88="",G88=""),"",G88-F88)</f>
        <v/>
      </c>
      <c r="J88" s="113" t="str">
        <f aca="false">IF(OR(H88="",I88=""),"",(H88+I88)/H88)</f>
        <v/>
      </c>
      <c r="K88" s="114"/>
      <c r="L88" s="93"/>
    </row>
    <row r="89" customFormat="false" ht="15" hidden="false" customHeight="false" outlineLevel="0" collapsed="false">
      <c r="A89" s="102" t="s">
        <v>356</v>
      </c>
      <c r="B89" s="103" t="s">
        <v>257</v>
      </c>
      <c r="C89" s="104" t="n">
        <v>1</v>
      </c>
      <c r="D89" s="105" t="s">
        <v>357</v>
      </c>
      <c r="E89" s="106"/>
      <c r="F89" s="106"/>
      <c r="G89" s="106"/>
      <c r="H89" s="107" t="str">
        <f aca="false">IF(OR(E89="",F89=""),"",F89-E89)</f>
        <v/>
      </c>
      <c r="I89" s="107" t="str">
        <f aca="false">IF(OR(F89="",G89=""),"",G89-F89)</f>
        <v/>
      </c>
      <c r="J89" s="108" t="str">
        <f aca="false">IF(OR(H89="",I89=""),"",(H89+I89)/H89)</f>
        <v/>
      </c>
      <c r="K89" s="109"/>
      <c r="L89" s="110"/>
    </row>
    <row r="90" customFormat="false" ht="15" hidden="false" customHeight="false" outlineLevel="0" collapsed="false">
      <c r="A90" s="111"/>
      <c r="B90" s="111"/>
      <c r="C90" s="111" t="n">
        <v>2</v>
      </c>
      <c r="D90" s="112" t="s">
        <v>358</v>
      </c>
      <c r="E90" s="92"/>
      <c r="F90" s="92"/>
      <c r="G90" s="92"/>
      <c r="H90" s="90" t="str">
        <f aca="false">IF(OR(E90="",F90=""),"",F90-E90)</f>
        <v/>
      </c>
      <c r="I90" s="90" t="str">
        <f aca="false">IF(OR(F90="",G90=""),"",G90-F90)</f>
        <v/>
      </c>
      <c r="J90" s="113" t="str">
        <f aca="false">IF(OR(H90="",I90=""),"",(H90+I90)/H90)</f>
        <v/>
      </c>
      <c r="K90" s="114"/>
      <c r="L90" s="93"/>
    </row>
    <row r="91" customFormat="false" ht="15" hidden="false" customHeight="false" outlineLevel="0" collapsed="false">
      <c r="A91" s="115"/>
      <c r="B91" s="116" t="s">
        <v>260</v>
      </c>
      <c r="C91" s="115" t="n">
        <v>1</v>
      </c>
      <c r="D91" s="112" t="s">
        <v>359</v>
      </c>
      <c r="E91" s="92"/>
      <c r="F91" s="92"/>
      <c r="G91" s="92"/>
      <c r="H91" s="90" t="str">
        <f aca="false">IF(OR(E91="",F91=""),"",F91-E91)</f>
        <v/>
      </c>
      <c r="I91" s="90" t="str">
        <f aca="false">IF(OR(F91="",G91=""),"",G91-F91)</f>
        <v/>
      </c>
      <c r="J91" s="113" t="str">
        <f aca="false">IF(OR(H91="",I91=""),"",(H91+I91)/H91)</f>
        <v/>
      </c>
      <c r="K91" s="117"/>
      <c r="L91" s="93"/>
    </row>
    <row r="92" customFormat="false" ht="15" hidden="false" customHeight="false" outlineLevel="0" collapsed="false">
      <c r="A92" s="115"/>
      <c r="B92" s="115"/>
      <c r="C92" s="115" t="n">
        <v>2</v>
      </c>
      <c r="D92" s="112" t="s">
        <v>360</v>
      </c>
      <c r="E92" s="92"/>
      <c r="F92" s="92"/>
      <c r="G92" s="92"/>
      <c r="H92" s="90" t="str">
        <f aca="false">IF(OR(E92="",F92=""),"",F92-E92)</f>
        <v/>
      </c>
      <c r="I92" s="90" t="str">
        <f aca="false">IF(OR(F92="",G92=""),"",G92-F92)</f>
        <v/>
      </c>
      <c r="J92" s="113" t="str">
        <f aca="false">IF(OR(H92="",I92=""),"",(H92+I92)/H92)</f>
        <v/>
      </c>
      <c r="K92" s="114"/>
      <c r="L92" s="93"/>
    </row>
    <row r="93" customFormat="false" ht="17.35" hidden="false" customHeight="false" outlineLevel="0" collapsed="false">
      <c r="A93" s="94" t="s">
        <v>361</v>
      </c>
      <c r="H93" s="95" t="s">
        <v>238</v>
      </c>
      <c r="I93" s="96" t="s">
        <v>239</v>
      </c>
      <c r="J93" s="97" t="s">
        <v>240</v>
      </c>
      <c r="K93" s="98" t="s">
        <v>241</v>
      </c>
    </row>
    <row r="94" customFormat="false" ht="15" hidden="false" customHeight="false" outlineLevel="0" collapsed="false">
      <c r="A94" s="99" t="s">
        <v>242</v>
      </c>
      <c r="I94" s="100" t="s">
        <v>243</v>
      </c>
      <c r="J94" s="101" t="s">
        <v>244</v>
      </c>
    </row>
    <row r="95" customFormat="false" ht="23.85" hidden="false" customHeight="false" outlineLevel="0" collapsed="false">
      <c r="A95" s="87" t="s">
        <v>245</v>
      </c>
      <c r="B95" s="87" t="s">
        <v>246</v>
      </c>
      <c r="C95" s="87" t="s">
        <v>247</v>
      </c>
      <c r="D95" s="87" t="s">
        <v>248</v>
      </c>
      <c r="E95" s="87" t="s">
        <v>249</v>
      </c>
      <c r="F95" s="87" t="s">
        <v>250</v>
      </c>
      <c r="G95" s="87" t="s">
        <v>251</v>
      </c>
      <c r="H95" s="87" t="s">
        <v>252</v>
      </c>
      <c r="I95" s="87" t="s">
        <v>253</v>
      </c>
      <c r="J95" s="87" t="s">
        <v>254</v>
      </c>
      <c r="K95" s="87" t="s">
        <v>255</v>
      </c>
      <c r="L95" s="87" t="s">
        <v>28</v>
      </c>
    </row>
    <row r="96" customFormat="false" ht="15" hidden="false" customHeight="false" outlineLevel="0" collapsed="false">
      <c r="A96" s="102" t="s">
        <v>362</v>
      </c>
      <c r="B96" s="103" t="s">
        <v>257</v>
      </c>
      <c r="C96" s="104" t="n">
        <v>1</v>
      </c>
      <c r="D96" s="105" t="s">
        <v>363</v>
      </c>
      <c r="E96" s="106"/>
      <c r="F96" s="106"/>
      <c r="G96" s="106"/>
      <c r="H96" s="107" t="str">
        <f aca="false">IF(OR(E96="",F96=""),"",F96-E96)</f>
        <v/>
      </c>
      <c r="I96" s="107" t="str">
        <f aca="false">IF(OR(F96="",G96=""),"",G96-F96)</f>
        <v/>
      </c>
      <c r="J96" s="108" t="str">
        <f aca="false">IF(OR(H96="",I96=""),"",(H96+I96)/H96)</f>
        <v/>
      </c>
      <c r="K96" s="109"/>
      <c r="L96" s="110"/>
    </row>
    <row r="97" customFormat="false" ht="15" hidden="false" customHeight="false" outlineLevel="0" collapsed="false">
      <c r="A97" s="111"/>
      <c r="B97" s="111"/>
      <c r="C97" s="111" t="n">
        <v>2</v>
      </c>
      <c r="D97" s="112" t="s">
        <v>364</v>
      </c>
      <c r="E97" s="92"/>
      <c r="F97" s="92"/>
      <c r="G97" s="92"/>
      <c r="H97" s="90" t="str">
        <f aca="false">IF(OR(E97="",F97=""),"",F97-E97)</f>
        <v/>
      </c>
      <c r="I97" s="90" t="str">
        <f aca="false">IF(OR(F97="",G97=""),"",G97-F97)</f>
        <v/>
      </c>
      <c r="J97" s="113" t="str">
        <f aca="false">IF(OR(H97="",I97=""),"",(H97+I97)/H97)</f>
        <v/>
      </c>
      <c r="K97" s="114"/>
      <c r="L97" s="93"/>
    </row>
    <row r="98" customFormat="false" ht="15" hidden="false" customHeight="false" outlineLevel="0" collapsed="false">
      <c r="A98" s="115"/>
      <c r="B98" s="116" t="s">
        <v>260</v>
      </c>
      <c r="C98" s="115" t="n">
        <v>1</v>
      </c>
      <c r="D98" s="112" t="s">
        <v>365</v>
      </c>
      <c r="E98" s="92"/>
      <c r="F98" s="92"/>
      <c r="G98" s="92"/>
      <c r="H98" s="90" t="str">
        <f aca="false">IF(OR(E98="",F98=""),"",F98-E98)</f>
        <v/>
      </c>
      <c r="I98" s="90" t="str">
        <f aca="false">IF(OR(F98="",G98=""),"",G98-F98)</f>
        <v/>
      </c>
      <c r="J98" s="113" t="str">
        <f aca="false">IF(OR(H98="",I98=""),"",(H98+I98)/H98)</f>
        <v/>
      </c>
      <c r="K98" s="117"/>
      <c r="L98" s="93"/>
    </row>
    <row r="99" customFormat="false" ht="15" hidden="false" customHeight="false" outlineLevel="0" collapsed="false">
      <c r="A99" s="115"/>
      <c r="B99" s="115"/>
      <c r="C99" s="115" t="n">
        <v>2</v>
      </c>
      <c r="D99" s="112" t="s">
        <v>366</v>
      </c>
      <c r="E99" s="92"/>
      <c r="F99" s="92"/>
      <c r="G99" s="92"/>
      <c r="H99" s="90" t="str">
        <f aca="false">IF(OR(E99="",F99=""),"",F99-E99)</f>
        <v/>
      </c>
      <c r="I99" s="90" t="str">
        <f aca="false">IF(OR(F99="",G99=""),"",G99-F99)</f>
        <v/>
      </c>
      <c r="J99" s="113" t="str">
        <f aca="false">IF(OR(H99="",I99=""),"",(H99+I99)/H99)</f>
        <v/>
      </c>
      <c r="K99" s="114"/>
      <c r="L99" s="93"/>
    </row>
    <row r="100" customFormat="false" ht="15" hidden="false" customHeight="false" outlineLevel="0" collapsed="false">
      <c r="A100" s="102" t="s">
        <v>367</v>
      </c>
      <c r="B100" s="103" t="s">
        <v>257</v>
      </c>
      <c r="C100" s="104" t="n">
        <v>1</v>
      </c>
      <c r="D100" s="105" t="s">
        <v>368</v>
      </c>
      <c r="E100" s="106"/>
      <c r="F100" s="106"/>
      <c r="G100" s="106"/>
      <c r="H100" s="107" t="str">
        <f aca="false">IF(OR(E100="",F100=""),"",F100-E100)</f>
        <v/>
      </c>
      <c r="I100" s="107" t="str">
        <f aca="false">IF(OR(F100="",G100=""),"",G100-F100)</f>
        <v/>
      </c>
      <c r="J100" s="108" t="str">
        <f aca="false">IF(OR(H100="",I100=""),"",(H100+I100)/H100)</f>
        <v/>
      </c>
      <c r="K100" s="109"/>
      <c r="L100" s="110"/>
    </row>
    <row r="101" customFormat="false" ht="15" hidden="false" customHeight="false" outlineLevel="0" collapsed="false">
      <c r="A101" s="111"/>
      <c r="B101" s="111"/>
      <c r="C101" s="111" t="n">
        <v>2</v>
      </c>
      <c r="D101" s="112" t="s">
        <v>369</v>
      </c>
      <c r="E101" s="92"/>
      <c r="F101" s="92"/>
      <c r="G101" s="92"/>
      <c r="H101" s="90" t="str">
        <f aca="false">IF(OR(E101="",F101=""),"",F101-E101)</f>
        <v/>
      </c>
      <c r="I101" s="90" t="str">
        <f aca="false">IF(OR(F101="",G101=""),"",G101-F101)</f>
        <v/>
      </c>
      <c r="J101" s="113" t="str">
        <f aca="false">IF(OR(H101="",I101=""),"",(H101+I101)/H101)</f>
        <v/>
      </c>
      <c r="K101" s="114"/>
      <c r="L101" s="93"/>
    </row>
    <row r="102" customFormat="false" ht="15" hidden="false" customHeight="false" outlineLevel="0" collapsed="false">
      <c r="A102" s="115"/>
      <c r="B102" s="116" t="s">
        <v>260</v>
      </c>
      <c r="C102" s="115" t="n">
        <v>1</v>
      </c>
      <c r="D102" s="112" t="s">
        <v>370</v>
      </c>
      <c r="E102" s="92"/>
      <c r="F102" s="92"/>
      <c r="G102" s="92"/>
      <c r="H102" s="90" t="str">
        <f aca="false">IF(OR(E102="",F102=""),"",F102-E102)</f>
        <v/>
      </c>
      <c r="I102" s="90" t="str">
        <f aca="false">IF(OR(F102="",G102=""),"",G102-F102)</f>
        <v/>
      </c>
      <c r="J102" s="113" t="str">
        <f aca="false">IF(OR(H102="",I102=""),"",(H102+I102)/H102)</f>
        <v/>
      </c>
      <c r="K102" s="117"/>
      <c r="L102" s="93"/>
    </row>
    <row r="103" customFormat="false" ht="15" hidden="false" customHeight="false" outlineLevel="0" collapsed="false">
      <c r="A103" s="115"/>
      <c r="B103" s="115"/>
      <c r="C103" s="115" t="n">
        <v>2</v>
      </c>
      <c r="D103" s="112" t="s">
        <v>371</v>
      </c>
      <c r="E103" s="92"/>
      <c r="F103" s="92"/>
      <c r="G103" s="92"/>
      <c r="H103" s="90" t="str">
        <f aca="false">IF(OR(E103="",F103=""),"",F103-E103)</f>
        <v/>
      </c>
      <c r="I103" s="90" t="str">
        <f aca="false">IF(OR(F103="",G103=""),"",G103-F103)</f>
        <v/>
      </c>
      <c r="J103" s="113" t="str">
        <f aca="false">IF(OR(H103="",I103=""),"",(H103+I103)/H103)</f>
        <v/>
      </c>
      <c r="K103" s="114"/>
      <c r="L103" s="93"/>
    </row>
    <row r="104" customFormat="false" ht="15" hidden="false" customHeight="false" outlineLevel="0" collapsed="false">
      <c r="A104" s="102" t="s">
        <v>372</v>
      </c>
      <c r="B104" s="103" t="s">
        <v>257</v>
      </c>
      <c r="C104" s="104" t="n">
        <v>1</v>
      </c>
      <c r="D104" s="105" t="s">
        <v>373</v>
      </c>
      <c r="E104" s="106"/>
      <c r="F104" s="106"/>
      <c r="G104" s="106"/>
      <c r="H104" s="107" t="str">
        <f aca="false">IF(OR(E104="",F104=""),"",F104-E104)</f>
        <v/>
      </c>
      <c r="I104" s="107" t="str">
        <f aca="false">IF(OR(F104="",G104=""),"",G104-F104)</f>
        <v/>
      </c>
      <c r="J104" s="108" t="str">
        <f aca="false">IF(OR(H104="",I104=""),"",(H104+I104)/H104)</f>
        <v/>
      </c>
      <c r="K104" s="109"/>
      <c r="L104" s="110"/>
    </row>
    <row r="105" customFormat="false" ht="15" hidden="false" customHeight="false" outlineLevel="0" collapsed="false">
      <c r="A105" s="111"/>
      <c r="B105" s="111"/>
      <c r="C105" s="111" t="n">
        <v>2</v>
      </c>
      <c r="D105" s="112" t="s">
        <v>374</v>
      </c>
      <c r="E105" s="92"/>
      <c r="F105" s="92"/>
      <c r="G105" s="92"/>
      <c r="H105" s="90" t="str">
        <f aca="false">IF(OR(E105="",F105=""),"",F105-E105)</f>
        <v/>
      </c>
      <c r="I105" s="90" t="str">
        <f aca="false">IF(OR(F105="",G105=""),"",G105-F105)</f>
        <v/>
      </c>
      <c r="J105" s="113" t="str">
        <f aca="false">IF(OR(H105="",I105=""),"",(H105+I105)/H105)</f>
        <v/>
      </c>
      <c r="K105" s="114"/>
      <c r="L105" s="93"/>
    </row>
    <row r="106" customFormat="false" ht="15" hidden="false" customHeight="false" outlineLevel="0" collapsed="false">
      <c r="A106" s="115"/>
      <c r="B106" s="116" t="s">
        <v>260</v>
      </c>
      <c r="C106" s="115" t="n">
        <v>1</v>
      </c>
      <c r="D106" s="112" t="s">
        <v>375</v>
      </c>
      <c r="E106" s="92"/>
      <c r="F106" s="92"/>
      <c r="G106" s="92"/>
      <c r="H106" s="90" t="str">
        <f aca="false">IF(OR(E106="",F106=""),"",F106-E106)</f>
        <v/>
      </c>
      <c r="I106" s="90" t="str">
        <f aca="false">IF(OR(F106="",G106=""),"",G106-F106)</f>
        <v/>
      </c>
      <c r="J106" s="113" t="str">
        <f aca="false">IF(OR(H106="",I106=""),"",(H106+I106)/H106)</f>
        <v/>
      </c>
      <c r="K106" s="117"/>
      <c r="L106" s="93"/>
    </row>
    <row r="107" customFormat="false" ht="15" hidden="false" customHeight="false" outlineLevel="0" collapsed="false">
      <c r="A107" s="115"/>
      <c r="B107" s="115"/>
      <c r="C107" s="115" t="n">
        <v>2</v>
      </c>
      <c r="D107" s="112" t="s">
        <v>376</v>
      </c>
      <c r="E107" s="92"/>
      <c r="F107" s="92"/>
      <c r="G107" s="92"/>
      <c r="H107" s="90" t="str">
        <f aca="false">IF(OR(E107="",F107=""),"",F107-E107)</f>
        <v/>
      </c>
      <c r="I107" s="90" t="str">
        <f aca="false">IF(OR(F107="",G107=""),"",G107-F107)</f>
        <v/>
      </c>
      <c r="J107" s="113" t="str">
        <f aca="false">IF(OR(H107="",I107=""),"",(H107+I107)/H107)</f>
        <v/>
      </c>
      <c r="K107" s="114"/>
      <c r="L107" s="93"/>
    </row>
    <row r="108" customFormat="false" ht="15" hidden="false" customHeight="false" outlineLevel="0" collapsed="false">
      <c r="A108" s="102" t="s">
        <v>377</v>
      </c>
      <c r="B108" s="103" t="s">
        <v>257</v>
      </c>
      <c r="C108" s="104" t="n">
        <v>1</v>
      </c>
      <c r="D108" s="105" t="s">
        <v>378</v>
      </c>
      <c r="E108" s="106"/>
      <c r="F108" s="106"/>
      <c r="G108" s="106"/>
      <c r="H108" s="107" t="str">
        <f aca="false">IF(OR(E108="",F108=""),"",F108-E108)</f>
        <v/>
      </c>
      <c r="I108" s="107" t="str">
        <f aca="false">IF(OR(F108="",G108=""),"",G108-F108)</f>
        <v/>
      </c>
      <c r="J108" s="108" t="str">
        <f aca="false">IF(OR(H108="",I108=""),"",(H108+I108)/H108)</f>
        <v/>
      </c>
      <c r="K108" s="109"/>
      <c r="L108" s="110"/>
    </row>
    <row r="109" customFormat="false" ht="15" hidden="false" customHeight="false" outlineLevel="0" collapsed="false">
      <c r="A109" s="111"/>
      <c r="B109" s="111"/>
      <c r="C109" s="111" t="n">
        <v>2</v>
      </c>
      <c r="D109" s="112" t="s">
        <v>379</v>
      </c>
      <c r="E109" s="92"/>
      <c r="F109" s="92"/>
      <c r="G109" s="92"/>
      <c r="H109" s="90" t="str">
        <f aca="false">IF(OR(E109="",F109=""),"",F109-E109)</f>
        <v/>
      </c>
      <c r="I109" s="90" t="str">
        <f aca="false">IF(OR(F109="",G109=""),"",G109-F109)</f>
        <v/>
      </c>
      <c r="J109" s="113" t="str">
        <f aca="false">IF(OR(H109="",I109=""),"",(H109+I109)/H109)</f>
        <v/>
      </c>
      <c r="K109" s="114"/>
      <c r="L109" s="93"/>
    </row>
    <row r="110" customFormat="false" ht="15" hidden="false" customHeight="false" outlineLevel="0" collapsed="false">
      <c r="A110" s="115"/>
      <c r="B110" s="116" t="s">
        <v>260</v>
      </c>
      <c r="C110" s="115" t="n">
        <v>1</v>
      </c>
      <c r="D110" s="112" t="s">
        <v>380</v>
      </c>
      <c r="E110" s="92"/>
      <c r="F110" s="92"/>
      <c r="G110" s="92"/>
      <c r="H110" s="90" t="str">
        <f aca="false">IF(OR(E110="",F110=""),"",F110-E110)</f>
        <v/>
      </c>
      <c r="I110" s="90" t="str">
        <f aca="false">IF(OR(F110="",G110=""),"",G110-F110)</f>
        <v/>
      </c>
      <c r="J110" s="113" t="str">
        <f aca="false">IF(OR(H110="",I110=""),"",(H110+I110)/H110)</f>
        <v/>
      </c>
      <c r="K110" s="117"/>
      <c r="L110" s="93"/>
    </row>
    <row r="111" customFormat="false" ht="15" hidden="false" customHeight="false" outlineLevel="0" collapsed="false">
      <c r="A111" s="115"/>
      <c r="B111" s="115"/>
      <c r="C111" s="115" t="n">
        <v>2</v>
      </c>
      <c r="D111" s="112" t="s">
        <v>381</v>
      </c>
      <c r="E111" s="92"/>
      <c r="F111" s="92"/>
      <c r="G111" s="92"/>
      <c r="H111" s="90" t="str">
        <f aca="false">IF(OR(E111="",F111=""),"",F111-E111)</f>
        <v/>
      </c>
      <c r="I111" s="90" t="str">
        <f aca="false">IF(OR(F111="",G111=""),"",G111-F111)</f>
        <v/>
      </c>
      <c r="J111" s="113" t="str">
        <f aca="false">IF(OR(H111="",I111=""),"",(H111+I111)/H111)</f>
        <v/>
      </c>
      <c r="K111" s="114"/>
      <c r="L111" s="93"/>
    </row>
    <row r="112" customFormat="false" ht="15" hidden="false" customHeight="false" outlineLevel="0" collapsed="false">
      <c r="A112" s="102" t="s">
        <v>382</v>
      </c>
      <c r="B112" s="103" t="s">
        <v>257</v>
      </c>
      <c r="C112" s="104" t="n">
        <v>1</v>
      </c>
      <c r="D112" s="105" t="s">
        <v>383</v>
      </c>
      <c r="E112" s="106"/>
      <c r="F112" s="106"/>
      <c r="G112" s="106"/>
      <c r="H112" s="107" t="str">
        <f aca="false">IF(OR(E112="",F112=""),"",F112-E112)</f>
        <v/>
      </c>
      <c r="I112" s="107" t="str">
        <f aca="false">IF(OR(F112="",G112=""),"",G112-F112)</f>
        <v/>
      </c>
      <c r="J112" s="108" t="str">
        <f aca="false">IF(OR(H112="",I112=""),"",(H112+I112)/H112)</f>
        <v/>
      </c>
      <c r="K112" s="109"/>
      <c r="L112" s="110"/>
    </row>
    <row r="113" customFormat="false" ht="15" hidden="false" customHeight="false" outlineLevel="0" collapsed="false">
      <c r="A113" s="111"/>
      <c r="B113" s="111"/>
      <c r="C113" s="111" t="n">
        <v>2</v>
      </c>
      <c r="D113" s="112" t="s">
        <v>384</v>
      </c>
      <c r="E113" s="92"/>
      <c r="F113" s="92"/>
      <c r="G113" s="92"/>
      <c r="H113" s="90" t="str">
        <f aca="false">IF(OR(E113="",F113=""),"",F113-E113)</f>
        <v/>
      </c>
      <c r="I113" s="90" t="str">
        <f aca="false">IF(OR(F113="",G113=""),"",G113-F113)</f>
        <v/>
      </c>
      <c r="J113" s="113" t="str">
        <f aca="false">IF(OR(H113="",I113=""),"",(H113+I113)/H113)</f>
        <v/>
      </c>
      <c r="K113" s="114"/>
      <c r="L113" s="93"/>
    </row>
    <row r="114" customFormat="false" ht="15" hidden="false" customHeight="false" outlineLevel="0" collapsed="false">
      <c r="A114" s="115"/>
      <c r="B114" s="116" t="s">
        <v>260</v>
      </c>
      <c r="C114" s="115" t="n">
        <v>1</v>
      </c>
      <c r="D114" s="112" t="s">
        <v>385</v>
      </c>
      <c r="E114" s="92"/>
      <c r="F114" s="92"/>
      <c r="G114" s="92"/>
      <c r="H114" s="90" t="str">
        <f aca="false">IF(OR(E114="",F114=""),"",F114-E114)</f>
        <v/>
      </c>
      <c r="I114" s="90" t="str">
        <f aca="false">IF(OR(F114="",G114=""),"",G114-F114)</f>
        <v/>
      </c>
      <c r="J114" s="113" t="str">
        <f aca="false">IF(OR(H114="",I114=""),"",(H114+I114)/H114)</f>
        <v/>
      </c>
      <c r="K114" s="117"/>
      <c r="L114" s="93"/>
    </row>
    <row r="115" customFormat="false" ht="15" hidden="false" customHeight="false" outlineLevel="0" collapsed="false">
      <c r="A115" s="115"/>
      <c r="B115" s="115"/>
      <c r="C115" s="115" t="n">
        <v>2</v>
      </c>
      <c r="D115" s="112" t="s">
        <v>386</v>
      </c>
      <c r="E115" s="92"/>
      <c r="F115" s="92"/>
      <c r="G115" s="92"/>
      <c r="H115" s="90" t="str">
        <f aca="false">IF(OR(E115="",F115=""),"",F115-E115)</f>
        <v/>
      </c>
      <c r="I115" s="90" t="str">
        <f aca="false">IF(OR(F115="",G115=""),"",G115-F115)</f>
        <v/>
      </c>
      <c r="J115" s="113" t="str">
        <f aca="false">IF(OR(H115="",I115=""),"",(H115+I115)/H115)</f>
        <v/>
      </c>
      <c r="K115" s="114"/>
      <c r="L115" s="93"/>
    </row>
    <row r="116" customFormat="false" ht="17.35" hidden="false" customHeight="false" outlineLevel="0" collapsed="false">
      <c r="A116" s="94" t="s">
        <v>387</v>
      </c>
      <c r="H116" s="95" t="s">
        <v>238</v>
      </c>
      <c r="I116" s="96" t="s">
        <v>239</v>
      </c>
      <c r="J116" s="97" t="s">
        <v>240</v>
      </c>
      <c r="K116" s="98" t="s">
        <v>241</v>
      </c>
    </row>
    <row r="117" customFormat="false" ht="15" hidden="false" customHeight="false" outlineLevel="0" collapsed="false">
      <c r="A117" s="99" t="s">
        <v>242</v>
      </c>
      <c r="I117" s="100" t="s">
        <v>243</v>
      </c>
      <c r="J117" s="101" t="s">
        <v>244</v>
      </c>
    </row>
    <row r="118" customFormat="false" ht="23.85" hidden="false" customHeight="false" outlineLevel="0" collapsed="false">
      <c r="A118" s="87" t="s">
        <v>245</v>
      </c>
      <c r="B118" s="87" t="s">
        <v>246</v>
      </c>
      <c r="C118" s="87" t="s">
        <v>247</v>
      </c>
      <c r="D118" s="87" t="s">
        <v>248</v>
      </c>
      <c r="E118" s="87" t="s">
        <v>249</v>
      </c>
      <c r="F118" s="87" t="s">
        <v>250</v>
      </c>
      <c r="G118" s="87" t="s">
        <v>251</v>
      </c>
      <c r="H118" s="87" t="s">
        <v>252</v>
      </c>
      <c r="I118" s="87" t="s">
        <v>253</v>
      </c>
      <c r="J118" s="87" t="s">
        <v>254</v>
      </c>
      <c r="K118" s="87" t="s">
        <v>255</v>
      </c>
      <c r="L118" s="87" t="s">
        <v>28</v>
      </c>
    </row>
    <row r="119" customFormat="false" ht="15" hidden="false" customHeight="false" outlineLevel="0" collapsed="false">
      <c r="A119" s="102" t="s">
        <v>388</v>
      </c>
      <c r="B119" s="103" t="s">
        <v>257</v>
      </c>
      <c r="C119" s="104" t="n">
        <v>1</v>
      </c>
      <c r="D119" s="105" t="s">
        <v>389</v>
      </c>
      <c r="E119" s="106"/>
      <c r="F119" s="106"/>
      <c r="G119" s="106"/>
      <c r="H119" s="107" t="str">
        <f aca="false">IF(OR(E119="",F119=""),"",F119-E119)</f>
        <v/>
      </c>
      <c r="I119" s="107" t="str">
        <f aca="false">IF(OR(F119="",G119=""),"",G119-F119)</f>
        <v/>
      </c>
      <c r="J119" s="108" t="str">
        <f aca="false">IF(OR(H119="",I119=""),"",(H119+I119)/H119)</f>
        <v/>
      </c>
      <c r="K119" s="109"/>
      <c r="L119" s="110"/>
    </row>
    <row r="120" customFormat="false" ht="15" hidden="false" customHeight="false" outlineLevel="0" collapsed="false">
      <c r="A120" s="111"/>
      <c r="B120" s="111"/>
      <c r="C120" s="111" t="n">
        <v>2</v>
      </c>
      <c r="D120" s="112" t="s">
        <v>390</v>
      </c>
      <c r="E120" s="92"/>
      <c r="F120" s="92"/>
      <c r="G120" s="92"/>
      <c r="H120" s="90" t="str">
        <f aca="false">IF(OR(E120="",F120=""),"",F120-E120)</f>
        <v/>
      </c>
      <c r="I120" s="90" t="str">
        <f aca="false">IF(OR(F120="",G120=""),"",G120-F120)</f>
        <v/>
      </c>
      <c r="J120" s="113" t="str">
        <f aca="false">IF(OR(H120="",I120=""),"",(H120+I120)/H120)</f>
        <v/>
      </c>
      <c r="K120" s="114"/>
      <c r="L120" s="93"/>
    </row>
    <row r="121" customFormat="false" ht="15" hidden="false" customHeight="false" outlineLevel="0" collapsed="false">
      <c r="A121" s="115"/>
      <c r="B121" s="116" t="s">
        <v>260</v>
      </c>
      <c r="C121" s="115" t="n">
        <v>1</v>
      </c>
      <c r="D121" s="112" t="s">
        <v>391</v>
      </c>
      <c r="E121" s="92"/>
      <c r="F121" s="92"/>
      <c r="G121" s="92"/>
      <c r="H121" s="90" t="str">
        <f aca="false">IF(OR(E121="",F121=""),"",F121-E121)</f>
        <v/>
      </c>
      <c r="I121" s="90" t="str">
        <f aca="false">IF(OR(F121="",G121=""),"",G121-F121)</f>
        <v/>
      </c>
      <c r="J121" s="113" t="str">
        <f aca="false">IF(OR(H121="",I121=""),"",(H121+I121)/H121)</f>
        <v/>
      </c>
      <c r="K121" s="117"/>
      <c r="L121" s="93"/>
    </row>
    <row r="122" customFormat="false" ht="15" hidden="false" customHeight="false" outlineLevel="0" collapsed="false">
      <c r="A122" s="115"/>
      <c r="B122" s="115"/>
      <c r="C122" s="115" t="n">
        <v>2</v>
      </c>
      <c r="D122" s="112" t="s">
        <v>392</v>
      </c>
      <c r="E122" s="92"/>
      <c r="F122" s="92"/>
      <c r="G122" s="92"/>
      <c r="H122" s="90" t="str">
        <f aca="false">IF(OR(E122="",F122=""),"",F122-E122)</f>
        <v/>
      </c>
      <c r="I122" s="90" t="str">
        <f aca="false">IF(OR(F122="",G122=""),"",G122-F122)</f>
        <v/>
      </c>
      <c r="J122" s="113" t="str">
        <f aca="false">IF(OR(H122="",I122=""),"",(H122+I122)/H122)</f>
        <v/>
      </c>
      <c r="K122" s="114"/>
      <c r="L122" s="93"/>
    </row>
    <row r="123" customFormat="false" ht="15" hidden="false" customHeight="false" outlineLevel="0" collapsed="false">
      <c r="A123" s="102" t="s">
        <v>393</v>
      </c>
      <c r="B123" s="103" t="s">
        <v>257</v>
      </c>
      <c r="C123" s="104" t="n">
        <v>1</v>
      </c>
      <c r="D123" s="105" t="s">
        <v>394</v>
      </c>
      <c r="E123" s="106"/>
      <c r="F123" s="106"/>
      <c r="G123" s="106"/>
      <c r="H123" s="107" t="str">
        <f aca="false">IF(OR(E123="",F123=""),"",F123-E123)</f>
        <v/>
      </c>
      <c r="I123" s="107" t="str">
        <f aca="false">IF(OR(F123="",G123=""),"",G123-F123)</f>
        <v/>
      </c>
      <c r="J123" s="108" t="str">
        <f aca="false">IF(OR(H123="",I123=""),"",(H123+I123)/H123)</f>
        <v/>
      </c>
      <c r="K123" s="109"/>
      <c r="L123" s="110"/>
    </row>
    <row r="124" customFormat="false" ht="15" hidden="false" customHeight="false" outlineLevel="0" collapsed="false">
      <c r="A124" s="111"/>
      <c r="B124" s="111"/>
      <c r="C124" s="111" t="n">
        <v>2</v>
      </c>
      <c r="D124" s="112" t="s">
        <v>395</v>
      </c>
      <c r="E124" s="92"/>
      <c r="F124" s="92"/>
      <c r="G124" s="92"/>
      <c r="H124" s="90" t="str">
        <f aca="false">IF(OR(E124="",F124=""),"",F124-E124)</f>
        <v/>
      </c>
      <c r="I124" s="90" t="str">
        <f aca="false">IF(OR(F124="",G124=""),"",G124-F124)</f>
        <v/>
      </c>
      <c r="J124" s="113" t="str">
        <f aca="false">IF(OR(H124="",I124=""),"",(H124+I124)/H124)</f>
        <v/>
      </c>
      <c r="K124" s="114"/>
      <c r="L124" s="93"/>
    </row>
    <row r="125" customFormat="false" ht="15" hidden="false" customHeight="false" outlineLevel="0" collapsed="false">
      <c r="A125" s="115"/>
      <c r="B125" s="116" t="s">
        <v>260</v>
      </c>
      <c r="C125" s="115" t="n">
        <v>1</v>
      </c>
      <c r="D125" s="112" t="s">
        <v>396</v>
      </c>
      <c r="E125" s="92"/>
      <c r="F125" s="92"/>
      <c r="G125" s="92"/>
      <c r="H125" s="90" t="str">
        <f aca="false">IF(OR(E125="",F125=""),"",F125-E125)</f>
        <v/>
      </c>
      <c r="I125" s="90" t="str">
        <f aca="false">IF(OR(F125="",G125=""),"",G125-F125)</f>
        <v/>
      </c>
      <c r="J125" s="113" t="str">
        <f aca="false">IF(OR(H125="",I125=""),"",(H125+I125)/H125)</f>
        <v/>
      </c>
      <c r="K125" s="117"/>
      <c r="L125" s="93"/>
    </row>
    <row r="126" customFormat="false" ht="15" hidden="false" customHeight="false" outlineLevel="0" collapsed="false">
      <c r="A126" s="115"/>
      <c r="B126" s="115"/>
      <c r="C126" s="115" t="n">
        <v>2</v>
      </c>
      <c r="D126" s="112" t="s">
        <v>397</v>
      </c>
      <c r="E126" s="92"/>
      <c r="F126" s="92"/>
      <c r="G126" s="92"/>
      <c r="H126" s="90" t="str">
        <f aca="false">IF(OR(E126="",F126=""),"",F126-E126)</f>
        <v/>
      </c>
      <c r="I126" s="90" t="str">
        <f aca="false">IF(OR(F126="",G126=""),"",G126-F126)</f>
        <v/>
      </c>
      <c r="J126" s="113" t="str">
        <f aca="false">IF(OR(H126="",I126=""),"",(H126+I126)/H126)</f>
        <v/>
      </c>
      <c r="K126" s="114"/>
      <c r="L126" s="93"/>
    </row>
    <row r="127" customFormat="false" ht="15" hidden="false" customHeight="false" outlineLevel="0" collapsed="false">
      <c r="A127" s="102" t="s">
        <v>398</v>
      </c>
      <c r="B127" s="103" t="s">
        <v>257</v>
      </c>
      <c r="C127" s="104" t="n">
        <v>1</v>
      </c>
      <c r="D127" s="105" t="s">
        <v>399</v>
      </c>
      <c r="E127" s="106"/>
      <c r="F127" s="106"/>
      <c r="G127" s="106"/>
      <c r="H127" s="107" t="str">
        <f aca="false">IF(OR(E127="",F127=""),"",F127-E127)</f>
        <v/>
      </c>
      <c r="I127" s="107" t="str">
        <f aca="false">IF(OR(F127="",G127=""),"",G127-F127)</f>
        <v/>
      </c>
      <c r="J127" s="108" t="str">
        <f aca="false">IF(OR(H127="",I127=""),"",(H127+I127)/H127)</f>
        <v/>
      </c>
      <c r="K127" s="109"/>
      <c r="L127" s="110"/>
    </row>
    <row r="128" customFormat="false" ht="15" hidden="false" customHeight="false" outlineLevel="0" collapsed="false">
      <c r="A128" s="111"/>
      <c r="B128" s="111"/>
      <c r="C128" s="111" t="n">
        <v>2</v>
      </c>
      <c r="D128" s="112" t="s">
        <v>400</v>
      </c>
      <c r="E128" s="92"/>
      <c r="F128" s="92"/>
      <c r="G128" s="92"/>
      <c r="H128" s="90" t="str">
        <f aca="false">IF(OR(E128="",F128=""),"",F128-E128)</f>
        <v/>
      </c>
      <c r="I128" s="90" t="str">
        <f aca="false">IF(OR(F128="",G128=""),"",G128-F128)</f>
        <v/>
      </c>
      <c r="J128" s="113" t="str">
        <f aca="false">IF(OR(H128="",I128=""),"",(H128+I128)/H128)</f>
        <v/>
      </c>
      <c r="K128" s="114"/>
      <c r="L128" s="93"/>
    </row>
    <row r="129" customFormat="false" ht="15" hidden="false" customHeight="false" outlineLevel="0" collapsed="false">
      <c r="A129" s="115"/>
      <c r="B129" s="116" t="s">
        <v>260</v>
      </c>
      <c r="C129" s="115" t="n">
        <v>1</v>
      </c>
      <c r="D129" s="112" t="s">
        <v>401</v>
      </c>
      <c r="E129" s="92"/>
      <c r="F129" s="92"/>
      <c r="G129" s="92"/>
      <c r="H129" s="90" t="str">
        <f aca="false">IF(OR(E129="",F129=""),"",F129-E129)</f>
        <v/>
      </c>
      <c r="I129" s="90" t="str">
        <f aca="false">IF(OR(F129="",G129=""),"",G129-F129)</f>
        <v/>
      </c>
      <c r="J129" s="113" t="str">
        <f aca="false">IF(OR(H129="",I129=""),"",(H129+I129)/H129)</f>
        <v/>
      </c>
      <c r="K129" s="117"/>
      <c r="L129" s="93"/>
    </row>
    <row r="130" customFormat="false" ht="15" hidden="false" customHeight="false" outlineLevel="0" collapsed="false">
      <c r="A130" s="115"/>
      <c r="B130" s="115"/>
      <c r="C130" s="115" t="n">
        <v>2</v>
      </c>
      <c r="D130" s="112" t="s">
        <v>402</v>
      </c>
      <c r="E130" s="92"/>
      <c r="F130" s="92"/>
      <c r="G130" s="92"/>
      <c r="H130" s="90" t="str">
        <f aca="false">IF(OR(E130="",F130=""),"",F130-E130)</f>
        <v/>
      </c>
      <c r="I130" s="90" t="str">
        <f aca="false">IF(OR(F130="",G130=""),"",G130-F130)</f>
        <v/>
      </c>
      <c r="J130" s="113" t="str">
        <f aca="false">IF(OR(H130="",I130=""),"",(H130+I130)/H130)</f>
        <v/>
      </c>
      <c r="K130" s="114"/>
      <c r="L130" s="93"/>
    </row>
    <row r="131" customFormat="false" ht="15" hidden="false" customHeight="false" outlineLevel="0" collapsed="false">
      <c r="A131" s="102" t="s">
        <v>403</v>
      </c>
      <c r="B131" s="103" t="s">
        <v>257</v>
      </c>
      <c r="C131" s="104" t="n">
        <v>1</v>
      </c>
      <c r="D131" s="105" t="s">
        <v>404</v>
      </c>
      <c r="E131" s="106"/>
      <c r="F131" s="106"/>
      <c r="G131" s="106"/>
      <c r="H131" s="107" t="str">
        <f aca="false">IF(OR(E131="",F131=""),"",F131-E131)</f>
        <v/>
      </c>
      <c r="I131" s="107" t="str">
        <f aca="false">IF(OR(F131="",G131=""),"",G131-F131)</f>
        <v/>
      </c>
      <c r="J131" s="108" t="str">
        <f aca="false">IF(OR(H131="",I131=""),"",(H131+I131)/H131)</f>
        <v/>
      </c>
      <c r="K131" s="109"/>
      <c r="L131" s="110"/>
    </row>
    <row r="132" customFormat="false" ht="15" hidden="false" customHeight="false" outlineLevel="0" collapsed="false">
      <c r="A132" s="111"/>
      <c r="B132" s="111"/>
      <c r="C132" s="111" t="n">
        <v>2</v>
      </c>
      <c r="D132" s="112" t="s">
        <v>405</v>
      </c>
      <c r="E132" s="92"/>
      <c r="F132" s="92"/>
      <c r="G132" s="92"/>
      <c r="H132" s="90" t="str">
        <f aca="false">IF(OR(E132="",F132=""),"",F132-E132)</f>
        <v/>
      </c>
      <c r="I132" s="90" t="str">
        <f aca="false">IF(OR(F132="",G132=""),"",G132-F132)</f>
        <v/>
      </c>
      <c r="J132" s="113" t="str">
        <f aca="false">IF(OR(H132="",I132=""),"",(H132+I132)/H132)</f>
        <v/>
      </c>
      <c r="K132" s="114"/>
      <c r="L132" s="93"/>
    </row>
    <row r="133" customFormat="false" ht="15" hidden="false" customHeight="false" outlineLevel="0" collapsed="false">
      <c r="A133" s="115"/>
      <c r="B133" s="116" t="s">
        <v>260</v>
      </c>
      <c r="C133" s="115" t="n">
        <v>1</v>
      </c>
      <c r="D133" s="112" t="s">
        <v>406</v>
      </c>
      <c r="E133" s="92"/>
      <c r="F133" s="92"/>
      <c r="G133" s="92"/>
      <c r="H133" s="90" t="str">
        <f aca="false">IF(OR(E133="",F133=""),"",F133-E133)</f>
        <v/>
      </c>
      <c r="I133" s="90" t="str">
        <f aca="false">IF(OR(F133="",G133=""),"",G133-F133)</f>
        <v/>
      </c>
      <c r="J133" s="113" t="str">
        <f aca="false">IF(OR(H133="",I133=""),"",(H133+I133)/H133)</f>
        <v/>
      </c>
      <c r="K133" s="117"/>
      <c r="L133" s="93"/>
    </row>
    <row r="134" customFormat="false" ht="15" hidden="false" customHeight="false" outlineLevel="0" collapsed="false">
      <c r="A134" s="115"/>
      <c r="B134" s="115"/>
      <c r="C134" s="115" t="n">
        <v>2</v>
      </c>
      <c r="D134" s="112" t="s">
        <v>407</v>
      </c>
      <c r="E134" s="92"/>
      <c r="F134" s="92"/>
      <c r="G134" s="92"/>
      <c r="H134" s="90" t="str">
        <f aca="false">IF(OR(E134="",F134=""),"",F134-E134)</f>
        <v/>
      </c>
      <c r="I134" s="90" t="str">
        <f aca="false">IF(OR(F134="",G134=""),"",G134-F134)</f>
        <v/>
      </c>
      <c r="J134" s="113" t="str">
        <f aca="false">IF(OR(H134="",I134=""),"",(H134+I134)/H134)</f>
        <v/>
      </c>
      <c r="K134" s="114"/>
      <c r="L134" s="93"/>
    </row>
    <row r="135" customFormat="false" ht="15" hidden="false" customHeight="false" outlineLevel="0" collapsed="false">
      <c r="A135" s="102" t="s">
        <v>408</v>
      </c>
      <c r="B135" s="103" t="s">
        <v>257</v>
      </c>
      <c r="C135" s="104" t="n">
        <v>1</v>
      </c>
      <c r="D135" s="105" t="s">
        <v>409</v>
      </c>
      <c r="E135" s="106"/>
      <c r="F135" s="106"/>
      <c r="G135" s="106"/>
      <c r="H135" s="107" t="str">
        <f aca="false">IF(OR(E135="",F135=""),"",F135-E135)</f>
        <v/>
      </c>
      <c r="I135" s="107" t="str">
        <f aca="false">IF(OR(F135="",G135=""),"",G135-F135)</f>
        <v/>
      </c>
      <c r="J135" s="108" t="str">
        <f aca="false">IF(OR(H135="",I135=""),"",(H135+I135)/H135)</f>
        <v/>
      </c>
      <c r="K135" s="109"/>
      <c r="L135" s="110"/>
    </row>
    <row r="136" customFormat="false" ht="15" hidden="false" customHeight="false" outlineLevel="0" collapsed="false">
      <c r="A136" s="111"/>
      <c r="B136" s="111"/>
      <c r="C136" s="111" t="n">
        <v>2</v>
      </c>
      <c r="D136" s="112" t="s">
        <v>410</v>
      </c>
      <c r="E136" s="92"/>
      <c r="F136" s="92"/>
      <c r="G136" s="92"/>
      <c r="H136" s="90" t="str">
        <f aca="false">IF(OR(E136="",F136=""),"",F136-E136)</f>
        <v/>
      </c>
      <c r="I136" s="90" t="str">
        <f aca="false">IF(OR(F136="",G136=""),"",G136-F136)</f>
        <v/>
      </c>
      <c r="J136" s="113" t="str">
        <f aca="false">IF(OR(H136="",I136=""),"",(H136+I136)/H136)</f>
        <v/>
      </c>
      <c r="K136" s="114"/>
      <c r="L136" s="93"/>
    </row>
    <row r="137" customFormat="false" ht="15" hidden="false" customHeight="false" outlineLevel="0" collapsed="false">
      <c r="A137" s="115"/>
      <c r="B137" s="116" t="s">
        <v>260</v>
      </c>
      <c r="C137" s="115" t="n">
        <v>1</v>
      </c>
      <c r="D137" s="112" t="s">
        <v>411</v>
      </c>
      <c r="E137" s="92"/>
      <c r="F137" s="92"/>
      <c r="G137" s="92"/>
      <c r="H137" s="90" t="str">
        <f aca="false">IF(OR(E137="",F137=""),"",F137-E137)</f>
        <v/>
      </c>
      <c r="I137" s="90" t="str">
        <f aca="false">IF(OR(F137="",G137=""),"",G137-F137)</f>
        <v/>
      </c>
      <c r="J137" s="113" t="str">
        <f aca="false">IF(OR(H137="",I137=""),"",(H137+I137)/H137)</f>
        <v/>
      </c>
      <c r="K137" s="117"/>
      <c r="L137" s="93"/>
    </row>
    <row r="138" customFormat="false" ht="15" hidden="false" customHeight="false" outlineLevel="0" collapsed="false">
      <c r="A138" s="115"/>
      <c r="B138" s="115"/>
      <c r="C138" s="115" t="n">
        <v>2</v>
      </c>
      <c r="D138" s="112" t="s">
        <v>412</v>
      </c>
      <c r="E138" s="92"/>
      <c r="F138" s="92"/>
      <c r="G138" s="92"/>
      <c r="H138" s="90" t="str">
        <f aca="false">IF(OR(E138="",F138=""),"",F138-E138)</f>
        <v/>
      </c>
      <c r="I138" s="90" t="str">
        <f aca="false">IF(OR(F138="",G138=""),"",G138-F138)</f>
        <v/>
      </c>
      <c r="J138" s="113" t="str">
        <f aca="false">IF(OR(H138="",I138=""),"",(H138+I138)/H138)</f>
        <v/>
      </c>
      <c r="K138" s="114"/>
      <c r="L138" s="93"/>
    </row>
    <row r="139" customFormat="false" ht="17.35" hidden="false" customHeight="false" outlineLevel="0" collapsed="false">
      <c r="A139" s="94" t="s">
        <v>413</v>
      </c>
      <c r="H139" s="95" t="s">
        <v>238</v>
      </c>
      <c r="I139" s="96" t="s">
        <v>239</v>
      </c>
      <c r="J139" s="97" t="s">
        <v>240</v>
      </c>
      <c r="K139" s="98" t="s">
        <v>241</v>
      </c>
    </row>
    <row r="140" customFormat="false" ht="15" hidden="false" customHeight="false" outlineLevel="0" collapsed="false">
      <c r="A140" s="99" t="s">
        <v>242</v>
      </c>
      <c r="I140" s="100" t="s">
        <v>243</v>
      </c>
      <c r="J140" s="101" t="s">
        <v>244</v>
      </c>
    </row>
    <row r="141" customFormat="false" ht="23.85" hidden="false" customHeight="false" outlineLevel="0" collapsed="false">
      <c r="A141" s="87" t="s">
        <v>245</v>
      </c>
      <c r="B141" s="87" t="s">
        <v>246</v>
      </c>
      <c r="C141" s="87" t="s">
        <v>247</v>
      </c>
      <c r="D141" s="87" t="s">
        <v>248</v>
      </c>
      <c r="E141" s="87" t="s">
        <v>249</v>
      </c>
      <c r="F141" s="87" t="s">
        <v>250</v>
      </c>
      <c r="G141" s="87" t="s">
        <v>251</v>
      </c>
      <c r="H141" s="87" t="s">
        <v>252</v>
      </c>
      <c r="I141" s="87" t="s">
        <v>253</v>
      </c>
      <c r="J141" s="87" t="s">
        <v>254</v>
      </c>
      <c r="K141" s="87" t="s">
        <v>255</v>
      </c>
      <c r="L141" s="87" t="s">
        <v>28</v>
      </c>
    </row>
    <row r="142" customFormat="false" ht="15" hidden="false" customHeight="false" outlineLevel="0" collapsed="false">
      <c r="A142" s="102" t="s">
        <v>414</v>
      </c>
      <c r="B142" s="103" t="s">
        <v>257</v>
      </c>
      <c r="C142" s="104" t="n">
        <v>1</v>
      </c>
      <c r="D142" s="105" t="s">
        <v>415</v>
      </c>
      <c r="E142" s="106"/>
      <c r="F142" s="106"/>
      <c r="G142" s="106"/>
      <c r="H142" s="107" t="str">
        <f aca="false">IF(OR(E142="",F142=""),"",F142-E142)</f>
        <v/>
      </c>
      <c r="I142" s="107" t="str">
        <f aca="false">IF(OR(F142="",G142=""),"",G142-F142)</f>
        <v/>
      </c>
      <c r="J142" s="108" t="str">
        <f aca="false">IF(OR(H142="",I142=""),"",(H142+I142)/H142)</f>
        <v/>
      </c>
      <c r="K142" s="109"/>
      <c r="L142" s="110"/>
    </row>
    <row r="143" customFormat="false" ht="15" hidden="false" customHeight="false" outlineLevel="0" collapsed="false">
      <c r="A143" s="111"/>
      <c r="B143" s="111"/>
      <c r="C143" s="111" t="n">
        <v>2</v>
      </c>
      <c r="D143" s="112" t="s">
        <v>416</v>
      </c>
      <c r="E143" s="92"/>
      <c r="F143" s="92"/>
      <c r="G143" s="92"/>
      <c r="H143" s="90" t="str">
        <f aca="false">IF(OR(E143="",F143=""),"",F143-E143)</f>
        <v/>
      </c>
      <c r="I143" s="90" t="str">
        <f aca="false">IF(OR(F143="",G143=""),"",G143-F143)</f>
        <v/>
      </c>
      <c r="J143" s="113" t="str">
        <f aca="false">IF(OR(H143="",I143=""),"",(H143+I143)/H143)</f>
        <v/>
      </c>
      <c r="K143" s="114"/>
      <c r="L143" s="93"/>
    </row>
    <row r="144" customFormat="false" ht="15" hidden="false" customHeight="false" outlineLevel="0" collapsed="false">
      <c r="A144" s="115"/>
      <c r="B144" s="116" t="s">
        <v>260</v>
      </c>
      <c r="C144" s="115" t="n">
        <v>1</v>
      </c>
      <c r="D144" s="112" t="s">
        <v>417</v>
      </c>
      <c r="E144" s="92"/>
      <c r="F144" s="92"/>
      <c r="G144" s="92"/>
      <c r="H144" s="90" t="str">
        <f aca="false">IF(OR(E144="",F144=""),"",F144-E144)</f>
        <v/>
      </c>
      <c r="I144" s="90" t="str">
        <f aca="false">IF(OR(F144="",G144=""),"",G144-F144)</f>
        <v/>
      </c>
      <c r="J144" s="113" t="str">
        <f aca="false">IF(OR(H144="",I144=""),"",(H144+I144)/H144)</f>
        <v/>
      </c>
      <c r="K144" s="117"/>
      <c r="L144" s="93"/>
    </row>
    <row r="145" customFormat="false" ht="15" hidden="false" customHeight="false" outlineLevel="0" collapsed="false">
      <c r="A145" s="115"/>
      <c r="B145" s="115"/>
      <c r="C145" s="115" t="n">
        <v>2</v>
      </c>
      <c r="D145" s="112" t="s">
        <v>418</v>
      </c>
      <c r="E145" s="92"/>
      <c r="F145" s="92"/>
      <c r="G145" s="92"/>
      <c r="H145" s="90" t="str">
        <f aca="false">IF(OR(E145="",F145=""),"",F145-E145)</f>
        <v/>
      </c>
      <c r="I145" s="90" t="str">
        <f aca="false">IF(OR(F145="",G145=""),"",G145-F145)</f>
        <v/>
      </c>
      <c r="J145" s="113" t="str">
        <f aca="false">IF(OR(H145="",I145=""),"",(H145+I145)/H145)</f>
        <v/>
      </c>
      <c r="K145" s="114"/>
      <c r="L145" s="93"/>
    </row>
    <row r="146" customFormat="false" ht="15" hidden="false" customHeight="false" outlineLevel="0" collapsed="false">
      <c r="A146" s="102" t="s">
        <v>419</v>
      </c>
      <c r="B146" s="103" t="s">
        <v>257</v>
      </c>
      <c r="C146" s="104" t="n">
        <v>1</v>
      </c>
      <c r="D146" s="105" t="s">
        <v>420</v>
      </c>
      <c r="E146" s="106"/>
      <c r="F146" s="106"/>
      <c r="G146" s="106"/>
      <c r="H146" s="107" t="str">
        <f aca="false">IF(OR(E146="",F146=""),"",F146-E146)</f>
        <v/>
      </c>
      <c r="I146" s="107" t="str">
        <f aca="false">IF(OR(F146="",G146=""),"",G146-F146)</f>
        <v/>
      </c>
      <c r="J146" s="108" t="str">
        <f aca="false">IF(OR(H146="",I146=""),"",(H146+I146)/H146)</f>
        <v/>
      </c>
      <c r="K146" s="109"/>
      <c r="L146" s="110"/>
    </row>
    <row r="147" customFormat="false" ht="15" hidden="false" customHeight="false" outlineLevel="0" collapsed="false">
      <c r="A147" s="111"/>
      <c r="B147" s="111"/>
      <c r="C147" s="111" t="n">
        <v>2</v>
      </c>
      <c r="D147" s="112" t="s">
        <v>421</v>
      </c>
      <c r="E147" s="92"/>
      <c r="F147" s="92"/>
      <c r="G147" s="92"/>
      <c r="H147" s="90" t="str">
        <f aca="false">IF(OR(E147="",F147=""),"",F147-E147)</f>
        <v/>
      </c>
      <c r="I147" s="90" t="str">
        <f aca="false">IF(OR(F147="",G147=""),"",G147-F147)</f>
        <v/>
      </c>
      <c r="J147" s="113" t="str">
        <f aca="false">IF(OR(H147="",I147=""),"",(H147+I147)/H147)</f>
        <v/>
      </c>
      <c r="K147" s="114"/>
      <c r="L147" s="93"/>
    </row>
    <row r="148" customFormat="false" ht="15" hidden="false" customHeight="false" outlineLevel="0" collapsed="false">
      <c r="A148" s="115"/>
      <c r="B148" s="116" t="s">
        <v>260</v>
      </c>
      <c r="C148" s="115" t="n">
        <v>1</v>
      </c>
      <c r="D148" s="112" t="s">
        <v>422</v>
      </c>
      <c r="E148" s="92"/>
      <c r="F148" s="92"/>
      <c r="G148" s="92"/>
      <c r="H148" s="90" t="str">
        <f aca="false">IF(OR(E148="",F148=""),"",F148-E148)</f>
        <v/>
      </c>
      <c r="I148" s="90" t="str">
        <f aca="false">IF(OR(F148="",G148=""),"",G148-F148)</f>
        <v/>
      </c>
      <c r="J148" s="113" t="str">
        <f aca="false">IF(OR(H148="",I148=""),"",(H148+I148)/H148)</f>
        <v/>
      </c>
      <c r="K148" s="117"/>
      <c r="L148" s="93"/>
    </row>
    <row r="149" customFormat="false" ht="15" hidden="false" customHeight="false" outlineLevel="0" collapsed="false">
      <c r="A149" s="115"/>
      <c r="B149" s="115"/>
      <c r="C149" s="115" t="n">
        <v>2</v>
      </c>
      <c r="D149" s="112" t="s">
        <v>423</v>
      </c>
      <c r="E149" s="92"/>
      <c r="F149" s="92"/>
      <c r="G149" s="92"/>
      <c r="H149" s="90" t="str">
        <f aca="false">IF(OR(E149="",F149=""),"",F149-E149)</f>
        <v/>
      </c>
      <c r="I149" s="90" t="str">
        <f aca="false">IF(OR(F149="",G149=""),"",G149-F149)</f>
        <v/>
      </c>
      <c r="J149" s="113" t="str">
        <f aca="false">IF(OR(H149="",I149=""),"",(H149+I149)/H149)</f>
        <v/>
      </c>
      <c r="K149" s="114"/>
      <c r="L149" s="93"/>
    </row>
    <row r="150" customFormat="false" ht="15" hidden="false" customHeight="false" outlineLevel="0" collapsed="false">
      <c r="A150" s="102" t="s">
        <v>424</v>
      </c>
      <c r="B150" s="103" t="s">
        <v>257</v>
      </c>
      <c r="C150" s="104" t="n">
        <v>1</v>
      </c>
      <c r="D150" s="105" t="s">
        <v>425</v>
      </c>
      <c r="E150" s="106"/>
      <c r="F150" s="106"/>
      <c r="G150" s="106"/>
      <c r="H150" s="107" t="str">
        <f aca="false">IF(OR(E150="",F150=""),"",F150-E150)</f>
        <v/>
      </c>
      <c r="I150" s="107" t="str">
        <f aca="false">IF(OR(F150="",G150=""),"",G150-F150)</f>
        <v/>
      </c>
      <c r="J150" s="108" t="str">
        <f aca="false">IF(OR(H150="",I150=""),"",(H150+I150)/H150)</f>
        <v/>
      </c>
      <c r="K150" s="109"/>
      <c r="L150" s="110"/>
    </row>
    <row r="151" customFormat="false" ht="15" hidden="false" customHeight="false" outlineLevel="0" collapsed="false">
      <c r="A151" s="111"/>
      <c r="B151" s="111"/>
      <c r="C151" s="111" t="n">
        <v>2</v>
      </c>
      <c r="D151" s="112" t="s">
        <v>426</v>
      </c>
      <c r="E151" s="92"/>
      <c r="F151" s="92"/>
      <c r="G151" s="92"/>
      <c r="H151" s="90" t="str">
        <f aca="false">IF(OR(E151="",F151=""),"",F151-E151)</f>
        <v/>
      </c>
      <c r="I151" s="90" t="str">
        <f aca="false">IF(OR(F151="",G151=""),"",G151-F151)</f>
        <v/>
      </c>
      <c r="J151" s="113" t="str">
        <f aca="false">IF(OR(H151="",I151=""),"",(H151+I151)/H151)</f>
        <v/>
      </c>
      <c r="K151" s="114"/>
      <c r="L151" s="93"/>
    </row>
    <row r="152" customFormat="false" ht="15" hidden="false" customHeight="false" outlineLevel="0" collapsed="false">
      <c r="A152" s="115"/>
      <c r="B152" s="116" t="s">
        <v>260</v>
      </c>
      <c r="C152" s="115" t="n">
        <v>1</v>
      </c>
      <c r="D152" s="112" t="s">
        <v>427</v>
      </c>
      <c r="E152" s="92"/>
      <c r="F152" s="92"/>
      <c r="G152" s="92"/>
      <c r="H152" s="90" t="str">
        <f aca="false">IF(OR(E152="",F152=""),"",F152-E152)</f>
        <v/>
      </c>
      <c r="I152" s="90" t="str">
        <f aca="false">IF(OR(F152="",G152=""),"",G152-F152)</f>
        <v/>
      </c>
      <c r="J152" s="113" t="str">
        <f aca="false">IF(OR(H152="",I152=""),"",(H152+I152)/H152)</f>
        <v/>
      </c>
      <c r="K152" s="117"/>
      <c r="L152" s="93"/>
    </row>
    <row r="153" customFormat="false" ht="15" hidden="false" customHeight="false" outlineLevel="0" collapsed="false">
      <c r="A153" s="115"/>
      <c r="B153" s="115"/>
      <c r="C153" s="115" t="n">
        <v>2</v>
      </c>
      <c r="D153" s="112" t="s">
        <v>428</v>
      </c>
      <c r="E153" s="92"/>
      <c r="F153" s="92"/>
      <c r="G153" s="92"/>
      <c r="H153" s="90" t="str">
        <f aca="false">IF(OR(E153="",F153=""),"",F153-E153)</f>
        <v/>
      </c>
      <c r="I153" s="90" t="str">
        <f aca="false">IF(OR(F153="",G153=""),"",G153-F153)</f>
        <v/>
      </c>
      <c r="J153" s="113" t="str">
        <f aca="false">IF(OR(H153="",I153=""),"",(H153+I153)/H153)</f>
        <v/>
      </c>
      <c r="K153" s="114"/>
      <c r="L153" s="93"/>
    </row>
    <row r="154" customFormat="false" ht="15" hidden="false" customHeight="false" outlineLevel="0" collapsed="false">
      <c r="A154" s="102" t="s">
        <v>429</v>
      </c>
      <c r="B154" s="103" t="s">
        <v>257</v>
      </c>
      <c r="C154" s="104" t="n">
        <v>1</v>
      </c>
      <c r="D154" s="105" t="s">
        <v>430</v>
      </c>
      <c r="E154" s="106"/>
      <c r="F154" s="106"/>
      <c r="G154" s="106"/>
      <c r="H154" s="107" t="str">
        <f aca="false">IF(OR(E154="",F154=""),"",F154-E154)</f>
        <v/>
      </c>
      <c r="I154" s="107" t="str">
        <f aca="false">IF(OR(F154="",G154=""),"",G154-F154)</f>
        <v/>
      </c>
      <c r="J154" s="108" t="str">
        <f aca="false">IF(OR(H154="",I154=""),"",(H154+I154)/H154)</f>
        <v/>
      </c>
      <c r="K154" s="109"/>
      <c r="L154" s="110"/>
    </row>
    <row r="155" customFormat="false" ht="15" hidden="false" customHeight="false" outlineLevel="0" collapsed="false">
      <c r="A155" s="111"/>
      <c r="B155" s="111"/>
      <c r="C155" s="111" t="n">
        <v>2</v>
      </c>
      <c r="D155" s="112" t="s">
        <v>431</v>
      </c>
      <c r="E155" s="92"/>
      <c r="F155" s="92"/>
      <c r="G155" s="92"/>
      <c r="H155" s="90" t="str">
        <f aca="false">IF(OR(E155="",F155=""),"",F155-E155)</f>
        <v/>
      </c>
      <c r="I155" s="90" t="str">
        <f aca="false">IF(OR(F155="",G155=""),"",G155-F155)</f>
        <v/>
      </c>
      <c r="J155" s="113" t="str">
        <f aca="false">IF(OR(H155="",I155=""),"",(H155+I155)/H155)</f>
        <v/>
      </c>
      <c r="K155" s="114"/>
      <c r="L155" s="93"/>
    </row>
    <row r="156" customFormat="false" ht="15" hidden="false" customHeight="false" outlineLevel="0" collapsed="false">
      <c r="A156" s="115"/>
      <c r="B156" s="116" t="s">
        <v>260</v>
      </c>
      <c r="C156" s="115" t="n">
        <v>1</v>
      </c>
      <c r="D156" s="112" t="s">
        <v>432</v>
      </c>
      <c r="E156" s="92"/>
      <c r="F156" s="92"/>
      <c r="G156" s="92"/>
      <c r="H156" s="90" t="str">
        <f aca="false">IF(OR(E156="",F156=""),"",F156-E156)</f>
        <v/>
      </c>
      <c r="I156" s="90" t="str">
        <f aca="false">IF(OR(F156="",G156=""),"",G156-F156)</f>
        <v/>
      </c>
      <c r="J156" s="113" t="str">
        <f aca="false">IF(OR(H156="",I156=""),"",(H156+I156)/H156)</f>
        <v/>
      </c>
      <c r="K156" s="117"/>
      <c r="L156" s="93"/>
    </row>
    <row r="157" customFormat="false" ht="15" hidden="false" customHeight="false" outlineLevel="0" collapsed="false">
      <c r="A157" s="115"/>
      <c r="B157" s="115"/>
      <c r="C157" s="115" t="n">
        <v>2</v>
      </c>
      <c r="D157" s="112" t="s">
        <v>433</v>
      </c>
      <c r="E157" s="92"/>
      <c r="F157" s="92"/>
      <c r="G157" s="92"/>
      <c r="H157" s="90" t="str">
        <f aca="false">IF(OR(E157="",F157=""),"",F157-E157)</f>
        <v/>
      </c>
      <c r="I157" s="90" t="str">
        <f aca="false">IF(OR(F157="",G157=""),"",G157-F157)</f>
        <v/>
      </c>
      <c r="J157" s="113" t="str">
        <f aca="false">IF(OR(H157="",I157=""),"",(H157+I157)/H157)</f>
        <v/>
      </c>
      <c r="K157" s="114"/>
      <c r="L157" s="93"/>
    </row>
    <row r="158" customFormat="false" ht="15" hidden="false" customHeight="false" outlineLevel="0" collapsed="false">
      <c r="A158" s="102" t="s">
        <v>434</v>
      </c>
      <c r="B158" s="103" t="s">
        <v>257</v>
      </c>
      <c r="C158" s="104" t="n">
        <v>1</v>
      </c>
      <c r="D158" s="105" t="s">
        <v>435</v>
      </c>
      <c r="E158" s="106"/>
      <c r="F158" s="106"/>
      <c r="G158" s="106"/>
      <c r="H158" s="107" t="str">
        <f aca="false">IF(OR(E158="",F158=""),"",F158-E158)</f>
        <v/>
      </c>
      <c r="I158" s="107" t="str">
        <f aca="false">IF(OR(F158="",G158=""),"",G158-F158)</f>
        <v/>
      </c>
      <c r="J158" s="108" t="str">
        <f aca="false">IF(OR(H158="",I158=""),"",(H158+I158)/H158)</f>
        <v/>
      </c>
      <c r="K158" s="109"/>
      <c r="L158" s="110"/>
    </row>
    <row r="159" customFormat="false" ht="15" hidden="false" customHeight="false" outlineLevel="0" collapsed="false">
      <c r="A159" s="111"/>
      <c r="B159" s="111"/>
      <c r="C159" s="111" t="n">
        <v>2</v>
      </c>
      <c r="D159" s="112" t="s">
        <v>436</v>
      </c>
      <c r="E159" s="92"/>
      <c r="F159" s="92"/>
      <c r="G159" s="92"/>
      <c r="H159" s="90" t="str">
        <f aca="false">IF(OR(E159="",F159=""),"",F159-E159)</f>
        <v/>
      </c>
      <c r="I159" s="90" t="str">
        <f aca="false">IF(OR(F159="",G159=""),"",G159-F159)</f>
        <v/>
      </c>
      <c r="J159" s="113" t="str">
        <f aca="false">IF(OR(H159="",I159=""),"",(H159+I159)/H159)</f>
        <v/>
      </c>
      <c r="K159" s="114"/>
      <c r="L159" s="93"/>
    </row>
    <row r="160" customFormat="false" ht="15" hidden="false" customHeight="false" outlineLevel="0" collapsed="false">
      <c r="A160" s="115"/>
      <c r="B160" s="116" t="s">
        <v>260</v>
      </c>
      <c r="C160" s="115" t="n">
        <v>1</v>
      </c>
      <c r="D160" s="112" t="s">
        <v>437</v>
      </c>
      <c r="E160" s="92"/>
      <c r="F160" s="92"/>
      <c r="G160" s="92"/>
      <c r="H160" s="90" t="str">
        <f aca="false">IF(OR(E160="",F160=""),"",F160-E160)</f>
        <v/>
      </c>
      <c r="I160" s="90" t="str">
        <f aca="false">IF(OR(F160="",G160=""),"",G160-F160)</f>
        <v/>
      </c>
      <c r="J160" s="113" t="str">
        <f aca="false">IF(OR(H160="",I160=""),"",(H160+I160)/H160)</f>
        <v/>
      </c>
      <c r="K160" s="117"/>
      <c r="L160" s="93"/>
    </row>
    <row r="161" customFormat="false" ht="15" hidden="false" customHeight="false" outlineLevel="0" collapsed="false">
      <c r="A161" s="115"/>
      <c r="B161" s="115"/>
      <c r="C161" s="115" t="n">
        <v>2</v>
      </c>
      <c r="D161" s="112" t="s">
        <v>438</v>
      </c>
      <c r="E161" s="92"/>
      <c r="F161" s="92"/>
      <c r="G161" s="92"/>
      <c r="H161" s="90" t="str">
        <f aca="false">IF(OR(E161="",F161=""),"",F161-E161)</f>
        <v/>
      </c>
      <c r="I161" s="90" t="str">
        <f aca="false">IF(OR(F161="",G161=""),"",G161-F161)</f>
        <v/>
      </c>
      <c r="J161" s="113" t="str">
        <f aca="false">IF(OR(H161="",I161=""),"",(H161+I161)/H161)</f>
        <v/>
      </c>
      <c r="K161" s="114"/>
      <c r="L161" s="93"/>
    </row>
    <row r="162" customFormat="false" ht="17.35" hidden="false" customHeight="false" outlineLevel="0" collapsed="false">
      <c r="A162" s="94" t="s">
        <v>439</v>
      </c>
      <c r="H162" s="95" t="s">
        <v>238</v>
      </c>
      <c r="I162" s="96" t="s">
        <v>239</v>
      </c>
      <c r="J162" s="97" t="s">
        <v>240</v>
      </c>
      <c r="K162" s="98" t="s">
        <v>241</v>
      </c>
    </row>
    <row r="163" customFormat="false" ht="15" hidden="false" customHeight="false" outlineLevel="0" collapsed="false">
      <c r="A163" s="99" t="s">
        <v>242</v>
      </c>
      <c r="I163" s="100" t="s">
        <v>243</v>
      </c>
      <c r="J163" s="101" t="s">
        <v>244</v>
      </c>
    </row>
    <row r="164" customFormat="false" ht="23.85" hidden="false" customHeight="false" outlineLevel="0" collapsed="false">
      <c r="A164" s="87" t="s">
        <v>245</v>
      </c>
      <c r="B164" s="87" t="s">
        <v>246</v>
      </c>
      <c r="C164" s="87" t="s">
        <v>247</v>
      </c>
      <c r="D164" s="87" t="s">
        <v>248</v>
      </c>
      <c r="E164" s="87" t="s">
        <v>249</v>
      </c>
      <c r="F164" s="87" t="s">
        <v>250</v>
      </c>
      <c r="G164" s="87" t="s">
        <v>251</v>
      </c>
      <c r="H164" s="87" t="s">
        <v>252</v>
      </c>
      <c r="I164" s="87" t="s">
        <v>253</v>
      </c>
      <c r="J164" s="87" t="s">
        <v>254</v>
      </c>
      <c r="K164" s="87" t="s">
        <v>255</v>
      </c>
      <c r="L164" s="87" t="s">
        <v>28</v>
      </c>
    </row>
    <row r="165" customFormat="false" ht="15" hidden="false" customHeight="false" outlineLevel="0" collapsed="false">
      <c r="A165" s="102" t="s">
        <v>440</v>
      </c>
      <c r="B165" s="103" t="s">
        <v>257</v>
      </c>
      <c r="C165" s="104" t="n">
        <v>1</v>
      </c>
      <c r="D165" s="105" t="s">
        <v>441</v>
      </c>
      <c r="E165" s="106"/>
      <c r="F165" s="106"/>
      <c r="G165" s="106"/>
      <c r="H165" s="107" t="str">
        <f aca="false">IF(OR(E165="",F165=""),"",F165-E165)</f>
        <v/>
      </c>
      <c r="I165" s="107" t="str">
        <f aca="false">IF(OR(F165="",G165=""),"",G165-F165)</f>
        <v/>
      </c>
      <c r="J165" s="108" t="str">
        <f aca="false">IF(OR(H165="",I165=""),"",(H165+I165)/H165)</f>
        <v/>
      </c>
      <c r="K165" s="109"/>
      <c r="L165" s="110"/>
    </row>
    <row r="166" customFormat="false" ht="15" hidden="false" customHeight="false" outlineLevel="0" collapsed="false">
      <c r="A166" s="111"/>
      <c r="B166" s="111"/>
      <c r="C166" s="111" t="n">
        <v>2</v>
      </c>
      <c r="D166" s="112" t="s">
        <v>442</v>
      </c>
      <c r="E166" s="92"/>
      <c r="F166" s="92"/>
      <c r="G166" s="92"/>
      <c r="H166" s="90" t="str">
        <f aca="false">IF(OR(E166="",F166=""),"",F166-E166)</f>
        <v/>
      </c>
      <c r="I166" s="90" t="str">
        <f aca="false">IF(OR(F166="",G166=""),"",G166-F166)</f>
        <v/>
      </c>
      <c r="J166" s="113" t="str">
        <f aca="false">IF(OR(H166="",I166=""),"",(H166+I166)/H166)</f>
        <v/>
      </c>
      <c r="K166" s="114"/>
      <c r="L166" s="93"/>
    </row>
    <row r="167" customFormat="false" ht="15" hidden="false" customHeight="false" outlineLevel="0" collapsed="false">
      <c r="A167" s="115"/>
      <c r="B167" s="116" t="s">
        <v>260</v>
      </c>
      <c r="C167" s="115" t="n">
        <v>1</v>
      </c>
      <c r="D167" s="112" t="s">
        <v>443</v>
      </c>
      <c r="E167" s="92"/>
      <c r="F167" s="92"/>
      <c r="G167" s="92"/>
      <c r="H167" s="90" t="str">
        <f aca="false">IF(OR(E167="",F167=""),"",F167-E167)</f>
        <v/>
      </c>
      <c r="I167" s="90" t="str">
        <f aca="false">IF(OR(F167="",G167=""),"",G167-F167)</f>
        <v/>
      </c>
      <c r="J167" s="113" t="str">
        <f aca="false">IF(OR(H167="",I167=""),"",(H167+I167)/H167)</f>
        <v/>
      </c>
      <c r="K167" s="117"/>
      <c r="L167" s="93"/>
    </row>
    <row r="168" customFormat="false" ht="15" hidden="false" customHeight="false" outlineLevel="0" collapsed="false">
      <c r="A168" s="115"/>
      <c r="B168" s="115"/>
      <c r="C168" s="115" t="n">
        <v>2</v>
      </c>
      <c r="D168" s="112" t="s">
        <v>444</v>
      </c>
      <c r="E168" s="92"/>
      <c r="F168" s="92"/>
      <c r="G168" s="92"/>
      <c r="H168" s="90" t="str">
        <f aca="false">IF(OR(E168="",F168=""),"",F168-E168)</f>
        <v/>
      </c>
      <c r="I168" s="90" t="str">
        <f aca="false">IF(OR(F168="",G168=""),"",G168-F168)</f>
        <v/>
      </c>
      <c r="J168" s="113" t="str">
        <f aca="false">IF(OR(H168="",I168=""),"",(H168+I168)/H168)</f>
        <v/>
      </c>
      <c r="K168" s="114"/>
      <c r="L168" s="93"/>
    </row>
    <row r="169" customFormat="false" ht="15" hidden="false" customHeight="false" outlineLevel="0" collapsed="false">
      <c r="A169" s="102" t="s">
        <v>445</v>
      </c>
      <c r="B169" s="103" t="s">
        <v>257</v>
      </c>
      <c r="C169" s="104" t="n">
        <v>1</v>
      </c>
      <c r="D169" s="105" t="s">
        <v>446</v>
      </c>
      <c r="E169" s="106"/>
      <c r="F169" s="106"/>
      <c r="G169" s="106"/>
      <c r="H169" s="107" t="str">
        <f aca="false">IF(OR(E169="",F169=""),"",F169-E169)</f>
        <v/>
      </c>
      <c r="I169" s="107" t="str">
        <f aca="false">IF(OR(F169="",G169=""),"",G169-F169)</f>
        <v/>
      </c>
      <c r="J169" s="108" t="str">
        <f aca="false">IF(OR(H169="",I169=""),"",(H169+I169)/H169)</f>
        <v/>
      </c>
      <c r="K169" s="109"/>
      <c r="L169" s="110"/>
    </row>
    <row r="170" customFormat="false" ht="15" hidden="false" customHeight="false" outlineLevel="0" collapsed="false">
      <c r="A170" s="111"/>
      <c r="B170" s="111"/>
      <c r="C170" s="111" t="n">
        <v>2</v>
      </c>
      <c r="D170" s="112" t="s">
        <v>447</v>
      </c>
      <c r="E170" s="92"/>
      <c r="F170" s="92"/>
      <c r="G170" s="92"/>
      <c r="H170" s="90" t="str">
        <f aca="false">IF(OR(E170="",F170=""),"",F170-E170)</f>
        <v/>
      </c>
      <c r="I170" s="90" t="str">
        <f aca="false">IF(OR(F170="",G170=""),"",G170-F170)</f>
        <v/>
      </c>
      <c r="J170" s="113" t="str">
        <f aca="false">IF(OR(H170="",I170=""),"",(H170+I170)/H170)</f>
        <v/>
      </c>
      <c r="K170" s="114"/>
      <c r="L170" s="93"/>
    </row>
    <row r="171" customFormat="false" ht="15" hidden="false" customHeight="false" outlineLevel="0" collapsed="false">
      <c r="A171" s="115"/>
      <c r="B171" s="116" t="s">
        <v>260</v>
      </c>
      <c r="C171" s="115" t="n">
        <v>1</v>
      </c>
      <c r="D171" s="112" t="s">
        <v>448</v>
      </c>
      <c r="E171" s="92"/>
      <c r="F171" s="92"/>
      <c r="G171" s="92"/>
      <c r="H171" s="90" t="str">
        <f aca="false">IF(OR(E171="",F171=""),"",F171-E171)</f>
        <v/>
      </c>
      <c r="I171" s="90" t="str">
        <f aca="false">IF(OR(F171="",G171=""),"",G171-F171)</f>
        <v/>
      </c>
      <c r="J171" s="113" t="str">
        <f aca="false">IF(OR(H171="",I171=""),"",(H171+I171)/H171)</f>
        <v/>
      </c>
      <c r="K171" s="117"/>
      <c r="L171" s="93"/>
    </row>
    <row r="172" customFormat="false" ht="15" hidden="false" customHeight="false" outlineLevel="0" collapsed="false">
      <c r="A172" s="115"/>
      <c r="B172" s="115"/>
      <c r="C172" s="115" t="n">
        <v>2</v>
      </c>
      <c r="D172" s="112" t="s">
        <v>449</v>
      </c>
      <c r="E172" s="92"/>
      <c r="F172" s="92"/>
      <c r="G172" s="92"/>
      <c r="H172" s="90" t="str">
        <f aca="false">IF(OR(E172="",F172=""),"",F172-E172)</f>
        <v/>
      </c>
      <c r="I172" s="90" t="str">
        <f aca="false">IF(OR(F172="",G172=""),"",G172-F172)</f>
        <v/>
      </c>
      <c r="J172" s="113" t="str">
        <f aca="false">IF(OR(H172="",I172=""),"",(H172+I172)/H172)</f>
        <v/>
      </c>
      <c r="K172" s="114"/>
      <c r="L172" s="93"/>
    </row>
    <row r="173" customFormat="false" ht="15" hidden="false" customHeight="false" outlineLevel="0" collapsed="false">
      <c r="A173" s="102" t="s">
        <v>450</v>
      </c>
      <c r="B173" s="103" t="s">
        <v>257</v>
      </c>
      <c r="C173" s="104" t="n">
        <v>1</v>
      </c>
      <c r="D173" s="105" t="s">
        <v>451</v>
      </c>
      <c r="E173" s="106"/>
      <c r="F173" s="106"/>
      <c r="G173" s="106"/>
      <c r="H173" s="107" t="str">
        <f aca="false">IF(OR(E173="",F173=""),"",F173-E173)</f>
        <v/>
      </c>
      <c r="I173" s="107" t="str">
        <f aca="false">IF(OR(F173="",G173=""),"",G173-F173)</f>
        <v/>
      </c>
      <c r="J173" s="108" t="str">
        <f aca="false">IF(OR(H173="",I173=""),"",(H173+I173)/H173)</f>
        <v/>
      </c>
      <c r="K173" s="109"/>
      <c r="L173" s="110"/>
    </row>
    <row r="174" customFormat="false" ht="15" hidden="false" customHeight="false" outlineLevel="0" collapsed="false">
      <c r="A174" s="111"/>
      <c r="B174" s="111"/>
      <c r="C174" s="111" t="n">
        <v>2</v>
      </c>
      <c r="D174" s="112" t="s">
        <v>452</v>
      </c>
      <c r="E174" s="92"/>
      <c r="F174" s="92"/>
      <c r="G174" s="92"/>
      <c r="H174" s="90" t="str">
        <f aca="false">IF(OR(E174="",F174=""),"",F174-E174)</f>
        <v/>
      </c>
      <c r="I174" s="90" t="str">
        <f aca="false">IF(OR(F174="",G174=""),"",G174-F174)</f>
        <v/>
      </c>
      <c r="J174" s="113" t="str">
        <f aca="false">IF(OR(H174="",I174=""),"",(H174+I174)/H174)</f>
        <v/>
      </c>
      <c r="K174" s="114"/>
      <c r="L174" s="93"/>
    </row>
    <row r="175" customFormat="false" ht="15" hidden="false" customHeight="false" outlineLevel="0" collapsed="false">
      <c r="A175" s="115"/>
      <c r="B175" s="116" t="s">
        <v>260</v>
      </c>
      <c r="C175" s="115" t="n">
        <v>1</v>
      </c>
      <c r="D175" s="112" t="s">
        <v>453</v>
      </c>
      <c r="E175" s="92"/>
      <c r="F175" s="92"/>
      <c r="G175" s="92"/>
      <c r="H175" s="90" t="str">
        <f aca="false">IF(OR(E175="",F175=""),"",F175-E175)</f>
        <v/>
      </c>
      <c r="I175" s="90" t="str">
        <f aca="false">IF(OR(F175="",G175=""),"",G175-F175)</f>
        <v/>
      </c>
      <c r="J175" s="113" t="str">
        <f aca="false">IF(OR(H175="",I175=""),"",(H175+I175)/H175)</f>
        <v/>
      </c>
      <c r="K175" s="117"/>
      <c r="L175" s="93"/>
    </row>
    <row r="176" customFormat="false" ht="15" hidden="false" customHeight="false" outlineLevel="0" collapsed="false">
      <c r="A176" s="115"/>
      <c r="B176" s="115"/>
      <c r="C176" s="115" t="n">
        <v>2</v>
      </c>
      <c r="D176" s="112" t="s">
        <v>454</v>
      </c>
      <c r="E176" s="92"/>
      <c r="F176" s="92"/>
      <c r="G176" s="92"/>
      <c r="H176" s="90" t="str">
        <f aca="false">IF(OR(E176="",F176=""),"",F176-E176)</f>
        <v/>
      </c>
      <c r="I176" s="90" t="str">
        <f aca="false">IF(OR(F176="",G176=""),"",G176-F176)</f>
        <v/>
      </c>
      <c r="J176" s="113" t="str">
        <f aca="false">IF(OR(H176="",I176=""),"",(H176+I176)/H176)</f>
        <v/>
      </c>
      <c r="K176" s="114"/>
      <c r="L176" s="93"/>
    </row>
    <row r="177" customFormat="false" ht="15" hidden="false" customHeight="false" outlineLevel="0" collapsed="false">
      <c r="A177" s="102" t="s">
        <v>455</v>
      </c>
      <c r="B177" s="103" t="s">
        <v>257</v>
      </c>
      <c r="C177" s="104" t="n">
        <v>1</v>
      </c>
      <c r="D177" s="105" t="s">
        <v>456</v>
      </c>
      <c r="E177" s="106"/>
      <c r="F177" s="106"/>
      <c r="G177" s="106"/>
      <c r="H177" s="107" t="str">
        <f aca="false">IF(OR(E177="",F177=""),"",F177-E177)</f>
        <v/>
      </c>
      <c r="I177" s="107" t="str">
        <f aca="false">IF(OR(F177="",G177=""),"",G177-F177)</f>
        <v/>
      </c>
      <c r="J177" s="108" t="str">
        <f aca="false">IF(OR(H177="",I177=""),"",(H177+I177)/H177)</f>
        <v/>
      </c>
      <c r="K177" s="109"/>
      <c r="L177" s="110"/>
    </row>
    <row r="178" customFormat="false" ht="15" hidden="false" customHeight="false" outlineLevel="0" collapsed="false">
      <c r="A178" s="111"/>
      <c r="B178" s="111"/>
      <c r="C178" s="111" t="n">
        <v>2</v>
      </c>
      <c r="D178" s="112" t="s">
        <v>457</v>
      </c>
      <c r="E178" s="92"/>
      <c r="F178" s="92"/>
      <c r="G178" s="92"/>
      <c r="H178" s="90" t="str">
        <f aca="false">IF(OR(E178="",F178=""),"",F178-E178)</f>
        <v/>
      </c>
      <c r="I178" s="90" t="str">
        <f aca="false">IF(OR(F178="",G178=""),"",G178-F178)</f>
        <v/>
      </c>
      <c r="J178" s="113" t="str">
        <f aca="false">IF(OR(H178="",I178=""),"",(H178+I178)/H178)</f>
        <v/>
      </c>
      <c r="K178" s="114"/>
      <c r="L178" s="93"/>
    </row>
    <row r="179" customFormat="false" ht="15" hidden="false" customHeight="false" outlineLevel="0" collapsed="false">
      <c r="A179" s="115"/>
      <c r="B179" s="116" t="s">
        <v>260</v>
      </c>
      <c r="C179" s="115" t="n">
        <v>1</v>
      </c>
      <c r="D179" s="112" t="s">
        <v>458</v>
      </c>
      <c r="E179" s="92"/>
      <c r="F179" s="92"/>
      <c r="G179" s="92"/>
      <c r="H179" s="90" t="str">
        <f aca="false">IF(OR(E179="",F179=""),"",F179-E179)</f>
        <v/>
      </c>
      <c r="I179" s="90" t="str">
        <f aca="false">IF(OR(F179="",G179=""),"",G179-F179)</f>
        <v/>
      </c>
      <c r="J179" s="113" t="str">
        <f aca="false">IF(OR(H179="",I179=""),"",(H179+I179)/H179)</f>
        <v/>
      </c>
      <c r="K179" s="117"/>
      <c r="L179" s="93"/>
    </row>
    <row r="180" customFormat="false" ht="15" hidden="false" customHeight="false" outlineLevel="0" collapsed="false">
      <c r="A180" s="115"/>
      <c r="B180" s="115"/>
      <c r="C180" s="115" t="n">
        <v>2</v>
      </c>
      <c r="D180" s="112" t="s">
        <v>459</v>
      </c>
      <c r="E180" s="92"/>
      <c r="F180" s="92"/>
      <c r="G180" s="92"/>
      <c r="H180" s="90" t="str">
        <f aca="false">IF(OR(E180="",F180=""),"",F180-E180)</f>
        <v/>
      </c>
      <c r="I180" s="90" t="str">
        <f aca="false">IF(OR(F180="",G180=""),"",G180-F180)</f>
        <v/>
      </c>
      <c r="J180" s="113" t="str">
        <f aca="false">IF(OR(H180="",I180=""),"",(H180+I180)/H180)</f>
        <v/>
      </c>
      <c r="K180" s="114"/>
      <c r="L180" s="93"/>
    </row>
    <row r="181" customFormat="false" ht="15" hidden="false" customHeight="false" outlineLevel="0" collapsed="false">
      <c r="A181" s="102" t="s">
        <v>460</v>
      </c>
      <c r="B181" s="103" t="s">
        <v>257</v>
      </c>
      <c r="C181" s="104" t="n">
        <v>1</v>
      </c>
      <c r="D181" s="105" t="s">
        <v>461</v>
      </c>
      <c r="E181" s="106"/>
      <c r="F181" s="106"/>
      <c r="G181" s="106"/>
      <c r="H181" s="107" t="str">
        <f aca="false">IF(OR(E181="",F181=""),"",F181-E181)</f>
        <v/>
      </c>
      <c r="I181" s="107" t="str">
        <f aca="false">IF(OR(F181="",G181=""),"",G181-F181)</f>
        <v/>
      </c>
      <c r="J181" s="108" t="str">
        <f aca="false">IF(OR(H181="",I181=""),"",(H181+I181)/H181)</f>
        <v/>
      </c>
      <c r="K181" s="109"/>
      <c r="L181" s="110"/>
    </row>
    <row r="182" customFormat="false" ht="15" hidden="false" customHeight="false" outlineLevel="0" collapsed="false">
      <c r="A182" s="111"/>
      <c r="B182" s="111"/>
      <c r="C182" s="111" t="n">
        <v>2</v>
      </c>
      <c r="D182" s="112" t="s">
        <v>462</v>
      </c>
      <c r="E182" s="92"/>
      <c r="F182" s="92"/>
      <c r="G182" s="92"/>
      <c r="H182" s="90" t="str">
        <f aca="false">IF(OR(E182="",F182=""),"",F182-E182)</f>
        <v/>
      </c>
      <c r="I182" s="90" t="str">
        <f aca="false">IF(OR(F182="",G182=""),"",G182-F182)</f>
        <v/>
      </c>
      <c r="J182" s="113" t="str">
        <f aca="false">IF(OR(H182="",I182=""),"",(H182+I182)/H182)</f>
        <v/>
      </c>
      <c r="K182" s="114"/>
      <c r="L182" s="93"/>
    </row>
    <row r="183" customFormat="false" ht="15" hidden="false" customHeight="false" outlineLevel="0" collapsed="false">
      <c r="A183" s="115"/>
      <c r="B183" s="116" t="s">
        <v>260</v>
      </c>
      <c r="C183" s="115" t="n">
        <v>1</v>
      </c>
      <c r="D183" s="112" t="s">
        <v>463</v>
      </c>
      <c r="E183" s="92"/>
      <c r="F183" s="92"/>
      <c r="G183" s="92"/>
      <c r="H183" s="90" t="str">
        <f aca="false">IF(OR(E183="",F183=""),"",F183-E183)</f>
        <v/>
      </c>
      <c r="I183" s="90" t="str">
        <f aca="false">IF(OR(F183="",G183=""),"",G183-F183)</f>
        <v/>
      </c>
      <c r="J183" s="113" t="str">
        <f aca="false">IF(OR(H183="",I183=""),"",(H183+I183)/H183)</f>
        <v/>
      </c>
      <c r="K183" s="117"/>
      <c r="L183" s="93"/>
    </row>
    <row r="184" customFormat="false" ht="15" hidden="false" customHeight="false" outlineLevel="0" collapsed="false">
      <c r="A184" s="115"/>
      <c r="B184" s="115"/>
      <c r="C184" s="115" t="n">
        <v>2</v>
      </c>
      <c r="D184" s="112" t="s">
        <v>464</v>
      </c>
      <c r="E184" s="92"/>
      <c r="F184" s="92"/>
      <c r="G184" s="92"/>
      <c r="H184" s="90" t="str">
        <f aca="false">IF(OR(E184="",F184=""),"",F184-E184)</f>
        <v/>
      </c>
      <c r="I184" s="90" t="str">
        <f aca="false">IF(OR(F184="",G184=""),"",G184-F184)</f>
        <v/>
      </c>
      <c r="J184" s="113" t="str">
        <f aca="false">IF(OR(H184="",I184=""),"",(H184+I184)/H184)</f>
        <v/>
      </c>
      <c r="K184" s="114"/>
      <c r="L184" s="93"/>
    </row>
    <row r="185" customFormat="false" ht="17.35" hidden="false" customHeight="false" outlineLevel="0" collapsed="false">
      <c r="A185" s="94" t="s">
        <v>465</v>
      </c>
      <c r="H185" s="95" t="s">
        <v>238</v>
      </c>
      <c r="I185" s="96" t="n">
        <v>300</v>
      </c>
      <c r="J185" s="97" t="s">
        <v>240</v>
      </c>
      <c r="K185" s="98" t="s">
        <v>466</v>
      </c>
    </row>
    <row r="186" customFormat="false" ht="15" hidden="false" customHeight="false" outlineLevel="0" collapsed="false">
      <c r="A186" s="99"/>
      <c r="E186" s="1" t="s">
        <v>467</v>
      </c>
      <c r="I186" s="100"/>
      <c r="J186" s="101"/>
    </row>
    <row r="187" customFormat="false" ht="70.85" hidden="false" customHeight="true" outlineLevel="0" collapsed="false">
      <c r="A187" s="87" t="s">
        <v>245</v>
      </c>
      <c r="B187" s="87" t="s">
        <v>246</v>
      </c>
      <c r="C187" s="87" t="s">
        <v>247</v>
      </c>
      <c r="D187" s="87" t="s">
        <v>248</v>
      </c>
      <c r="E187" s="87" t="s">
        <v>249</v>
      </c>
      <c r="F187" s="87" t="s">
        <v>250</v>
      </c>
      <c r="G187" s="87" t="s">
        <v>251</v>
      </c>
      <c r="H187" s="87" t="s">
        <v>252</v>
      </c>
      <c r="I187" s="87" t="s">
        <v>253</v>
      </c>
      <c r="J187" s="87" t="s">
        <v>254</v>
      </c>
      <c r="K187" s="87" t="s">
        <v>255</v>
      </c>
      <c r="L187" s="87" t="s">
        <v>28</v>
      </c>
    </row>
    <row r="188" customFormat="false" ht="70.85" hidden="false" customHeight="true" outlineLevel="0" collapsed="false">
      <c r="A188" s="102" t="s">
        <v>468</v>
      </c>
      <c r="B188" s="103" t="s">
        <v>257</v>
      </c>
      <c r="C188" s="104" t="n">
        <v>1</v>
      </c>
      <c r="D188" s="105" t="s">
        <v>469</v>
      </c>
      <c r="E188" s="106"/>
      <c r="F188" s="106"/>
      <c r="G188" s="106"/>
      <c r="H188" s="107" t="str">
        <f aca="false">IF(OR(E188="",F188=""),"",F188-E188)</f>
        <v/>
      </c>
      <c r="I188" s="107" t="str">
        <f aca="false">IF(OR(F188="",G188=""),"",G188-F188)</f>
        <v/>
      </c>
      <c r="J188" s="108" t="str">
        <f aca="false">IF(OR(H188="",I188=""),"",(H188+I188)/H188)</f>
        <v/>
      </c>
      <c r="K188" s="109"/>
      <c r="L188" s="110"/>
    </row>
    <row r="189" customFormat="false" ht="70.85" hidden="false" customHeight="true" outlineLevel="0" collapsed="false">
      <c r="A189" s="111"/>
      <c r="B189" s="111"/>
      <c r="C189" s="111" t="n">
        <v>2</v>
      </c>
      <c r="D189" s="112" t="s">
        <v>470</v>
      </c>
      <c r="E189" s="92"/>
      <c r="F189" s="92"/>
      <c r="G189" s="92"/>
      <c r="H189" s="90" t="str">
        <f aca="false">IF(OR(E189="",F189=""),"",F189-E189)</f>
        <v/>
      </c>
      <c r="I189" s="90" t="str">
        <f aca="false">IF(OR(F189="",G189=""),"",G189-F189)</f>
        <v/>
      </c>
      <c r="J189" s="113" t="str">
        <f aca="false">IF(OR(H189="",I189=""),"",(H189+I189)/H189)</f>
        <v/>
      </c>
      <c r="K189" s="114"/>
      <c r="L189" s="93"/>
    </row>
    <row r="190" customFormat="false" ht="70.85" hidden="false" customHeight="true" outlineLevel="0" collapsed="false">
      <c r="A190" s="115"/>
      <c r="B190" s="116" t="s">
        <v>260</v>
      </c>
      <c r="C190" s="115" t="n">
        <v>1</v>
      </c>
      <c r="D190" s="112" t="s">
        <v>471</v>
      </c>
      <c r="E190" s="92"/>
      <c r="F190" s="92"/>
      <c r="G190" s="92"/>
      <c r="H190" s="90" t="str">
        <f aca="false">IF(OR(E190="",F190=""),"",F190-E190)</f>
        <v/>
      </c>
      <c r="I190" s="90" t="str">
        <f aca="false">IF(OR(F190="",G190=""),"",G190-F190)</f>
        <v/>
      </c>
      <c r="J190" s="113" t="str">
        <f aca="false">IF(OR(H190="",I190=""),"",(H190+I190)/H190)</f>
        <v/>
      </c>
      <c r="K190" s="117"/>
      <c r="L190" s="93"/>
    </row>
    <row r="191" customFormat="false" ht="70.85" hidden="false" customHeight="true" outlineLevel="0" collapsed="false">
      <c r="A191" s="115"/>
      <c r="B191" s="115"/>
      <c r="C191" s="115" t="n">
        <v>2</v>
      </c>
      <c r="D191" s="112" t="s">
        <v>472</v>
      </c>
      <c r="E191" s="92"/>
      <c r="F191" s="92"/>
      <c r="G191" s="92"/>
      <c r="H191" s="90" t="str">
        <f aca="false">IF(OR(E191="",F191=""),"",F191-E191)</f>
        <v/>
      </c>
      <c r="I191" s="90" t="str">
        <f aca="false">IF(OR(F191="",G191=""),"",G191-F191)</f>
        <v/>
      </c>
      <c r="J191" s="113" t="str">
        <f aca="false">IF(OR(H191="",I191=""),"",(H191+I191)/H191)</f>
        <v/>
      </c>
      <c r="K191" s="114"/>
      <c r="L191" s="93"/>
    </row>
    <row r="192" customFormat="false" ht="70.85" hidden="false" customHeight="true" outlineLevel="0" collapsed="false">
      <c r="A192" s="102" t="s">
        <v>473</v>
      </c>
      <c r="B192" s="103" t="s">
        <v>257</v>
      </c>
      <c r="C192" s="104" t="n">
        <v>1</v>
      </c>
      <c r="D192" s="105" t="s">
        <v>474</v>
      </c>
      <c r="E192" s="106"/>
      <c r="F192" s="106"/>
      <c r="G192" s="106"/>
      <c r="H192" s="107" t="str">
        <f aca="false">IF(OR(E192="",F192=""),"",F192-E192)</f>
        <v/>
      </c>
      <c r="I192" s="107" t="str">
        <f aca="false">IF(OR(F192="",G192=""),"",G192-F192)</f>
        <v/>
      </c>
      <c r="J192" s="108" t="str">
        <f aca="false">IF(OR(H192="",I192=""),"",(H192+I192)/H192)</f>
        <v/>
      </c>
      <c r="K192" s="109"/>
      <c r="L192" s="110"/>
    </row>
    <row r="193" customFormat="false" ht="70.85" hidden="false" customHeight="true" outlineLevel="0" collapsed="false">
      <c r="A193" s="111"/>
      <c r="B193" s="111"/>
      <c r="C193" s="111" t="n">
        <v>2</v>
      </c>
      <c r="D193" s="112" t="s">
        <v>475</v>
      </c>
      <c r="E193" s="92"/>
      <c r="F193" s="92"/>
      <c r="G193" s="92"/>
      <c r="H193" s="90" t="str">
        <f aca="false">IF(OR(E193="",F193=""),"",F193-E193)</f>
        <v/>
      </c>
      <c r="I193" s="90" t="str">
        <f aca="false">IF(OR(F193="",G193=""),"",G193-F193)</f>
        <v/>
      </c>
      <c r="J193" s="113" t="str">
        <f aca="false">IF(OR(H193="",I193=""),"",(H193+I193)/H193)</f>
        <v/>
      </c>
      <c r="K193" s="114"/>
      <c r="L193" s="93"/>
    </row>
    <row r="194" customFormat="false" ht="70.85" hidden="false" customHeight="true" outlineLevel="0" collapsed="false">
      <c r="A194" s="115"/>
      <c r="B194" s="116" t="s">
        <v>260</v>
      </c>
      <c r="C194" s="115" t="n">
        <v>1</v>
      </c>
      <c r="D194" s="112" t="s">
        <v>476</v>
      </c>
      <c r="E194" s="92"/>
      <c r="F194" s="92"/>
      <c r="G194" s="92"/>
      <c r="H194" s="90" t="str">
        <f aca="false">IF(OR(E194="",F194=""),"",F194-E194)</f>
        <v/>
      </c>
      <c r="I194" s="90" t="str">
        <f aca="false">IF(OR(F194="",G194=""),"",G194-F194)</f>
        <v/>
      </c>
      <c r="J194" s="113" t="str">
        <f aca="false">IF(OR(H194="",I194=""),"",(H194+I194)/H194)</f>
        <v/>
      </c>
      <c r="K194" s="117"/>
      <c r="L194" s="93"/>
    </row>
    <row r="195" customFormat="false" ht="70.85" hidden="false" customHeight="true" outlineLevel="0" collapsed="false">
      <c r="A195" s="115"/>
      <c r="B195" s="115"/>
      <c r="C195" s="115" t="n">
        <v>2</v>
      </c>
      <c r="D195" s="112" t="s">
        <v>477</v>
      </c>
      <c r="E195" s="92"/>
      <c r="F195" s="92"/>
      <c r="G195" s="92"/>
      <c r="H195" s="90" t="str">
        <f aca="false">IF(OR(E195="",F195=""),"",F195-E195)</f>
        <v/>
      </c>
      <c r="I195" s="90" t="str">
        <f aca="false">IF(OR(F195="",G195=""),"",G195-F195)</f>
        <v/>
      </c>
      <c r="J195" s="113" t="str">
        <f aca="false">IF(OR(H195="",I195=""),"",(H195+I195)/H195)</f>
        <v/>
      </c>
      <c r="K195" s="114"/>
      <c r="L195" s="93"/>
    </row>
    <row r="196" customFormat="false" ht="70.85" hidden="false" customHeight="true" outlineLevel="0" collapsed="false">
      <c r="A196" s="102" t="s">
        <v>478</v>
      </c>
      <c r="B196" s="103" t="s">
        <v>257</v>
      </c>
      <c r="C196" s="104" t="n">
        <v>1</v>
      </c>
      <c r="D196" s="105" t="s">
        <v>479</v>
      </c>
      <c r="E196" s="106"/>
      <c r="F196" s="106"/>
      <c r="G196" s="106"/>
      <c r="H196" s="107" t="str">
        <f aca="false">IF(OR(E196="",F196=""),"",F196-E196)</f>
        <v/>
      </c>
      <c r="I196" s="107" t="str">
        <f aca="false">IF(OR(F196="",G196=""),"",G196-F196)</f>
        <v/>
      </c>
      <c r="J196" s="108" t="str">
        <f aca="false">IF(OR(H196="",I196=""),"",(H196+I196)/H196)</f>
        <v/>
      </c>
      <c r="K196" s="109"/>
      <c r="L196" s="110"/>
    </row>
    <row r="197" customFormat="false" ht="70.85" hidden="false" customHeight="true" outlineLevel="0" collapsed="false">
      <c r="A197" s="111"/>
      <c r="B197" s="111"/>
      <c r="C197" s="111" t="n">
        <v>2</v>
      </c>
      <c r="D197" s="112" t="s">
        <v>480</v>
      </c>
      <c r="E197" s="92"/>
      <c r="F197" s="92"/>
      <c r="G197" s="92"/>
      <c r="H197" s="90" t="str">
        <f aca="false">IF(OR(E197="",F197=""),"",F197-E197)</f>
        <v/>
      </c>
      <c r="I197" s="90" t="str">
        <f aca="false">IF(OR(F197="",G197=""),"",G197-F197)</f>
        <v/>
      </c>
      <c r="J197" s="113" t="str">
        <f aca="false">IF(OR(H197="",I197=""),"",(H197+I197)/H197)</f>
        <v/>
      </c>
      <c r="K197" s="114"/>
      <c r="L197" s="93"/>
    </row>
    <row r="198" customFormat="false" ht="70.85" hidden="false" customHeight="true" outlineLevel="0" collapsed="false">
      <c r="A198" s="115"/>
      <c r="B198" s="116" t="s">
        <v>260</v>
      </c>
      <c r="C198" s="115" t="n">
        <v>1</v>
      </c>
      <c r="D198" s="112" t="s">
        <v>481</v>
      </c>
      <c r="E198" s="92"/>
      <c r="F198" s="92"/>
      <c r="G198" s="92"/>
      <c r="H198" s="90" t="str">
        <f aca="false">IF(OR(E198="",F198=""),"",F198-E198)</f>
        <v/>
      </c>
      <c r="I198" s="90" t="str">
        <f aca="false">IF(OR(F198="",G198=""),"",G198-F198)</f>
        <v/>
      </c>
      <c r="J198" s="113" t="str">
        <f aca="false">IF(OR(H198="",I198=""),"",(H198+I198)/H198)</f>
        <v/>
      </c>
      <c r="K198" s="117"/>
      <c r="L198" s="93"/>
    </row>
    <row r="199" customFormat="false" ht="70.85" hidden="false" customHeight="true" outlineLevel="0" collapsed="false">
      <c r="A199" s="115"/>
      <c r="B199" s="115"/>
      <c r="C199" s="115" t="n">
        <v>2</v>
      </c>
      <c r="D199" s="112" t="s">
        <v>482</v>
      </c>
      <c r="E199" s="92"/>
      <c r="F199" s="92"/>
      <c r="G199" s="92"/>
      <c r="H199" s="90" t="str">
        <f aca="false">IF(OR(E199="",F199=""),"",F199-E199)</f>
        <v/>
      </c>
      <c r="I199" s="90" t="str">
        <f aca="false">IF(OR(F199="",G199=""),"",G199-F199)</f>
        <v/>
      </c>
      <c r="J199" s="113" t="str">
        <f aca="false">IF(OR(H199="",I199=""),"",(H199+I199)/H199)</f>
        <v/>
      </c>
      <c r="K199" s="114"/>
      <c r="L199" s="93"/>
    </row>
    <row r="200" customFormat="false" ht="70.85" hidden="false" customHeight="true" outlineLevel="0" collapsed="false">
      <c r="A200" s="102" t="s">
        <v>483</v>
      </c>
      <c r="B200" s="103" t="s">
        <v>257</v>
      </c>
      <c r="C200" s="104" t="n">
        <v>1</v>
      </c>
      <c r="D200" s="105" t="s">
        <v>484</v>
      </c>
      <c r="E200" s="106"/>
      <c r="F200" s="106"/>
      <c r="G200" s="106"/>
      <c r="H200" s="107" t="str">
        <f aca="false">IF(OR(E200="",F200=""),"",F200-E200)</f>
        <v/>
      </c>
      <c r="I200" s="107" t="str">
        <f aca="false">IF(OR(F200="",G200=""),"",G200-F200)</f>
        <v/>
      </c>
      <c r="J200" s="108" t="str">
        <f aca="false">IF(OR(H200="",I200=""),"",(H200+I200)/H200)</f>
        <v/>
      </c>
      <c r="K200" s="109"/>
      <c r="L200" s="110"/>
    </row>
    <row r="201" customFormat="false" ht="70.85" hidden="false" customHeight="true" outlineLevel="0" collapsed="false">
      <c r="A201" s="111"/>
      <c r="B201" s="111"/>
      <c r="C201" s="111" t="n">
        <v>2</v>
      </c>
      <c r="D201" s="112" t="s">
        <v>485</v>
      </c>
      <c r="E201" s="92"/>
      <c r="F201" s="92"/>
      <c r="G201" s="92"/>
      <c r="H201" s="90" t="str">
        <f aca="false">IF(OR(E201="",F201=""),"",F201-E201)</f>
        <v/>
      </c>
      <c r="I201" s="90" t="str">
        <f aca="false">IF(OR(F201="",G201=""),"",G201-F201)</f>
        <v/>
      </c>
      <c r="J201" s="113" t="str">
        <f aca="false">IF(OR(H201="",I201=""),"",(H201+I201)/H201)</f>
        <v/>
      </c>
      <c r="K201" s="114"/>
      <c r="L201" s="93"/>
    </row>
    <row r="202" customFormat="false" ht="70.85" hidden="false" customHeight="true" outlineLevel="0" collapsed="false">
      <c r="A202" s="115"/>
      <c r="B202" s="116" t="s">
        <v>260</v>
      </c>
      <c r="C202" s="115" t="n">
        <v>1</v>
      </c>
      <c r="D202" s="112" t="s">
        <v>486</v>
      </c>
      <c r="E202" s="92"/>
      <c r="F202" s="92"/>
      <c r="G202" s="92"/>
      <c r="H202" s="90" t="str">
        <f aca="false">IF(OR(E202="",F202=""),"",F202-E202)</f>
        <v/>
      </c>
      <c r="I202" s="90" t="str">
        <f aca="false">IF(OR(F202="",G202=""),"",G202-F202)</f>
        <v/>
      </c>
      <c r="J202" s="113" t="str">
        <f aca="false">IF(OR(H202="",I202=""),"",(H202+I202)/H202)</f>
        <v/>
      </c>
      <c r="K202" s="117"/>
      <c r="L202" s="93"/>
    </row>
    <row r="203" customFormat="false" ht="70.85" hidden="false" customHeight="true" outlineLevel="0" collapsed="false">
      <c r="A203" s="115"/>
      <c r="B203" s="115"/>
      <c r="C203" s="115" t="n">
        <v>2</v>
      </c>
      <c r="D203" s="112" t="s">
        <v>487</v>
      </c>
      <c r="E203" s="92"/>
      <c r="F203" s="92"/>
      <c r="G203" s="92"/>
      <c r="H203" s="90" t="str">
        <f aca="false">IF(OR(E203="",F203=""),"",F203-E203)</f>
        <v/>
      </c>
      <c r="I203" s="90" t="str">
        <f aca="false">IF(OR(F203="",G203=""),"",G203-F203)</f>
        <v/>
      </c>
      <c r="J203" s="113" t="str">
        <f aca="false">IF(OR(H203="",I203=""),"",(H203+I203)/H203)</f>
        <v/>
      </c>
      <c r="K203" s="114"/>
      <c r="L203" s="93"/>
    </row>
    <row r="204" customFormat="false" ht="70.85" hidden="false" customHeight="true" outlineLevel="0" collapsed="false">
      <c r="A204" s="102" t="s">
        <v>488</v>
      </c>
      <c r="B204" s="103" t="s">
        <v>257</v>
      </c>
      <c r="C204" s="104" t="n">
        <v>1</v>
      </c>
      <c r="D204" s="105" t="s">
        <v>489</v>
      </c>
      <c r="E204" s="106"/>
      <c r="F204" s="106"/>
      <c r="G204" s="106"/>
      <c r="H204" s="107" t="str">
        <f aca="false">IF(OR(E204="",F204=""),"",F204-E204)</f>
        <v/>
      </c>
      <c r="I204" s="107" t="str">
        <f aca="false">IF(OR(F204="",G204=""),"",G204-F204)</f>
        <v/>
      </c>
      <c r="J204" s="108" t="str">
        <f aca="false">IF(OR(H204="",I204=""),"",(H204+I204)/H204)</f>
        <v/>
      </c>
      <c r="K204" s="109"/>
      <c r="L204" s="110"/>
    </row>
    <row r="205" customFormat="false" ht="70.85" hidden="false" customHeight="true" outlineLevel="0" collapsed="false">
      <c r="A205" s="111"/>
      <c r="B205" s="111"/>
      <c r="C205" s="111" t="n">
        <v>2</v>
      </c>
      <c r="D205" s="112" t="s">
        <v>490</v>
      </c>
      <c r="E205" s="92"/>
      <c r="F205" s="92"/>
      <c r="G205" s="92"/>
      <c r="H205" s="90" t="str">
        <f aca="false">IF(OR(E205="",F205=""),"",F205-E205)</f>
        <v/>
      </c>
      <c r="I205" s="90" t="str">
        <f aca="false">IF(OR(F205="",G205=""),"",G205-F205)</f>
        <v/>
      </c>
      <c r="J205" s="113" t="str">
        <f aca="false">IF(OR(H205="",I205=""),"",(H205+I205)/H205)</f>
        <v/>
      </c>
      <c r="K205" s="114"/>
      <c r="L205" s="93"/>
    </row>
    <row r="206" customFormat="false" ht="70.85" hidden="false" customHeight="true" outlineLevel="0" collapsed="false">
      <c r="A206" s="115"/>
      <c r="B206" s="116" t="s">
        <v>260</v>
      </c>
      <c r="C206" s="115" t="n">
        <v>1</v>
      </c>
      <c r="D206" s="112" t="s">
        <v>491</v>
      </c>
      <c r="E206" s="92"/>
      <c r="F206" s="92"/>
      <c r="G206" s="92"/>
      <c r="H206" s="90" t="str">
        <f aca="false">IF(OR(E206="",F206=""),"",F206-E206)</f>
        <v/>
      </c>
      <c r="I206" s="90" t="str">
        <f aca="false">IF(OR(F206="",G206=""),"",G206-F206)</f>
        <v/>
      </c>
      <c r="J206" s="113" t="str">
        <f aca="false">IF(OR(H206="",I206=""),"",(H206+I206)/H206)</f>
        <v/>
      </c>
      <c r="K206" s="117"/>
      <c r="L206" s="93"/>
    </row>
    <row r="207" customFormat="false" ht="70.85" hidden="false" customHeight="true" outlineLevel="0" collapsed="false">
      <c r="A207" s="115"/>
      <c r="B207" s="115"/>
      <c r="C207" s="115" t="n">
        <v>2</v>
      </c>
      <c r="D207" s="112" t="s">
        <v>492</v>
      </c>
      <c r="E207" s="92"/>
      <c r="F207" s="92"/>
      <c r="G207" s="92"/>
      <c r="H207" s="90" t="str">
        <f aca="false">IF(OR(E207="",F207=""),"",F207-E207)</f>
        <v/>
      </c>
      <c r="I207" s="90" t="str">
        <f aca="false">IF(OR(F207="",G207=""),"",G207-F207)</f>
        <v/>
      </c>
      <c r="J207" s="113" t="str">
        <f aca="false">IF(OR(H207="",I207=""),"",(H207+I207)/H207)</f>
        <v/>
      </c>
      <c r="K207" s="114"/>
      <c r="L207" s="93"/>
    </row>
    <row r="208" customFormat="false" ht="70.85" hidden="false" customHeight="true" outlineLevel="0" collapsed="false">
      <c r="A208" s="102" t="s">
        <v>493</v>
      </c>
      <c r="B208" s="103" t="s">
        <v>257</v>
      </c>
      <c r="C208" s="104" t="n">
        <v>1</v>
      </c>
      <c r="D208" s="105" t="s">
        <v>494</v>
      </c>
      <c r="E208" s="106"/>
      <c r="F208" s="106"/>
      <c r="G208" s="106"/>
      <c r="H208" s="107" t="str">
        <f aca="false">IF(OR(E208="",F208=""),"",F208-E208)</f>
        <v/>
      </c>
      <c r="I208" s="107" t="str">
        <f aca="false">IF(OR(F208="",G208=""),"",G208-F208)</f>
        <v/>
      </c>
      <c r="J208" s="108" t="str">
        <f aca="false">IF(OR(H208="",I208=""),"",(H208+I208)/H208)</f>
        <v/>
      </c>
      <c r="K208" s="109"/>
      <c r="L208" s="110"/>
    </row>
    <row r="209" customFormat="false" ht="70.85" hidden="false" customHeight="true" outlineLevel="0" collapsed="false">
      <c r="A209" s="111"/>
      <c r="B209" s="111"/>
      <c r="C209" s="111" t="n">
        <v>2</v>
      </c>
      <c r="D209" s="112" t="s">
        <v>495</v>
      </c>
      <c r="E209" s="92"/>
      <c r="F209" s="92"/>
      <c r="G209" s="92"/>
      <c r="H209" s="90" t="str">
        <f aca="false">IF(OR(E209="",F209=""),"",F209-E209)</f>
        <v/>
      </c>
      <c r="I209" s="90" t="str">
        <f aca="false">IF(OR(F209="",G209=""),"",G209-F209)</f>
        <v/>
      </c>
      <c r="J209" s="113" t="str">
        <f aca="false">IF(OR(H209="",I209=""),"",(H209+I209)/H209)</f>
        <v/>
      </c>
      <c r="K209" s="114"/>
      <c r="L209" s="93"/>
    </row>
    <row r="210" customFormat="false" ht="70.85" hidden="false" customHeight="true" outlineLevel="0" collapsed="false">
      <c r="A210" s="115"/>
      <c r="B210" s="116" t="s">
        <v>260</v>
      </c>
      <c r="C210" s="115" t="n">
        <v>1</v>
      </c>
      <c r="D210" s="112" t="s">
        <v>496</v>
      </c>
      <c r="E210" s="92"/>
      <c r="F210" s="92"/>
      <c r="G210" s="92"/>
      <c r="H210" s="90" t="str">
        <f aca="false">IF(OR(E210="",F210=""),"",F210-E210)</f>
        <v/>
      </c>
      <c r="I210" s="90" t="str">
        <f aca="false">IF(OR(F210="",G210=""),"",G210-F210)</f>
        <v/>
      </c>
      <c r="J210" s="113" t="str">
        <f aca="false">IF(OR(H210="",I210=""),"",(H210+I210)/H210)</f>
        <v/>
      </c>
      <c r="K210" s="117"/>
      <c r="L210" s="93"/>
    </row>
    <row r="211" customFormat="false" ht="70.85" hidden="false" customHeight="true" outlineLevel="0" collapsed="false">
      <c r="A211" s="115"/>
      <c r="B211" s="115"/>
      <c r="C211" s="115" t="n">
        <v>2</v>
      </c>
      <c r="D211" s="112" t="s">
        <v>497</v>
      </c>
      <c r="E211" s="92"/>
      <c r="F211" s="92"/>
      <c r="G211" s="92"/>
      <c r="H211" s="90" t="str">
        <f aca="false">IF(OR(E211="",F211=""),"",F211-E211)</f>
        <v/>
      </c>
      <c r="I211" s="90" t="str">
        <f aca="false">IF(OR(F211="",G211=""),"",G211-F211)</f>
        <v/>
      </c>
      <c r="J211" s="113" t="str">
        <f aca="false">IF(OR(H211="",I211=""),"",(H211+I211)/H211)</f>
        <v/>
      </c>
      <c r="K211" s="114"/>
      <c r="L211" s="93"/>
    </row>
    <row r="212" customFormat="false" ht="70.85" hidden="false" customHeight="true" outlineLevel="0" collapsed="false">
      <c r="A212" s="102" t="s">
        <v>498</v>
      </c>
      <c r="B212" s="103" t="s">
        <v>257</v>
      </c>
      <c r="C212" s="104" t="n">
        <v>1</v>
      </c>
      <c r="D212" s="105" t="s">
        <v>499</v>
      </c>
      <c r="E212" s="106"/>
      <c r="F212" s="106"/>
      <c r="G212" s="106"/>
      <c r="H212" s="107" t="str">
        <f aca="false">IF(OR(E212="",F212=""),"",F212-E212)</f>
        <v/>
      </c>
      <c r="I212" s="107" t="str">
        <f aca="false">IF(OR(F212="",G212=""),"",G212-F212)</f>
        <v/>
      </c>
      <c r="J212" s="108" t="str">
        <f aca="false">IF(OR(H212="",I212=""),"",(H212+I212)/H212)</f>
        <v/>
      </c>
      <c r="K212" s="109"/>
      <c r="L212" s="110"/>
    </row>
    <row r="213" customFormat="false" ht="70.85" hidden="false" customHeight="true" outlineLevel="0" collapsed="false">
      <c r="A213" s="111"/>
      <c r="B213" s="111"/>
      <c r="C213" s="111" t="n">
        <v>2</v>
      </c>
      <c r="D213" s="112" t="s">
        <v>500</v>
      </c>
      <c r="E213" s="92"/>
      <c r="F213" s="92"/>
      <c r="G213" s="92"/>
      <c r="H213" s="90" t="str">
        <f aca="false">IF(OR(E213="",F213=""),"",F213-E213)</f>
        <v/>
      </c>
      <c r="I213" s="90" t="str">
        <f aca="false">IF(OR(F213="",G213=""),"",G213-F213)</f>
        <v/>
      </c>
      <c r="J213" s="113" t="str">
        <f aca="false">IF(OR(H213="",I213=""),"",(H213+I213)/H213)</f>
        <v/>
      </c>
      <c r="K213" s="114"/>
      <c r="L213" s="93"/>
    </row>
    <row r="214" customFormat="false" ht="70.85" hidden="false" customHeight="true" outlineLevel="0" collapsed="false">
      <c r="A214" s="115"/>
      <c r="B214" s="116" t="s">
        <v>260</v>
      </c>
      <c r="C214" s="115" t="n">
        <v>1</v>
      </c>
      <c r="D214" s="112" t="s">
        <v>501</v>
      </c>
      <c r="E214" s="92"/>
      <c r="F214" s="92"/>
      <c r="G214" s="92"/>
      <c r="H214" s="90" t="str">
        <f aca="false">IF(OR(E214="",F214=""),"",F214-E214)</f>
        <v/>
      </c>
      <c r="I214" s="90" t="str">
        <f aca="false">IF(OR(F214="",G214=""),"",G214-F214)</f>
        <v/>
      </c>
      <c r="J214" s="113" t="str">
        <f aca="false">IF(OR(H214="",I214=""),"",(H214+I214)/H214)</f>
        <v/>
      </c>
      <c r="K214" s="117"/>
      <c r="L214" s="93"/>
    </row>
    <row r="215" customFormat="false" ht="70.85" hidden="false" customHeight="true" outlineLevel="0" collapsed="false">
      <c r="A215" s="115"/>
      <c r="B215" s="115"/>
      <c r="C215" s="115" t="n">
        <v>2</v>
      </c>
      <c r="D215" s="112" t="s">
        <v>502</v>
      </c>
      <c r="E215" s="92"/>
      <c r="F215" s="92"/>
      <c r="G215" s="92"/>
      <c r="H215" s="90" t="str">
        <f aca="false">IF(OR(E215="",F215=""),"",F215-E215)</f>
        <v/>
      </c>
      <c r="I215" s="90" t="str">
        <f aca="false">IF(OR(F215="",G215=""),"",G215-F215)</f>
        <v/>
      </c>
      <c r="J215" s="113" t="str">
        <f aca="false">IF(OR(H215="",I215=""),"",(H215+I215)/H215)</f>
        <v/>
      </c>
      <c r="K215" s="114"/>
      <c r="L215" s="93"/>
    </row>
    <row r="216" customFormat="false" ht="70.85" hidden="false" customHeight="true" outlineLevel="0" collapsed="false">
      <c r="A216" s="102" t="s">
        <v>503</v>
      </c>
      <c r="B216" s="103" t="s">
        <v>257</v>
      </c>
      <c r="C216" s="104" t="n">
        <v>1</v>
      </c>
      <c r="D216" s="105" t="s">
        <v>504</v>
      </c>
      <c r="E216" s="106"/>
      <c r="F216" s="106"/>
      <c r="G216" s="106"/>
      <c r="H216" s="107" t="str">
        <f aca="false">IF(OR(E216="",F216=""),"",F216-E216)</f>
        <v/>
      </c>
      <c r="I216" s="107" t="str">
        <f aca="false">IF(OR(F216="",G216=""),"",G216-F216)</f>
        <v/>
      </c>
      <c r="J216" s="108" t="str">
        <f aca="false">IF(OR(H216="",I216=""),"",(H216+I216)/H216)</f>
        <v/>
      </c>
      <c r="K216" s="109"/>
      <c r="L216" s="110"/>
    </row>
    <row r="217" customFormat="false" ht="70.85" hidden="false" customHeight="true" outlineLevel="0" collapsed="false">
      <c r="A217" s="111"/>
      <c r="B217" s="111"/>
      <c r="C217" s="111" t="n">
        <v>2</v>
      </c>
      <c r="D217" s="112" t="s">
        <v>505</v>
      </c>
      <c r="E217" s="92"/>
      <c r="F217" s="92"/>
      <c r="G217" s="92"/>
      <c r="H217" s="90" t="str">
        <f aca="false">IF(OR(E217="",F217=""),"",F217-E217)</f>
        <v/>
      </c>
      <c r="I217" s="90" t="str">
        <f aca="false">IF(OR(F217="",G217=""),"",G217-F217)</f>
        <v/>
      </c>
      <c r="J217" s="113" t="str">
        <f aca="false">IF(OR(H217="",I217=""),"",(H217+I217)/H217)</f>
        <v/>
      </c>
      <c r="K217" s="114"/>
      <c r="L217" s="93"/>
    </row>
    <row r="218" customFormat="false" ht="70.85" hidden="false" customHeight="true" outlineLevel="0" collapsed="false">
      <c r="A218" s="115"/>
      <c r="B218" s="116" t="s">
        <v>260</v>
      </c>
      <c r="C218" s="115" t="n">
        <v>1</v>
      </c>
      <c r="D218" s="112" t="s">
        <v>506</v>
      </c>
      <c r="E218" s="92"/>
      <c r="F218" s="92"/>
      <c r="G218" s="92"/>
      <c r="H218" s="90" t="str">
        <f aca="false">IF(OR(E218="",F218=""),"",F218-E218)</f>
        <v/>
      </c>
      <c r="I218" s="90" t="str">
        <f aca="false">IF(OR(F218="",G218=""),"",G218-F218)</f>
        <v/>
      </c>
      <c r="J218" s="113" t="str">
        <f aca="false">IF(OR(H218="",I218=""),"",(H218+I218)/H218)</f>
        <v/>
      </c>
      <c r="K218" s="117"/>
      <c r="L218" s="93"/>
    </row>
    <row r="219" customFormat="false" ht="70.85" hidden="false" customHeight="true" outlineLevel="0" collapsed="false">
      <c r="A219" s="115"/>
      <c r="B219" s="115"/>
      <c r="C219" s="115" t="n">
        <v>2</v>
      </c>
      <c r="D219" s="112" t="s">
        <v>507</v>
      </c>
      <c r="E219" s="92"/>
      <c r="F219" s="92"/>
      <c r="G219" s="92"/>
      <c r="H219" s="90" t="str">
        <f aca="false">IF(OR(E219="",F219=""),"",F219-E219)</f>
        <v/>
      </c>
      <c r="I219" s="90" t="str">
        <f aca="false">IF(OR(F219="",G219=""),"",G219-F219)</f>
        <v/>
      </c>
      <c r="J219" s="113" t="str">
        <f aca="false">IF(OR(H219="",I219=""),"",(H219+I219)/H219)</f>
        <v/>
      </c>
      <c r="K219" s="114"/>
      <c r="L219" s="9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8" manualBreakCount="8">
    <brk id="23" man="true" max="16383" min="0"/>
    <brk id="46" man="true" max="16383" min="0"/>
    <brk id="69" man="true" max="16383" min="0"/>
    <brk id="92" man="true" max="16383" min="0"/>
    <brk id="115" man="true" max="16383" min="0"/>
    <brk id="138" man="true" max="16383" min="0"/>
    <brk id="161" man="true" max="16383" min="0"/>
    <brk id="18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en-US</dc:language>
  <cp:lastModifiedBy/>
  <dcterms:modified xsi:type="dcterms:W3CDTF">2026-07-09T11:02:36Z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