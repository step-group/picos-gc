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Componentes" sheetId="1" state="visible" r:id="rId1"/>
    <sheet name="datos_des" sheetId="2" state="visible" r:id="rId2"/>
    <sheet name="Lab_DES" sheetId="3" state="visible" r:id="rId3"/>
    <sheet name="Sampling" sheetId="4" state="visible" r:id="rId4"/>
  </sheets>
  <definedNames>
    <definedName name="LookupTable" hidden="0" function="0" vbProcedure="0">Componentes!$AA$3:$AC$11</definedName>
    <definedName name="MW_2m2boh" hidden="0" function="0" vbProcedure="0">Componentes!$AB$7</definedName>
    <definedName name="MW_2m3b2oh" hidden="0" function="0" vbProcedure="0">Componentes!$AB$6</definedName>
    <definedName name="MW_2octanone" hidden="0" function="0" vbProcedure="0">Componentes!$AB$11</definedName>
    <definedName name="MW_2pe" hidden="0" function="0" vbProcedure="0">Componentes!$AB$4</definedName>
    <definedName name="MW_beta" hidden="0" function="0" vbProcedure="0">Componentes!$AB$3</definedName>
    <definedName name="MW_gamma" hidden="0" function="0" vbProcedure="0">Componentes!$AB$5</definedName>
    <definedName name="MW_hexoh" hidden="0" function="0" vbProcedure="0">Componentes!$AB$8</definedName>
    <definedName name="MW_mibk" hidden="0" function="0" vbProcedure="0">Componentes!$AB$10</definedName>
    <definedName name="MW_octoh" hidden="0" function="0" vbProcedure="0">Componentes!$AB$9</definedName>
    <definedName name="purity_2m2boh" hidden="0" function="0" vbProcedure="0">Componentes!$AC$7</definedName>
    <definedName name="purity_2m3b2oh" hidden="0" function="0" vbProcedure="0">Componentes!$AC$6</definedName>
    <definedName name="purity_2octanone" hidden="0" function="0" vbProcedure="0">Componentes!$AC$11</definedName>
    <definedName name="purity_2pe" hidden="0" function="0" vbProcedure="0">Componentes!$AC$4</definedName>
    <definedName name="purity_beta" hidden="0" function="0" vbProcedure="0">Componentes!$AC$3</definedName>
    <definedName name="purity_gamma" hidden="0" function="0" vbProcedure="0">Componentes!$AC$5</definedName>
    <definedName name="purity_hexoh" hidden="0" function="0" vbProcedure="0">Componentes!$AC$8</definedName>
    <definedName name="purity_mibk" hidden="0" function="0" vbProcedure="0">Componentes!$AC$10</definedName>
    <definedName name="purity_octoh" hidden="0" function="0" vbProcedure="0">Componentes!$AC$9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hh\:mm"/>
    <numFmt numFmtId="166" formatCode="0.0000"/>
    <numFmt numFmtId="167" formatCode="0.00000"/>
  </numFmts>
  <fonts count="39">
    <font>
      <name val="Aptos Narrow2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2"/>
      <charset val="1"/>
      <family val="0"/>
      <b val="1"/>
      <color rgb="FFFFFFFF"/>
      <sz val="11"/>
    </font>
    <font>
      <name val="Aptos Narrow2"/>
      <charset val="1"/>
      <family val="0"/>
      <b val="1"/>
      <color rgb="FF000000"/>
      <sz val="11"/>
    </font>
    <font>
      <name val="Arial"/>
      <charset val="1"/>
      <family val="0"/>
      <color rgb="FF000000"/>
      <sz val="10"/>
    </font>
    <font>
      <name val="Aptos Narrow2"/>
      <charset val="1"/>
      <family val="0"/>
      <i val="1"/>
      <color rgb="FF808080"/>
      <sz val="11"/>
    </font>
    <font>
      <name val="Aptos Narrow2"/>
      <charset val="1"/>
      <family val="0"/>
      <b val="1"/>
      <color rgb="FF000000"/>
      <sz val="24"/>
    </font>
    <font>
      <name val="Aptos Narrow2"/>
      <charset val="1"/>
      <family val="0"/>
      <color rgb="FF0000EE"/>
      <sz val="11"/>
      <u val="single"/>
    </font>
    <font>
      <name val="Aptos Narrow2"/>
      <charset val="1"/>
      <family val="0"/>
      <b val="1"/>
      <i val="1"/>
      <color rgb="FF000000"/>
      <sz val="11"/>
      <u val="single"/>
    </font>
    <font>
      <name val="Calibri"/>
      <charset val="1"/>
      <family val="0"/>
      <color rgb="FF000000"/>
      <sz val="11"/>
    </font>
    <font>
      <name val="Aptos Narrow2"/>
      <charset val="1"/>
      <family val="0"/>
      <color rgb="FFCC0000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000000"/>
      <sz val="7"/>
    </font>
    <font>
      <name val="Aptos Narrow1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1"/>
      <charset val="1"/>
      <family val="0"/>
      <color rgb="FF000000"/>
      <sz val="11"/>
    </font>
    <font>
      <name val="Cambria"/>
      <charset val="1"/>
      <family val="0"/>
      <color rgb="FF000000"/>
      <sz val="11"/>
    </font>
    <font>
      <name val="Aptos Narrow"/>
      <charset val="1"/>
      <family val="0"/>
      <color rgb="FF000000"/>
      <sz val="11"/>
    </font>
    <font>
      <name val="Cambria"/>
      <charset val="1"/>
      <family val="0"/>
      <b val="1"/>
      <sz val="12"/>
    </font>
    <font>
      <name val="Cambria"/>
      <charset val="1"/>
      <family val="0"/>
      <sz val="11"/>
    </font>
    <font>
      <name val="Cambria"/>
      <charset val="1"/>
      <family val="0"/>
      <i val="1"/>
      <color rgb="FF666666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C00000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7030A0"/>
      <sz val="8"/>
    </font>
    <font>
      <name val="Arial"/>
      <charset val="1"/>
      <family val="0"/>
      <color rgb="FFA080C0"/>
      <sz val="8"/>
    </font>
    <font>
      <name val="Arial"/>
      <charset val="1"/>
      <family val="0"/>
      <b val="1"/>
      <sz val="11"/>
    </font>
    <font>
      <name val="Consolas"/>
      <charset val="1"/>
      <family val="0"/>
      <sz val="10"/>
    </font>
    <font>
      <name val="Arial"/>
      <charset val="1"/>
      <family val="0"/>
      <b val="1"/>
      <color rgb="FF833C0B"/>
      <sz val="10"/>
    </font>
  </fonts>
  <fills count="28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66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C00000"/>
      </patternFill>
    </fill>
    <fill>
      <patternFill patternType="solid">
        <fgColor rgb="FFFFD966"/>
        <bgColor rgb="FFF4B084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BDD7EE"/>
      </patternFill>
    </fill>
    <fill>
      <patternFill patternType="solid">
        <fgColor rgb="FFF4B084"/>
        <bgColor rgb="FFFFD966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1F4E79"/>
      </patternFill>
    </fill>
    <fill>
      <patternFill patternType="solid">
        <fgColor rgb="FFD9E1F2"/>
        <bgColor rgb="FFD6E4F0"/>
      </patternFill>
    </fill>
    <fill>
      <patternFill patternType="solid">
        <fgColor rgb="FFF2CFEE"/>
        <bgColor rgb="FFE4DFEC"/>
      </patternFill>
    </fill>
    <fill>
      <patternFill patternType="solid">
        <fgColor rgb="FFC1E5F5"/>
        <bgColor rgb="FFBDD7EE"/>
      </patternFill>
    </fill>
    <fill>
      <patternFill patternType="solid">
        <fgColor theme="8" tint="0.5998"/>
        <bgColor rgb="FFC1E5F5"/>
      </patternFill>
    </fill>
    <fill>
      <patternFill patternType="solid">
        <fgColor rgb="FFD9F2D0"/>
        <bgColor rgb="FFE2EFDA"/>
      </patternFill>
    </fill>
    <fill>
      <patternFill patternType="solid">
        <fgColor rgb="FFD1D1D1"/>
        <bgColor rgb="FFD9D9D9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D9F2D0"/>
      </patternFill>
    </fill>
    <fill>
      <patternFill patternType="solid">
        <fgColor rgb="FFFFFFCC"/>
        <bgColor rgb="FFFFFFFF"/>
      </patternFill>
    </fill>
    <fill>
      <patternFill patternType="solid">
        <fgColor rgb="FFDCE6F1"/>
        <bgColor rgb="FFD6E4F0"/>
      </patternFill>
    </fill>
    <fill>
      <patternFill patternType="solid">
        <fgColor rgb="FFFCE4D6"/>
        <bgColor rgb="FFF8E4D0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0EBF5"/>
      </patternFill>
    </fill>
    <fill>
      <patternFill patternType="solid">
        <fgColor rgb="FFE4DFEC"/>
        <bgColor rgb="FFDDDDDD"/>
      </patternFill>
    </fill>
    <fill>
      <patternFill patternType="solid">
        <fgColor rgb="FFF0EBF5"/>
        <bgColor rgb="FFF2F2F2"/>
      </patternFill>
    </fill>
    <fill>
      <patternFill patternType="solid">
        <fgColor rgb="FFF8E4D0"/>
        <bgColor rgb="FFFCE4D6"/>
      </patternFill>
    </fill>
  </fills>
  <borders count="1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  <border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1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4" fillId="3" borderId="0" applyAlignment="1">
      <alignment horizontal="general" vertical="bottom"/>
    </xf>
    <xf numFmtId="0" fontId="5" fillId="4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5" borderId="0" applyAlignment="1">
      <alignment horizontal="general" vertical="bottom"/>
    </xf>
    <xf numFmtId="0" fontId="7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12" fillId="0" borderId="0" applyAlignment="1">
      <alignment horizontal="general" vertical="bottom"/>
    </xf>
  </cellStyleXfs>
  <cellXfs count="2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 wrapText="1"/>
    </xf>
    <xf numFmtId="0" fontId="13" fillId="6" borderId="3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general" vertical="bottom"/>
    </xf>
    <xf numFmtId="0" fontId="13" fillId="7" borderId="2" applyAlignment="1" pivotButton="0" quotePrefix="0" xfId="0">
      <alignment horizontal="general" vertical="bottom"/>
    </xf>
    <xf numFmtId="0" fontId="13" fillId="7" borderId="3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3" fillId="8" borderId="2" applyAlignment="1" pivotButton="0" quotePrefix="0" xfId="0">
      <alignment horizontal="general" vertical="bottom"/>
    </xf>
    <xf numFmtId="0" fontId="13" fillId="8" borderId="3" applyAlignment="1" pivotButton="0" quotePrefix="0" xfId="0">
      <alignment horizontal="general" vertical="bottom"/>
    </xf>
    <xf numFmtId="0" fontId="13" fillId="9" borderId="1" applyAlignment="1" pivotButton="0" quotePrefix="0" xfId="0">
      <alignment horizontal="general" vertical="bottom"/>
    </xf>
    <xf numFmtId="0" fontId="13" fillId="9" borderId="2" applyAlignment="1" pivotButton="0" quotePrefix="0" xfId="0">
      <alignment horizontal="general" vertical="bottom"/>
    </xf>
    <xf numFmtId="0" fontId="13" fillId="9" borderId="3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13" fillId="10" borderId="2" applyAlignment="1" pivotButton="0" quotePrefix="0" xfId="0">
      <alignment horizontal="general" vertical="bottom"/>
    </xf>
    <xf numFmtId="0" fontId="13" fillId="10" borderId="3" applyAlignment="1" pivotButton="0" quotePrefix="0" xfId="0">
      <alignment horizontal="general" vertical="bottom"/>
    </xf>
    <xf numFmtId="0" fontId="14" fillId="11" borderId="4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6" fillId="12" borderId="5" applyAlignment="1" pivotButton="0" quotePrefix="0" xfId="0">
      <alignment horizontal="general" vertical="bottom"/>
    </xf>
    <xf numFmtId="0" fontId="17" fillId="13" borderId="4" applyAlignment="1" pivotButton="0" quotePrefix="0" xfId="0">
      <alignment horizontal="general" vertical="bottom"/>
    </xf>
    <xf numFmtId="0" fontId="17" fillId="13" borderId="1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17" fillId="13" borderId="4" applyAlignment="1" pivotButton="0" quotePrefix="0" xfId="0">
      <alignment horizontal="right" vertical="bottom"/>
    </xf>
    <xf numFmtId="0" fontId="18" fillId="0" borderId="4" applyAlignment="1" pivotButton="0" quotePrefix="0" xfId="0">
      <alignment horizontal="general" vertical="bottom"/>
    </xf>
    <xf numFmtId="0" fontId="17" fillId="13" borderId="3" applyAlignment="1" pivotButton="0" quotePrefix="0" xfId="0">
      <alignment horizontal="general" vertical="bottom"/>
    </xf>
    <xf numFmtId="0" fontId="17" fillId="13" borderId="6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7" fillId="14" borderId="6" applyAlignment="1" pivotButton="0" quotePrefix="0" xfId="0">
      <alignment horizontal="general" vertical="bottom"/>
    </xf>
    <xf numFmtId="0" fontId="17" fillId="14" borderId="6" applyAlignment="1" pivotButton="0" quotePrefix="0" xfId="0">
      <alignment horizontal="right" vertical="bottom"/>
    </xf>
    <xf numFmtId="10" fontId="17" fillId="14" borderId="6" applyAlignment="1" pivotButton="0" quotePrefix="0" xfId="0">
      <alignment horizontal="general" vertical="bottom"/>
    </xf>
    <xf numFmtId="0" fontId="17" fillId="14" borderId="7" applyAlignment="1" pivotButton="0" quotePrefix="0" xfId="0">
      <alignment horizontal="general" vertical="bottom"/>
    </xf>
    <xf numFmtId="0" fontId="18" fillId="15" borderId="4" applyAlignment="1" pivotButton="0" quotePrefix="0" xfId="0">
      <alignment horizontal="general" vertical="bottom"/>
    </xf>
    <xf numFmtId="0" fontId="17" fillId="14" borderId="8" applyAlignment="1" pivotButton="0" quotePrefix="0" xfId="0">
      <alignment horizontal="general" vertical="bottom"/>
    </xf>
    <xf numFmtId="0" fontId="17" fillId="14" borderId="4" applyAlignment="1" pivotButton="0" quotePrefix="0" xfId="0">
      <alignment horizontal="general" vertical="bottom"/>
    </xf>
    <xf numFmtId="0" fontId="17" fillId="14" borderId="0" applyAlignment="1" pivotButton="0" quotePrefix="0" xfId="0">
      <alignment horizontal="general" vertical="bottom"/>
    </xf>
    <xf numFmtId="0" fontId="17" fillId="14" borderId="4" applyAlignment="1" pivotButton="0" quotePrefix="0" xfId="0">
      <alignment horizontal="right" vertical="bottom"/>
    </xf>
    <xf numFmtId="9" fontId="17" fillId="14" borderId="4" applyAlignment="1" pivotButton="0" quotePrefix="0" xfId="0">
      <alignment horizontal="left" vertical="bottom"/>
    </xf>
    <xf numFmtId="0" fontId="17" fillId="14" borderId="1" applyAlignment="1" pivotButton="0" quotePrefix="0" xfId="0">
      <alignment horizontal="general" vertical="bottom"/>
    </xf>
    <xf numFmtId="0" fontId="17" fillId="14" borderId="3" applyAlignment="1" pivotButton="0" quotePrefix="0" xfId="0">
      <alignment horizontal="general" vertical="bottom"/>
    </xf>
    <xf numFmtId="0" fontId="19" fillId="15" borderId="4" applyAlignment="1" pivotButton="0" quotePrefix="0" xfId="0">
      <alignment horizontal="general" vertical="bottom"/>
    </xf>
    <xf numFmtId="0" fontId="20" fillId="14" borderId="4" applyAlignment="1" pivotButton="0" quotePrefix="0" xfId="0">
      <alignment horizontal="general" vertical="bottom"/>
    </xf>
    <xf numFmtId="0" fontId="17" fillId="16" borderId="4" applyAlignment="1" pivotButton="0" quotePrefix="0" xfId="0">
      <alignment horizontal="general" vertical="bottom"/>
    </xf>
    <xf numFmtId="0" fontId="17" fillId="16" borderId="4" applyAlignment="1" pivotButton="0" quotePrefix="0" xfId="0">
      <alignment horizontal="right" vertical="bottom"/>
    </xf>
    <xf numFmtId="164" fontId="17" fillId="16" borderId="6" applyAlignment="1" pivotButton="0" quotePrefix="0" xfId="0">
      <alignment horizontal="general" vertical="bottom"/>
    </xf>
    <xf numFmtId="0" fontId="17" fillId="16" borderId="0" applyAlignment="1" pivotButton="0" quotePrefix="0" xfId="0">
      <alignment horizontal="general" vertical="bottom"/>
    </xf>
    <xf numFmtId="0" fontId="17" fillId="16" borderId="5" applyAlignment="1" pivotButton="0" quotePrefix="0" xfId="0">
      <alignment horizontal="general" vertical="bottom"/>
    </xf>
    <xf numFmtId="0" fontId="17" fillId="16" borderId="5" applyAlignment="1" pivotButton="0" quotePrefix="0" xfId="0">
      <alignment horizontal="right" vertical="bottom"/>
    </xf>
    <xf numFmtId="164" fontId="17" fillId="16" borderId="4" applyAlignment="1" pivotButton="0" quotePrefix="0" xfId="0">
      <alignment horizontal="general" vertical="bottom"/>
    </xf>
    <xf numFmtId="0" fontId="17" fillId="16" borderId="1" applyAlignment="1" pivotButton="0" quotePrefix="0" xfId="0">
      <alignment horizontal="general" vertical="bottom"/>
    </xf>
    <xf numFmtId="0" fontId="17" fillId="16" borderId="3" applyAlignment="1" pivotButton="0" quotePrefix="0" xfId="0">
      <alignment horizontal="general" vertical="bottom"/>
    </xf>
    <xf numFmtId="0" fontId="17" fillId="17" borderId="4" applyAlignment="1" pivotButton="0" quotePrefix="0" xfId="0">
      <alignment horizontal="general" vertical="bottom"/>
    </xf>
    <xf numFmtId="0" fontId="17" fillId="17" borderId="6" applyAlignment="1" pivotButton="0" quotePrefix="0" xfId="0">
      <alignment horizontal="general" vertical="bottom"/>
    </xf>
    <xf numFmtId="0" fontId="17" fillId="17" borderId="6" applyAlignment="1" pivotButton="0" quotePrefix="0" xfId="0">
      <alignment horizontal="right" vertical="bottom"/>
    </xf>
    <xf numFmtId="0" fontId="17" fillId="17" borderId="4" applyAlignment="1" pivotButton="0" quotePrefix="0" xfId="0">
      <alignment horizontal="right" vertical="bottom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65" fontId="0" fillId="0" borderId="4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18" borderId="4" applyAlignment="1" pivotButton="0" quotePrefix="0" xfId="0">
      <alignment horizontal="center" vertical="bottom" wrapText="1"/>
    </xf>
    <xf numFmtId="0" fontId="23" fillId="0" borderId="4" applyAlignment="1" pivotButton="0" quotePrefix="0" xfId="0">
      <alignment horizontal="general" vertical="bottom"/>
    </xf>
    <xf numFmtId="2" fontId="23" fillId="19" borderId="4" applyAlignment="1" pivotButton="0" quotePrefix="0" xfId="0">
      <alignment horizontal="general" vertical="bottom"/>
    </xf>
    <xf numFmtId="164" fontId="23" fillId="19" borderId="4" applyAlignment="1" pivotButton="0" quotePrefix="0" xfId="0">
      <alignment horizontal="general" vertical="bottom"/>
    </xf>
    <xf numFmtId="166" fontId="23" fillId="19" borderId="4" applyAlignment="1" pivotButton="0" quotePrefix="0" xfId="0">
      <alignment horizontal="general" vertical="bottom"/>
    </xf>
    <xf numFmtId="166" fontId="23" fillId="20" borderId="4" applyAlignment="1" pivotButton="0" quotePrefix="0" xfId="0">
      <alignment horizontal="general" vertical="bottom"/>
    </xf>
    <xf numFmtId="166" fontId="23" fillId="19" borderId="4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5" fillId="0" borderId="9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167" fontId="28" fillId="19" borderId="9" applyAlignment="1" pivotButton="0" quotePrefix="0" xfId="0">
      <alignment horizontal="center" vertical="center"/>
    </xf>
    <xf numFmtId="164" fontId="28" fillId="21" borderId="9" applyAlignment="1" pivotButton="0" quotePrefix="0" xfId="0">
      <alignment horizontal="center" vertical="center"/>
    </xf>
    <xf numFmtId="0" fontId="28" fillId="18" borderId="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28" fillId="19" borderId="9" applyAlignment="1" pivotButton="0" quotePrefix="0" xfId="0">
      <alignment horizontal="center" vertical="center"/>
    </xf>
    <xf numFmtId="0" fontId="27" fillId="12" borderId="10" applyAlignment="1" pivotButton="0" quotePrefix="0" xfId="0">
      <alignment horizontal="center" vertical="center" wrapText="1"/>
    </xf>
    <xf numFmtId="0" fontId="28" fillId="0" borderId="9" applyAlignment="1" pivotButton="0" quotePrefix="0" xfId="0">
      <alignment horizontal="center" vertical="center"/>
    </xf>
    <xf numFmtId="0" fontId="27" fillId="0" borderId="9" applyAlignment="1" pivotButton="0" quotePrefix="0" xfId="0">
      <alignment horizontal="center" vertical="center"/>
    </xf>
    <xf numFmtId="166" fontId="28" fillId="19" borderId="9" applyAlignment="1" pivotButton="0" quotePrefix="0" xfId="0">
      <alignment horizontal="center" vertical="center"/>
    </xf>
    <xf numFmtId="164" fontId="28" fillId="18" borderId="9" applyAlignment="1" pivotButton="0" quotePrefix="0" xfId="0">
      <alignment horizontal="center" vertical="center"/>
    </xf>
    <xf numFmtId="166" fontId="28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36" fillId="23" borderId="11" applyAlignment="1" pivotButton="0" quotePrefix="0" xfId="0">
      <alignment horizontal="center" vertical="center"/>
    </xf>
    <xf numFmtId="0" fontId="33" fillId="23" borderId="11" applyAlignment="1" pivotButton="0" quotePrefix="0" xfId="0">
      <alignment horizontal="center" vertical="center"/>
    </xf>
    <xf numFmtId="0" fontId="28" fillId="23" borderId="11" applyAlignment="1" pivotButton="0" quotePrefix="0" xfId="0">
      <alignment horizontal="center" vertical="center"/>
    </xf>
    <xf numFmtId="0" fontId="37" fillId="24" borderId="11" applyAlignment="1" pivotButton="0" quotePrefix="0" xfId="0">
      <alignment horizontal="center" vertical="center"/>
    </xf>
    <xf numFmtId="166" fontId="28" fillId="22" borderId="11" applyAlignment="1" pivotButton="0" quotePrefix="0" xfId="0">
      <alignment horizontal="center" vertical="center"/>
    </xf>
    <xf numFmtId="166" fontId="28" fillId="19" borderId="11" applyAlignment="1" pivotButton="0" quotePrefix="0" xfId="0">
      <alignment horizontal="center" vertical="center"/>
    </xf>
    <xf numFmtId="2" fontId="28" fillId="19" borderId="11" applyAlignment="1" pivotButton="0" quotePrefix="0" xfId="0">
      <alignment horizontal="center" vertical="center"/>
    </xf>
    <xf numFmtId="164" fontId="28" fillId="25" borderId="11" applyAlignment="1" pivotButton="0" quotePrefix="0" xfId="0">
      <alignment horizontal="center" vertical="center"/>
    </xf>
    <xf numFmtId="0" fontId="28" fillId="22" borderId="11" applyAlignment="1" pivotButton="0" quotePrefix="0" xfId="0">
      <alignment horizontal="left" vertical="center"/>
    </xf>
    <xf numFmtId="0" fontId="28" fillId="23" borderId="9" applyAlignment="1" pivotButton="0" quotePrefix="0" xfId="0">
      <alignment horizontal="center" vertical="center"/>
    </xf>
    <xf numFmtId="0" fontId="37" fillId="24" borderId="9" applyAlignment="1" pivotButton="0" quotePrefix="0" xfId="0">
      <alignment horizontal="center" vertical="center"/>
    </xf>
    <xf numFmtId="2" fontId="28" fillId="19" borderId="9" applyAlignment="1" pivotButton="0" quotePrefix="0" xfId="0">
      <alignment horizontal="center" vertical="center"/>
    </xf>
    <xf numFmtId="164" fontId="28" fillId="26" borderId="9" applyAlignment="1" pivotButton="0" quotePrefix="0" xfId="0">
      <alignment horizontal="center" vertical="center"/>
    </xf>
    <xf numFmtId="0" fontId="28" fillId="27" borderId="9" applyAlignment="1" pivotButton="0" quotePrefix="0" xfId="0">
      <alignment horizontal="center" vertical="center"/>
    </xf>
    <xf numFmtId="0" fontId="38" fillId="27" borderId="9" applyAlignment="1" pivotButton="0" quotePrefix="0" xfId="0">
      <alignment horizontal="center" vertical="center"/>
    </xf>
    <xf numFmtId="164" fontId="28" fillId="25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3" fillId="6" borderId="1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 wrapText="1"/>
    </xf>
    <xf numFmtId="0" fontId="13" fillId="6" borderId="3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general" vertical="bottom"/>
    </xf>
    <xf numFmtId="0" fontId="13" fillId="7" borderId="2" applyAlignment="1" pivotButton="0" quotePrefix="0" xfId="0">
      <alignment horizontal="general" vertical="bottom"/>
    </xf>
    <xf numFmtId="0" fontId="13" fillId="7" borderId="3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3" fillId="8" borderId="2" applyAlignment="1" pivotButton="0" quotePrefix="0" xfId="0">
      <alignment horizontal="general" vertical="bottom"/>
    </xf>
    <xf numFmtId="0" fontId="13" fillId="8" borderId="3" applyAlignment="1" pivotButton="0" quotePrefix="0" xfId="0">
      <alignment horizontal="general" vertical="bottom"/>
    </xf>
    <xf numFmtId="0" fontId="13" fillId="9" borderId="1" applyAlignment="1" pivotButton="0" quotePrefix="0" xfId="0">
      <alignment horizontal="general" vertical="bottom"/>
    </xf>
    <xf numFmtId="0" fontId="13" fillId="9" borderId="2" applyAlignment="1" pivotButton="0" quotePrefix="0" xfId="0">
      <alignment horizontal="general" vertical="bottom"/>
    </xf>
    <xf numFmtId="0" fontId="13" fillId="9" borderId="3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13" fillId="10" borderId="2" applyAlignment="1" pivotButton="0" quotePrefix="0" xfId="0">
      <alignment horizontal="general" vertical="bottom"/>
    </xf>
    <xf numFmtId="0" fontId="13" fillId="10" borderId="3" applyAlignment="1" pivotButton="0" quotePrefix="0" xfId="0">
      <alignment horizontal="general" vertical="bottom"/>
    </xf>
    <xf numFmtId="0" fontId="14" fillId="11" borderId="4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6" fillId="12" borderId="5" applyAlignment="1" pivotButton="0" quotePrefix="0" xfId="0">
      <alignment horizontal="general" vertical="bottom"/>
    </xf>
    <xf numFmtId="0" fontId="17" fillId="13" borderId="4" applyAlignment="1" pivotButton="0" quotePrefix="0" xfId="0">
      <alignment horizontal="general" vertical="bottom"/>
    </xf>
    <xf numFmtId="0" fontId="17" fillId="13" borderId="1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17" fillId="13" borderId="4" applyAlignment="1" pivotButton="0" quotePrefix="0" xfId="0">
      <alignment horizontal="right" vertical="bottom"/>
    </xf>
    <xf numFmtId="0" fontId="18" fillId="0" borderId="4" applyAlignment="1" pivotButton="0" quotePrefix="0" xfId="0">
      <alignment horizontal="general" vertical="bottom"/>
    </xf>
    <xf numFmtId="0" fontId="17" fillId="13" borderId="3" applyAlignment="1" pivotButton="0" quotePrefix="0" xfId="0">
      <alignment horizontal="general" vertical="bottom"/>
    </xf>
    <xf numFmtId="0" fontId="17" fillId="13" borderId="6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7" fillId="14" borderId="6" applyAlignment="1" pivotButton="0" quotePrefix="0" xfId="0">
      <alignment horizontal="general" vertical="bottom"/>
    </xf>
    <xf numFmtId="0" fontId="17" fillId="14" borderId="6" applyAlignment="1" pivotButton="0" quotePrefix="0" xfId="0">
      <alignment horizontal="right" vertical="bottom"/>
    </xf>
    <xf numFmtId="10" fontId="17" fillId="14" borderId="6" applyAlignment="1" pivotButton="0" quotePrefix="0" xfId="0">
      <alignment horizontal="general" vertical="bottom"/>
    </xf>
    <xf numFmtId="0" fontId="17" fillId="14" borderId="7" applyAlignment="1" pivotButton="0" quotePrefix="0" xfId="0">
      <alignment horizontal="general" vertical="bottom"/>
    </xf>
    <xf numFmtId="0" fontId="18" fillId="15" borderId="4" applyAlignment="1" pivotButton="0" quotePrefix="0" xfId="0">
      <alignment horizontal="general" vertical="bottom"/>
    </xf>
    <xf numFmtId="0" fontId="17" fillId="14" borderId="8" applyAlignment="1" pivotButton="0" quotePrefix="0" xfId="0">
      <alignment horizontal="general" vertical="bottom"/>
    </xf>
    <xf numFmtId="0" fontId="17" fillId="14" borderId="4" applyAlignment="1" pivotButton="0" quotePrefix="0" xfId="0">
      <alignment horizontal="general" vertical="bottom"/>
    </xf>
    <xf numFmtId="0" fontId="17" fillId="14" borderId="0" applyAlignment="1" pivotButton="0" quotePrefix="0" xfId="0">
      <alignment horizontal="general" vertical="bottom"/>
    </xf>
    <xf numFmtId="0" fontId="17" fillId="14" borderId="4" applyAlignment="1" pivotButton="0" quotePrefix="0" xfId="0">
      <alignment horizontal="right" vertical="bottom"/>
    </xf>
    <xf numFmtId="9" fontId="17" fillId="14" borderId="4" applyAlignment="1" pivotButton="0" quotePrefix="0" xfId="0">
      <alignment horizontal="left" vertical="bottom"/>
    </xf>
    <xf numFmtId="0" fontId="17" fillId="14" borderId="1" applyAlignment="1" pivotButton="0" quotePrefix="0" xfId="0">
      <alignment horizontal="general" vertical="bottom"/>
    </xf>
    <xf numFmtId="0" fontId="17" fillId="14" borderId="3" applyAlignment="1" pivotButton="0" quotePrefix="0" xfId="0">
      <alignment horizontal="general" vertical="bottom"/>
    </xf>
    <xf numFmtId="0" fontId="19" fillId="15" borderId="4" applyAlignment="1" pivotButton="0" quotePrefix="0" xfId="0">
      <alignment horizontal="general" vertical="bottom"/>
    </xf>
    <xf numFmtId="0" fontId="20" fillId="14" borderId="4" applyAlignment="1" pivotButton="0" quotePrefix="0" xfId="0">
      <alignment horizontal="general" vertical="bottom"/>
    </xf>
    <xf numFmtId="0" fontId="17" fillId="16" borderId="4" applyAlignment="1" pivotButton="0" quotePrefix="0" xfId="0">
      <alignment horizontal="general" vertical="bottom"/>
    </xf>
    <xf numFmtId="0" fontId="17" fillId="16" borderId="4" applyAlignment="1" pivotButton="0" quotePrefix="0" xfId="0">
      <alignment horizontal="right" vertical="bottom"/>
    </xf>
    <xf numFmtId="164" fontId="17" fillId="16" borderId="6" applyAlignment="1" pivotButton="0" quotePrefix="0" xfId="0">
      <alignment horizontal="general" vertical="bottom"/>
    </xf>
    <xf numFmtId="0" fontId="17" fillId="16" borderId="0" applyAlignment="1" pivotButton="0" quotePrefix="0" xfId="0">
      <alignment horizontal="general" vertical="bottom"/>
    </xf>
    <xf numFmtId="0" fontId="17" fillId="16" borderId="5" applyAlignment="1" pivotButton="0" quotePrefix="0" xfId="0">
      <alignment horizontal="general" vertical="bottom"/>
    </xf>
    <xf numFmtId="0" fontId="17" fillId="16" borderId="5" applyAlignment="1" pivotButton="0" quotePrefix="0" xfId="0">
      <alignment horizontal="right" vertical="bottom"/>
    </xf>
    <xf numFmtId="164" fontId="17" fillId="16" borderId="4" applyAlignment="1" pivotButton="0" quotePrefix="0" xfId="0">
      <alignment horizontal="general" vertical="bottom"/>
    </xf>
    <xf numFmtId="0" fontId="17" fillId="16" borderId="1" applyAlignment="1" pivotButton="0" quotePrefix="0" xfId="0">
      <alignment horizontal="general" vertical="bottom"/>
    </xf>
    <xf numFmtId="0" fontId="17" fillId="16" borderId="3" applyAlignment="1" pivotButton="0" quotePrefix="0" xfId="0">
      <alignment horizontal="general" vertical="bottom"/>
    </xf>
    <xf numFmtId="0" fontId="17" fillId="17" borderId="4" applyAlignment="1" pivotButton="0" quotePrefix="0" xfId="0">
      <alignment horizontal="general" vertical="bottom"/>
    </xf>
    <xf numFmtId="0" fontId="17" fillId="17" borderId="6" applyAlignment="1" pivotButton="0" quotePrefix="0" xfId="0">
      <alignment horizontal="general" vertical="bottom"/>
    </xf>
    <xf numFmtId="0" fontId="17" fillId="17" borderId="6" applyAlignment="1" pivotButton="0" quotePrefix="0" xfId="0">
      <alignment horizontal="right" vertical="bottom"/>
    </xf>
    <xf numFmtId="0" fontId="17" fillId="17" borderId="4" applyAlignment="1" pivotButton="0" quotePrefix="0" xfId="0">
      <alignment horizontal="right" vertical="bottom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65" fontId="0" fillId="0" borderId="4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18" borderId="4" applyAlignment="1" pivotButton="0" quotePrefix="0" xfId="0">
      <alignment horizontal="center" vertical="bottom" wrapText="1"/>
    </xf>
    <xf numFmtId="0" fontId="23" fillId="0" borderId="4" applyAlignment="1" pivotButton="0" quotePrefix="0" xfId="0">
      <alignment horizontal="general" vertical="bottom"/>
    </xf>
    <xf numFmtId="2" fontId="23" fillId="19" borderId="4" applyAlignment="1" pivotButton="0" quotePrefix="0" xfId="0">
      <alignment horizontal="general" vertical="bottom"/>
    </xf>
    <xf numFmtId="164" fontId="23" fillId="19" borderId="4" applyAlignment="1" pivotButton="0" quotePrefix="0" xfId="0">
      <alignment horizontal="general" vertical="bottom"/>
    </xf>
    <xf numFmtId="166" fontId="23" fillId="19" borderId="4" applyAlignment="1" pivotButton="0" quotePrefix="0" xfId="0">
      <alignment horizontal="general" vertical="bottom"/>
    </xf>
    <xf numFmtId="166" fontId="23" fillId="20" borderId="4" applyAlignment="1" pivotButton="0" quotePrefix="0" xfId="0">
      <alignment horizontal="general" vertical="bottom"/>
    </xf>
    <xf numFmtId="166" fontId="23" fillId="19" borderId="4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5" fillId="0" borderId="9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167" fontId="28" fillId="19" borderId="9" applyAlignment="1" pivotButton="0" quotePrefix="0" xfId="0">
      <alignment horizontal="center" vertical="center"/>
    </xf>
    <xf numFmtId="164" fontId="28" fillId="21" borderId="9" applyAlignment="1" pivotButton="0" quotePrefix="0" xfId="0">
      <alignment horizontal="center" vertical="center"/>
    </xf>
    <xf numFmtId="0" fontId="28" fillId="18" borderId="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28" fillId="19" borderId="9" applyAlignment="1" pivotButton="0" quotePrefix="0" xfId="0">
      <alignment horizontal="center" vertical="center"/>
    </xf>
    <xf numFmtId="0" fontId="27" fillId="12" borderId="10" applyAlignment="1" pivotButton="0" quotePrefix="0" xfId="0">
      <alignment horizontal="center" vertical="center" wrapText="1"/>
    </xf>
    <xf numFmtId="0" fontId="28" fillId="0" borderId="9" applyAlignment="1" pivotButton="0" quotePrefix="0" xfId="0">
      <alignment horizontal="center" vertical="center"/>
    </xf>
    <xf numFmtId="0" fontId="27" fillId="0" borderId="9" applyAlignment="1" pivotButton="0" quotePrefix="0" xfId="0">
      <alignment horizontal="center" vertical="center"/>
    </xf>
    <xf numFmtId="166" fontId="28" fillId="19" borderId="9" applyAlignment="1" pivotButton="0" quotePrefix="0" xfId="0">
      <alignment horizontal="center" vertical="center"/>
    </xf>
    <xf numFmtId="164" fontId="28" fillId="18" borderId="9" applyAlignment="1" pivotButton="0" quotePrefix="0" xfId="0">
      <alignment horizontal="center" vertical="center"/>
    </xf>
    <xf numFmtId="166" fontId="28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36" fillId="23" borderId="11" applyAlignment="1" pivotButton="0" quotePrefix="0" xfId="0">
      <alignment horizontal="center" vertical="center"/>
    </xf>
    <xf numFmtId="0" fontId="33" fillId="23" borderId="11" applyAlignment="1" pivotButton="0" quotePrefix="0" xfId="0">
      <alignment horizontal="center" vertical="center"/>
    </xf>
    <xf numFmtId="0" fontId="28" fillId="23" borderId="11" applyAlignment="1" pivotButton="0" quotePrefix="0" xfId="0">
      <alignment horizontal="center" vertical="center"/>
    </xf>
    <xf numFmtId="0" fontId="37" fillId="24" borderId="11" applyAlignment="1" pivotButton="0" quotePrefix="0" xfId="0">
      <alignment horizontal="center" vertical="center"/>
    </xf>
    <xf numFmtId="166" fontId="28" fillId="22" borderId="11" applyAlignment="1" pivotButton="0" quotePrefix="0" xfId="0">
      <alignment horizontal="center" vertical="center"/>
    </xf>
    <xf numFmtId="166" fontId="28" fillId="19" borderId="11" applyAlignment="1" pivotButton="0" quotePrefix="0" xfId="0">
      <alignment horizontal="center" vertical="center"/>
    </xf>
    <xf numFmtId="2" fontId="28" fillId="19" borderId="11" applyAlignment="1" pivotButton="0" quotePrefix="0" xfId="0">
      <alignment horizontal="center" vertical="center"/>
    </xf>
    <xf numFmtId="164" fontId="28" fillId="25" borderId="11" applyAlignment="1" pivotButton="0" quotePrefix="0" xfId="0">
      <alignment horizontal="center" vertical="center"/>
    </xf>
    <xf numFmtId="0" fontId="28" fillId="22" borderId="11" applyAlignment="1" pivotButton="0" quotePrefix="0" xfId="0">
      <alignment horizontal="left" vertical="center"/>
    </xf>
    <xf numFmtId="0" fontId="28" fillId="23" borderId="9" applyAlignment="1" pivotButton="0" quotePrefix="0" xfId="0">
      <alignment horizontal="center" vertical="center"/>
    </xf>
    <xf numFmtId="0" fontId="37" fillId="24" borderId="9" applyAlignment="1" pivotButton="0" quotePrefix="0" xfId="0">
      <alignment horizontal="center" vertical="center"/>
    </xf>
    <xf numFmtId="2" fontId="28" fillId="19" borderId="9" applyAlignment="1" pivotButton="0" quotePrefix="0" xfId="0">
      <alignment horizontal="center" vertical="center"/>
    </xf>
    <xf numFmtId="164" fontId="28" fillId="26" borderId="9" applyAlignment="1" pivotButton="0" quotePrefix="0" xfId="0">
      <alignment horizontal="center" vertical="center"/>
    </xf>
    <xf numFmtId="0" fontId="28" fillId="27" borderId="9" applyAlignment="1" pivotButton="0" quotePrefix="0" xfId="0">
      <alignment horizontal="center" vertical="center"/>
    </xf>
    <xf numFmtId="0" fontId="38" fillId="27" borderId="9" applyAlignment="1" pivotButton="0" quotePrefix="0" xfId="0">
      <alignment horizontal="center" vertical="center"/>
    </xf>
    <xf numFmtId="164" fontId="28" fillId="25" borderId="9" applyAlignment="1" pivotButton="0" quotePrefix="0" xfId="0">
      <alignment horizontal="center" vertical="center"/>
    </xf>
  </cellXfs>
  <cellStyles count="1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 5" xfId="6"/>
    <cellStyle name="Accent 2 6" xfId="7"/>
    <cellStyle name="Accent 3 7" xfId="8"/>
    <cellStyle name="Accent 4" xfId="9"/>
    <cellStyle name="Default 8" xfId="10"/>
    <cellStyle name="Error 9" xfId="11"/>
    <cellStyle name="Footnote 10" xfId="12"/>
    <cellStyle name="Heading 11" xfId="13"/>
    <cellStyle name="Hyperlink 12" xfId="14"/>
    <cellStyle name="Result 13" xfId="15"/>
    <cellStyle name="Status 14" xfId="16"/>
    <cellStyle name="Text 15" xfId="17"/>
    <cellStyle name="Warning 16" xfId="1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DCE6F1"/>
      <rgbColor rgb="FFC00000"/>
      <rgbColor rgb="FF008000"/>
      <rgbColor rgb="FF000080"/>
      <rgbColor rgb="FFE4DFEC"/>
      <rgbColor rgb="FF800080"/>
      <rgbColor rgb="FF008080"/>
      <rgbColor rgb="FFBFBFBF"/>
      <rgbColor rgb="FF808080"/>
      <rgbColor rgb="FFD9D9D9"/>
      <rgbColor rgb="FF7030A0"/>
      <rgbColor rgb="FFFFFFCC"/>
      <rgbColor rgb="FFDDEBF7"/>
      <rgbColor rgb="FF660066"/>
      <rgbColor rgb="FFF2CFEE"/>
      <rgbColor rgb="FF0066CC"/>
      <rgbColor rgb="FFBDD7EE"/>
      <rgbColor rgb="FF000080"/>
      <rgbColor rgb="FFFF00FF"/>
      <rgbColor rgb="FFFCE4D6"/>
      <rgbColor rgb="FFE2EFDA"/>
      <rgbColor rgb="FF800080"/>
      <rgbColor rgb="FF800000"/>
      <rgbColor rgb="FF008080"/>
      <rgbColor rgb="FF0000FF"/>
      <rgbColor rgb="FFF2F2F2"/>
      <rgbColor rgb="FFC1E5F5"/>
      <rgbColor rgb="FFD9F2D0"/>
      <rgbColor rgb="FFF8E4D0"/>
      <rgbColor rgb="FFB4C7E7"/>
      <rgbColor rgb="FFF4B084"/>
      <rgbColor rgb="FFD1D1D1"/>
      <rgbColor rgb="FFFFD966"/>
      <rgbColor rgb="FF3366FF"/>
      <rgbColor rgb="FFD6E4F0"/>
      <rgbColor rgb="FFC5E0B4"/>
      <rgbColor rgb="FFFFC000"/>
      <rgbColor rgb="FFDDDDDD"/>
      <rgbColor rgb="FFF0EBF5"/>
      <rgbColor rgb="FF666666"/>
      <rgbColor rgb="FFA080C0"/>
      <rgbColor rgb="FF1F4E79"/>
      <rgbColor rgb="FFD9E1F2"/>
      <rgbColor rgb="FF003300"/>
      <rgbColor rgb="FF333300"/>
      <rgbColor rgb="FF833C0B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6" activeCellId="0" sqref="L16"/>
    </sheetView>
  </sheetViews>
  <sheetFormatPr baseColWidth="8" defaultColWidth="8.50390625" defaultRowHeight="12.75" customHeight="0" zeroHeight="0" outlineLevelRow="0"/>
  <cols>
    <col width="17.26" customWidth="1" style="117" min="1" max="1"/>
    <col width="19" customWidth="1" style="117" min="2" max="2"/>
    <col width="17.38" customWidth="1" style="117" min="3" max="3"/>
    <col width="14.38" customWidth="1" style="117" min="4" max="4"/>
    <col width="12.88" customWidth="1" style="117" min="5" max="5"/>
    <col width="30" customWidth="1" style="117" min="6" max="6"/>
    <col width="15.25" customWidth="1" style="117" min="7" max="7"/>
    <col width="13.12" customWidth="1" style="117" min="8" max="8"/>
    <col width="13.5" customWidth="1" style="117" min="9" max="9"/>
    <col width="11.88" customWidth="1" style="117" min="10" max="10"/>
    <col width="12.25" customWidth="1" style="117" min="11" max="11"/>
    <col width="9" customWidth="1" style="117" min="12" max="12"/>
    <col width="14.25" customWidth="1" style="117" min="13" max="13"/>
    <col width="7.63" customWidth="1" style="117" min="14" max="14"/>
    <col width="7" customWidth="1" style="117" min="15" max="15"/>
    <col width="8.76" customWidth="1" style="117" min="16" max="16"/>
    <col width="11" customWidth="1" style="117" min="18" max="18"/>
    <col width="11.88" customWidth="1" style="117" min="19" max="19"/>
    <col width="12.63" customWidth="1" style="117" min="20" max="20"/>
    <col width="9.880000000000001" customWidth="1" style="117" min="21" max="21"/>
    <col width="14" customWidth="1" style="117" min="22" max="22"/>
    <col width="11.38" customWidth="1" style="117" min="23" max="23"/>
    <col width="10.63" customWidth="1" style="117" min="24" max="24"/>
    <col width="9" customWidth="1" style="117" min="25" max="25"/>
  </cols>
  <sheetData>
    <row r="1" ht="15" customHeight="1" s="118">
      <c r="A1" s="119" t="inlineStr">
        <is>
          <t>IDENTIFICADOR</t>
        </is>
      </c>
      <c r="B1" s="120" t="n"/>
      <c r="C1" s="120" t="n"/>
      <c r="D1" s="120" t="n"/>
      <c r="E1" s="120" t="n"/>
      <c r="F1" s="121" t="n"/>
      <c r="G1" s="122" t="inlineStr">
        <is>
          <t>INVENTARIO</t>
        </is>
      </c>
      <c r="H1" s="123" t="n"/>
      <c r="I1" s="123" t="n"/>
      <c r="J1" s="123" t="n"/>
      <c r="K1" s="123" t="n"/>
      <c r="L1" s="124" t="n"/>
      <c r="M1" s="125" t="inlineStr">
        <is>
          <t>PROPIEDADES</t>
        </is>
      </c>
      <c r="N1" s="126" t="n"/>
      <c r="O1" s="126" t="n"/>
      <c r="P1" s="126" t="n"/>
      <c r="Q1" s="126" t="n"/>
      <c r="R1" s="127" t="n"/>
      <c r="S1" s="128" t="inlineStr">
        <is>
          <t>SEGURIDAD</t>
        </is>
      </c>
      <c r="T1" s="129" t="n"/>
      <c r="U1" s="130" t="n"/>
      <c r="V1" s="131" t="inlineStr">
        <is>
          <t>METADATA</t>
        </is>
      </c>
      <c r="W1" s="132" t="n"/>
      <c r="X1" s="133" t="n"/>
    </row>
    <row r="2" ht="14.25" customHeight="1" s="118">
      <c r="A2" s="134" t="inlineStr">
        <is>
          <t>ID</t>
        </is>
      </c>
      <c r="B2" s="134" t="inlineStr">
        <is>
          <t>Chemical Name</t>
        </is>
      </c>
      <c r="C2" s="134" t="inlineStr">
        <is>
          <t>Common Name(s)</t>
        </is>
      </c>
      <c r="D2" s="134" t="inlineStr">
        <is>
          <t>CAS Number</t>
        </is>
      </c>
      <c r="E2" s="134" t="inlineStr">
        <is>
          <t>Formula</t>
        </is>
      </c>
      <c r="F2" s="134" t="inlineStr">
        <is>
          <t>Canonical SMILES</t>
        </is>
      </c>
      <c r="G2" s="134" t="inlineStr">
        <is>
          <t>Location</t>
        </is>
      </c>
      <c r="H2" s="134" t="inlineStr">
        <is>
          <t>Supplier</t>
        </is>
      </c>
      <c r="I2" s="134" t="inlineStr">
        <is>
          <t>Grade/Purity</t>
        </is>
      </c>
      <c r="J2" s="134" t="inlineStr">
        <is>
          <t>Lot Number</t>
        </is>
      </c>
      <c r="K2" s="134" t="inlineStr">
        <is>
          <t>Quantity</t>
        </is>
      </c>
      <c r="L2" s="134" t="inlineStr">
        <is>
          <t>Unit</t>
        </is>
      </c>
      <c r="M2" s="134" t="inlineStr">
        <is>
          <t>MW</t>
        </is>
      </c>
      <c r="N2" s="134" t="inlineStr">
        <is>
          <t>Tb</t>
        </is>
      </c>
      <c r="O2" s="134" t="inlineStr">
        <is>
          <t>Tm</t>
        </is>
      </c>
      <c r="P2" s="134" t="inlineStr">
        <is>
          <t>ρ (25°C)</t>
        </is>
      </c>
      <c r="Q2" s="134" t="inlineStr">
        <is>
          <t>η (25°C)</t>
        </is>
      </c>
      <c r="R2" s="134" t="inlineStr">
        <is>
          <t>Pᵛᵃᵖ (25°C)</t>
        </is>
      </c>
      <c r="S2" s="134" t="inlineStr">
        <is>
          <t>Flash Point</t>
        </is>
      </c>
      <c r="T2" s="134" t="inlineStr">
        <is>
          <t>Hazard Class</t>
        </is>
      </c>
      <c r="U2" s="134" t="inlineStr">
        <is>
          <t>Storage</t>
        </is>
      </c>
      <c r="V2" s="134" t="inlineStr">
        <is>
          <t>Date Received</t>
        </is>
      </c>
      <c r="W2" s="134" t="inlineStr">
        <is>
          <t>Status</t>
        </is>
      </c>
      <c r="X2" s="134" t="inlineStr">
        <is>
          <t>Notes</t>
        </is>
      </c>
      <c r="AA2" s="135" t="inlineStr">
        <is>
          <t>comp_id</t>
        </is>
      </c>
      <c r="AB2" s="135" t="inlineStr">
        <is>
          <t>MW</t>
        </is>
      </c>
      <c r="AC2" s="135" t="inlineStr">
        <is>
          <t>purity</t>
        </is>
      </c>
    </row>
    <row r="3" ht="14.25" customHeight="1" s="118">
      <c r="A3" s="136" t="inlineStr">
        <is>
          <t>Internal component code</t>
        </is>
      </c>
      <c r="B3" s="136" t="inlineStr">
        <is>
          <t>IUPAC or standard name</t>
        </is>
      </c>
      <c r="C3" s="136" t="inlineStr">
        <is>
          <t>Alternative names</t>
        </is>
      </c>
      <c r="D3" s="136" t="inlineStr">
        <is>
          <t>CAS registry number</t>
        </is>
      </c>
      <c r="E3" s="136" t="inlineStr">
        <is>
          <t>Molecular formula</t>
        </is>
      </c>
      <c r="F3" s="136" t="inlineStr">
        <is>
          <t>For modeling/databases</t>
        </is>
      </c>
      <c r="G3" s="136" t="inlineStr">
        <is>
          <t>Lab position (e.g., 3.1)</t>
        </is>
      </c>
      <c r="H3" s="136" t="inlineStr">
        <is>
          <t>Vendor name</t>
        </is>
      </c>
      <c r="I3" s="136" t="inlineStr">
        <is>
          <t>(Según batch)</t>
        </is>
      </c>
      <c r="J3" s="136" t="inlineStr">
        <is>
          <t>Batch identifier</t>
        </is>
      </c>
      <c r="K3" s="136" t="inlineStr">
        <is>
          <t>Amount available</t>
        </is>
      </c>
      <c r="L3" s="136" t="inlineStr">
        <is>
          <t>mL, g, kg, etc.</t>
        </is>
      </c>
      <c r="M3" s="136" t="inlineStr">
        <is>
          <t>g/mol</t>
        </is>
      </c>
      <c r="N3" s="136" t="inlineStr">
        <is>
          <t>°C (1 atm)</t>
        </is>
      </c>
      <c r="O3" s="136" t="inlineStr">
        <is>
          <t>°C</t>
        </is>
      </c>
      <c r="P3" s="136" t="inlineStr">
        <is>
          <t>g/cm³</t>
        </is>
      </c>
      <c r="Q3" s="136" t="inlineStr">
        <is>
          <t>mPa·s</t>
        </is>
      </c>
      <c r="R3" s="136" t="inlineStr">
        <is>
          <t>kPa</t>
        </is>
      </c>
      <c r="S3" s="136" t="inlineStr">
        <is>
          <t>°C</t>
        </is>
      </c>
      <c r="T3" s="136" t="inlineStr">
        <is>
          <t>GHS classification</t>
        </is>
      </c>
      <c r="U3" s="136" t="inlineStr">
        <is>
          <t>Requirements</t>
        </is>
      </c>
      <c r="V3" s="136" t="inlineStr">
        <is>
          <t>YYYY-MM-DD</t>
        </is>
      </c>
      <c r="W3" s="136" t="inlineStr">
        <is>
          <t>Active/Depleted</t>
        </is>
      </c>
      <c r="X3" s="136" t="inlineStr">
        <is>
          <t>Additional info</t>
        </is>
      </c>
      <c r="AA3" s="117" t="inlineStr">
        <is>
          <t>beta</t>
        </is>
      </c>
      <c r="AB3" s="117" t="n">
        <v>192.3</v>
      </c>
      <c r="AC3" s="117" t="n">
        <v>0.978</v>
      </c>
    </row>
    <row r="4" ht="14.25" customHeight="1" s="118">
      <c r="A4" s="137" t="inlineStr">
        <is>
          <t>beta</t>
        </is>
      </c>
      <c r="B4" s="137" t="inlineStr">
        <is>
          <t>b-ionone (trans)</t>
        </is>
      </c>
      <c r="C4" s="138" t="inlineStr">
        <is>
          <t>-</t>
        </is>
      </c>
      <c r="D4" s="137" t="inlineStr">
        <is>
          <t>14901-07-6</t>
        </is>
      </c>
      <c r="E4" s="139" t="inlineStr">
        <is>
          <t>C13H20O</t>
        </is>
      </c>
      <c r="F4" s="137" t="inlineStr">
        <is>
          <t>CC1=C(C(CCC1)(C)C)/C=C/C(=O)C</t>
        </is>
      </c>
      <c r="G4" s="140" t="inlineStr">
        <is>
          <t>REFRIGERADOR</t>
        </is>
      </c>
      <c r="H4" s="137" t="inlineStr">
        <is>
          <t>Sigma-Aldrich</t>
        </is>
      </c>
      <c r="I4" s="137" t="inlineStr">
        <is>
          <t>97.8% (GC)</t>
        </is>
      </c>
      <c r="J4" s="137" t="inlineStr">
        <is>
          <t>SHBL2869</t>
        </is>
      </c>
      <c r="K4" s="137" t="n">
        <v>1</v>
      </c>
      <c r="L4" s="137" t="inlineStr">
        <is>
          <t>L</t>
        </is>
      </c>
      <c r="M4" s="137" t="n">
        <v>192.3</v>
      </c>
      <c r="N4" s="137" t="n">
        <v>266</v>
      </c>
      <c r="O4" s="138" t="inlineStr">
        <is>
          <t>-</t>
        </is>
      </c>
      <c r="P4" s="141" t="n">
        <v>0.94498</v>
      </c>
      <c r="Q4" s="142" t="n"/>
      <c r="R4" s="143" t="inlineStr">
        <is>
          <t>-</t>
        </is>
      </c>
      <c r="S4" s="143" t="inlineStr">
        <is>
          <t>-</t>
        </is>
      </c>
      <c r="T4" s="143" t="inlineStr">
        <is>
          <t>-</t>
        </is>
      </c>
      <c r="U4" s="143" t="inlineStr">
        <is>
          <t>-</t>
        </is>
      </c>
      <c r="V4" s="143" t="inlineStr">
        <is>
          <t>-</t>
        </is>
      </c>
      <c r="W4" s="143" t="inlineStr">
        <is>
          <t>Active</t>
        </is>
      </c>
      <c r="X4" s="137" t="n"/>
      <c r="AA4" s="117" t="inlineStr">
        <is>
          <t>2pe</t>
        </is>
      </c>
      <c r="AB4" s="117" t="n">
        <v>122.16</v>
      </c>
      <c r="AC4" s="144" t="n">
        <v>1</v>
      </c>
    </row>
    <row r="5" ht="14.25" customHeight="1" s="118">
      <c r="A5" s="137" t="inlineStr">
        <is>
          <t>2pe</t>
        </is>
      </c>
      <c r="B5" s="137" t="inlineStr">
        <is>
          <t>2-phenylethanol</t>
        </is>
      </c>
      <c r="C5" s="138" t="inlineStr">
        <is>
          <t>-</t>
        </is>
      </c>
      <c r="D5" s="137" t="inlineStr">
        <is>
          <t>60-12-8</t>
        </is>
      </c>
      <c r="E5" s="142" t="inlineStr">
        <is>
          <t>C8H10O</t>
        </is>
      </c>
      <c r="F5" s="137" t="inlineStr">
        <is>
          <t>OCCc1ccccc1</t>
        </is>
      </c>
      <c r="G5" s="140" t="inlineStr">
        <is>
          <t>3.x</t>
        </is>
      </c>
      <c r="H5" s="137" t="inlineStr">
        <is>
          <t>Sigma-Aldrich</t>
        </is>
      </c>
      <c r="I5" s="137" t="inlineStr">
        <is>
          <t>&gt; 99.9% (GC)</t>
        </is>
      </c>
      <c r="J5" s="137" t="inlineStr">
        <is>
          <t>SDBB2371</t>
        </is>
      </c>
      <c r="K5" s="137" t="n">
        <v>1</v>
      </c>
      <c r="L5" s="137" t="inlineStr">
        <is>
          <t>L</t>
        </is>
      </c>
      <c r="M5" s="137" t="n">
        <v>122.16</v>
      </c>
      <c r="N5" s="137" t="n">
        <v>219</v>
      </c>
      <c r="O5" s="138" t="inlineStr">
        <is>
          <t>-</t>
        </is>
      </c>
      <c r="P5" s="141" t="n">
        <v>1.01985</v>
      </c>
      <c r="Q5" s="142" t="n"/>
      <c r="R5" s="143" t="inlineStr">
        <is>
          <t>-</t>
        </is>
      </c>
      <c r="S5" s="143" t="inlineStr">
        <is>
          <t>-</t>
        </is>
      </c>
      <c r="T5" s="143" t="inlineStr">
        <is>
          <t>-</t>
        </is>
      </c>
      <c r="U5" s="143" t="inlineStr">
        <is>
          <t>-</t>
        </is>
      </c>
      <c r="V5" s="143" t="inlineStr">
        <is>
          <t>-</t>
        </is>
      </c>
      <c r="W5" s="143" t="inlineStr">
        <is>
          <t>Active</t>
        </is>
      </c>
      <c r="X5" s="137" t="n"/>
      <c r="AA5" s="117" t="inlineStr">
        <is>
          <t>gamma</t>
        </is>
      </c>
      <c r="AB5" s="117" t="n">
        <v>170.25</v>
      </c>
      <c r="AC5" s="117" t="n">
        <v>0.987</v>
      </c>
    </row>
    <row r="6" ht="14.25" customHeight="1" s="118">
      <c r="A6" s="137" t="inlineStr">
        <is>
          <t>gamma</t>
        </is>
      </c>
      <c r="B6" s="137" t="inlineStr">
        <is>
          <t>g-decalactone</t>
        </is>
      </c>
      <c r="C6" s="138" t="inlineStr">
        <is>
          <t>-</t>
        </is>
      </c>
      <c r="D6" s="137" t="inlineStr">
        <is>
          <t>706-14-9</t>
        </is>
      </c>
      <c r="E6" s="142" t="inlineStr">
        <is>
          <t>C10H18O2</t>
        </is>
      </c>
      <c r="F6" s="137" t="inlineStr">
        <is>
          <t>CCCCCCC1CCC(=O)O1</t>
        </is>
      </c>
      <c r="G6" s="140" t="inlineStr">
        <is>
          <t>3.x</t>
        </is>
      </c>
      <c r="H6" s="137" t="inlineStr">
        <is>
          <t>Sigma-Aldrich</t>
        </is>
      </c>
      <c r="I6" s="137" t="inlineStr">
        <is>
          <t>98.7% (GC)</t>
        </is>
      </c>
      <c r="J6" s="137" t="inlineStr">
        <is>
          <t>SHBR4960</t>
        </is>
      </c>
      <c r="K6" s="137" t="n">
        <v>1</v>
      </c>
      <c r="L6" s="137" t="inlineStr">
        <is>
          <t>L</t>
        </is>
      </c>
      <c r="M6" s="137" t="n">
        <v>170.25</v>
      </c>
      <c r="N6" s="137" t="n">
        <v>285</v>
      </c>
      <c r="O6" s="138" t="inlineStr">
        <is>
          <t>-</t>
        </is>
      </c>
      <c r="P6" s="141" t="n">
        <v>0.95292</v>
      </c>
      <c r="Q6" s="142" t="n"/>
      <c r="R6" s="143" t="inlineStr">
        <is>
          <t>-</t>
        </is>
      </c>
      <c r="S6" s="143" t="inlineStr">
        <is>
          <t>-</t>
        </is>
      </c>
      <c r="T6" s="143" t="inlineStr">
        <is>
          <t>-</t>
        </is>
      </c>
      <c r="U6" s="143" t="inlineStr">
        <is>
          <t>-</t>
        </is>
      </c>
      <c r="V6" s="143" t="inlineStr">
        <is>
          <t>-</t>
        </is>
      </c>
      <c r="W6" s="143" t="inlineStr">
        <is>
          <t>Active</t>
        </is>
      </c>
      <c r="X6" s="137" t="n"/>
      <c r="AA6" s="117" t="inlineStr">
        <is>
          <t>2m3b2oh</t>
        </is>
      </c>
      <c r="AB6" s="117" t="n">
        <v>86.13</v>
      </c>
      <c r="AC6" s="117" t="n">
        <v>0.996</v>
      </c>
    </row>
    <row r="7" ht="14.25" customHeight="1" s="118">
      <c r="A7" s="145" t="inlineStr">
        <is>
          <t>2m3b2oh</t>
        </is>
      </c>
      <c r="B7" s="145" t="inlineStr">
        <is>
          <t>2-methyl-3-buten-2-ol</t>
        </is>
      </c>
      <c r="C7" s="145" t="inlineStr">
        <is>
          <t>2M3B2OH</t>
        </is>
      </c>
      <c r="D7" s="145" t="inlineStr">
        <is>
          <t>115-18-4</t>
        </is>
      </c>
      <c r="E7" s="145" t="inlineStr">
        <is>
          <t>C5H10O</t>
        </is>
      </c>
      <c r="F7" s="145" t="inlineStr">
        <is>
          <t>CC(C)(C=C)O</t>
        </is>
      </c>
      <c r="G7" s="146" t="inlineStr">
        <is>
          <t>REFRIGERADOR</t>
        </is>
      </c>
      <c r="H7" s="145" t="inlineStr">
        <is>
          <t>Aldrich</t>
        </is>
      </c>
      <c r="I7" s="147" t="inlineStr">
        <is>
          <t>99.6% (GC)</t>
        </is>
      </c>
      <c r="J7" s="145" t="inlineStr">
        <is>
          <t>STBH5331</t>
        </is>
      </c>
      <c r="K7" s="146" t="n">
        <v>1</v>
      </c>
      <c r="L7" s="145" t="inlineStr">
        <is>
          <t>L</t>
        </is>
      </c>
      <c r="M7" s="145" t="n">
        <v>86.13</v>
      </c>
      <c r="N7" s="145" t="n">
        <v>99</v>
      </c>
      <c r="O7" s="148" t="inlineStr">
        <is>
          <t>-</t>
        </is>
      </c>
      <c r="P7" s="149" t="n">
        <v>0.8238799999999999</v>
      </c>
      <c r="Q7" s="150" t="n"/>
      <c r="R7" s="145" t="inlineStr">
        <is>
          <t>-</t>
        </is>
      </c>
      <c r="S7" s="145" t="inlineStr">
        <is>
          <t>-</t>
        </is>
      </c>
      <c r="T7" s="145" t="inlineStr">
        <is>
          <t>-</t>
        </is>
      </c>
      <c r="U7" s="145" t="inlineStr">
        <is>
          <t>-</t>
        </is>
      </c>
      <c r="V7" s="145" t="inlineStr">
        <is>
          <t>-</t>
        </is>
      </c>
      <c r="W7" s="145" t="inlineStr">
        <is>
          <t>Active</t>
        </is>
      </c>
      <c r="X7" s="145" t="n"/>
      <c r="AA7" s="117" t="inlineStr">
        <is>
          <t>2m2boh</t>
        </is>
      </c>
      <c r="AB7" s="117" t="n">
        <v>88.15000000000001</v>
      </c>
      <c r="AC7" s="144" t="n">
        <v>1</v>
      </c>
    </row>
    <row r="8" ht="14.25" customHeight="1" s="118">
      <c r="A8" s="151" t="inlineStr">
        <is>
          <t>2m2boh</t>
        </is>
      </c>
      <c r="B8" s="151" t="inlineStr">
        <is>
          <t>2-methyl-2-butanol</t>
        </is>
      </c>
      <c r="C8" s="151" t="inlineStr">
        <is>
          <t>tert-amyl alcohol</t>
        </is>
      </c>
      <c r="D8" s="151" t="inlineStr">
        <is>
          <t>75-85-4</t>
        </is>
      </c>
      <c r="E8" s="152" t="inlineStr">
        <is>
          <t>C5H12O</t>
        </is>
      </c>
      <c r="F8" s="151" t="inlineStr">
        <is>
          <t>CCC(C)(C)O</t>
        </is>
      </c>
      <c r="G8" s="153" t="n">
        <v>3.2</v>
      </c>
      <c r="H8" s="151" t="inlineStr">
        <is>
          <t>Sigma-Aldrich</t>
        </is>
      </c>
      <c r="I8" s="154" t="inlineStr">
        <is>
          <t>&gt;99.9% (GC)</t>
        </is>
      </c>
      <c r="J8" s="151" t="inlineStr">
        <is>
          <t>SDBB4598</t>
        </is>
      </c>
      <c r="K8" s="153" t="n">
        <v>1</v>
      </c>
      <c r="L8" s="151" t="inlineStr">
        <is>
          <t>L</t>
        </is>
      </c>
      <c r="M8" s="151" t="n">
        <v>88.15000000000001</v>
      </c>
      <c r="N8" s="151" t="n">
        <v>102</v>
      </c>
      <c r="O8" s="155" t="inlineStr">
        <is>
          <t>-</t>
        </is>
      </c>
      <c r="P8" s="149" t="n">
        <v>0.80899</v>
      </c>
      <c r="Q8" s="156" t="n"/>
      <c r="R8" s="151" t="inlineStr">
        <is>
          <t>-</t>
        </is>
      </c>
      <c r="S8" s="151" t="inlineStr">
        <is>
          <t>-</t>
        </is>
      </c>
      <c r="T8" s="151" t="inlineStr">
        <is>
          <t>-</t>
        </is>
      </c>
      <c r="U8" s="151" t="inlineStr">
        <is>
          <t>-</t>
        </is>
      </c>
      <c r="V8" s="151" t="inlineStr">
        <is>
          <t>-</t>
        </is>
      </c>
      <c r="W8" s="151" t="inlineStr">
        <is>
          <t>Active</t>
        </is>
      </c>
      <c r="X8" s="151" t="n"/>
      <c r="AA8" s="117" t="inlineStr">
        <is>
          <t>hexoh</t>
        </is>
      </c>
      <c r="AB8" s="117" t="n">
        <v>102.17</v>
      </c>
      <c r="AC8" s="117" t="n">
        <v>0.998</v>
      </c>
    </row>
    <row r="9" ht="14.25" customHeight="1" s="118">
      <c r="A9" s="151" t="inlineStr">
        <is>
          <t>hexoh</t>
        </is>
      </c>
      <c r="B9" s="151" t="inlineStr">
        <is>
          <t>1-hexanol</t>
        </is>
      </c>
      <c r="C9" s="151" t="inlineStr">
        <is>
          <t>-</t>
        </is>
      </c>
      <c r="D9" s="151" t="inlineStr">
        <is>
          <t>111-27-3</t>
        </is>
      </c>
      <c r="E9" s="151" t="inlineStr">
        <is>
          <t>C6H18O</t>
        </is>
      </c>
      <c r="F9" s="151" t="inlineStr">
        <is>
          <t>CCCCCCO</t>
        </is>
      </c>
      <c r="G9" s="153" t="inlineStr">
        <is>
          <t>1.3.</t>
        </is>
      </c>
      <c r="H9" s="151" t="inlineStr">
        <is>
          <t>Sigma-Aldrich</t>
        </is>
      </c>
      <c r="I9" s="151" t="inlineStr">
        <is>
          <t>99.8% (GC)</t>
        </is>
      </c>
      <c r="J9" s="151" t="inlineStr">
        <is>
          <t>SHBC9189V</t>
        </is>
      </c>
      <c r="K9" s="153" t="n">
        <v>700</v>
      </c>
      <c r="L9" s="151" t="inlineStr">
        <is>
          <t>mL</t>
        </is>
      </c>
      <c r="M9" s="151" t="n">
        <v>102.17</v>
      </c>
      <c r="N9" s="151" t="n">
        <v>156</v>
      </c>
      <c r="O9" s="155" t="inlineStr">
        <is>
          <t>-</t>
        </is>
      </c>
      <c r="P9" s="149" t="n">
        <v>0.8188299999999999</v>
      </c>
      <c r="Q9" s="156" t="n"/>
      <c r="R9" s="151" t="inlineStr">
        <is>
          <t>-</t>
        </is>
      </c>
      <c r="S9" s="151" t="inlineStr">
        <is>
          <t>-</t>
        </is>
      </c>
      <c r="T9" s="151" t="inlineStr">
        <is>
          <t>-</t>
        </is>
      </c>
      <c r="U9" s="151" t="inlineStr">
        <is>
          <t>-</t>
        </is>
      </c>
      <c r="V9" s="151" t="inlineStr">
        <is>
          <t>-</t>
        </is>
      </c>
      <c r="W9" s="151" t="inlineStr">
        <is>
          <t>Active</t>
        </is>
      </c>
      <c r="X9" s="151" t="n"/>
      <c r="AA9" s="117" t="inlineStr">
        <is>
          <t>octoh</t>
        </is>
      </c>
      <c r="AB9" s="117" t="n">
        <v>130.23</v>
      </c>
      <c r="AC9" s="117" t="n">
        <v>0.997</v>
      </c>
    </row>
    <row r="10" ht="14.25" customHeight="1" s="118">
      <c r="A10" s="151" t="inlineStr">
        <is>
          <t>octoh</t>
        </is>
      </c>
      <c r="B10" s="151" t="inlineStr">
        <is>
          <t>1-octanol</t>
        </is>
      </c>
      <c r="C10" s="151" t="inlineStr">
        <is>
          <t>-</t>
        </is>
      </c>
      <c r="D10" s="151" t="inlineStr">
        <is>
          <t>111-87-5</t>
        </is>
      </c>
      <c r="E10" s="151" t="inlineStr">
        <is>
          <t>C8H18O</t>
        </is>
      </c>
      <c r="F10" s="151" t="inlineStr">
        <is>
          <t>CCCCCCCCO</t>
        </is>
      </c>
      <c r="G10" s="153" t="n">
        <v>1.2</v>
      </c>
      <c r="H10" s="151" t="inlineStr">
        <is>
          <t>Sigma-Aldrich</t>
        </is>
      </c>
      <c r="I10" s="151" t="inlineStr">
        <is>
          <t>99.7% (GC)</t>
        </is>
      </c>
      <c r="J10" s="151" t="inlineStr">
        <is>
          <t>SDBB1117</t>
        </is>
      </c>
      <c r="K10" s="153" t="inlineStr">
        <is>
          <t>200?</t>
        </is>
      </c>
      <c r="L10" s="151" t="inlineStr">
        <is>
          <t>mL</t>
        </is>
      </c>
      <c r="M10" s="151" t="n">
        <v>130.23</v>
      </c>
      <c r="N10" s="151" t="n">
        <v>195</v>
      </c>
      <c r="O10" s="155" t="inlineStr">
        <is>
          <t>-</t>
        </is>
      </c>
      <c r="P10" s="157" t="n">
        <v>0.82518</v>
      </c>
      <c r="Q10" s="156" t="n"/>
      <c r="R10" s="151" t="inlineStr">
        <is>
          <t>-</t>
        </is>
      </c>
      <c r="S10" s="151" t="inlineStr">
        <is>
          <t>-</t>
        </is>
      </c>
      <c r="T10" s="151" t="inlineStr">
        <is>
          <t>-</t>
        </is>
      </c>
      <c r="U10" s="151" t="inlineStr">
        <is>
          <t>-</t>
        </is>
      </c>
      <c r="V10" s="151" t="inlineStr">
        <is>
          <t>-</t>
        </is>
      </c>
      <c r="W10" s="151" t="inlineStr">
        <is>
          <t>Active</t>
        </is>
      </c>
      <c r="X10" s="151" t="n"/>
      <c r="AA10" s="117" t="inlineStr">
        <is>
          <t>mibk</t>
        </is>
      </c>
      <c r="AB10" s="117" t="n">
        <v>100.16</v>
      </c>
      <c r="AC10" s="117" t="n">
        <v>0.998</v>
      </c>
    </row>
    <row r="11" ht="14.25" customHeight="1" s="118">
      <c r="A11" s="151" t="inlineStr">
        <is>
          <t>mibk</t>
        </is>
      </c>
      <c r="B11" s="151" t="inlineStr">
        <is>
          <t>methyl isobutyl ketone</t>
        </is>
      </c>
      <c r="C11" s="151" t="inlineStr">
        <is>
          <t>MIBK</t>
        </is>
      </c>
      <c r="D11" s="151" t="inlineStr">
        <is>
          <t>108-10-1</t>
        </is>
      </c>
      <c r="E11" s="152" t="inlineStr">
        <is>
          <t>C6H12O</t>
        </is>
      </c>
      <c r="F11" s="151" t="inlineStr">
        <is>
          <t>CC(C)CC(=O)C</t>
        </is>
      </c>
      <c r="G11" s="153" t="n">
        <v>2.4</v>
      </c>
      <c r="H11" s="151" t="inlineStr">
        <is>
          <t>Merck Millipor</t>
        </is>
      </c>
      <c r="I11" s="151" t="inlineStr">
        <is>
          <t>99.8% (GC)</t>
        </is>
      </c>
      <c r="J11" s="151" t="inlineStr">
        <is>
          <t>K51239346927</t>
        </is>
      </c>
      <c r="K11" s="153" t="inlineStr">
        <is>
          <t>300?</t>
        </is>
      </c>
      <c r="L11" s="151" t="inlineStr">
        <is>
          <t>mL</t>
        </is>
      </c>
      <c r="M11" s="151" t="n">
        <v>100.16</v>
      </c>
      <c r="N11" s="151" t="n">
        <v>115</v>
      </c>
      <c r="O11" s="155" t="inlineStr">
        <is>
          <t>-</t>
        </is>
      </c>
      <c r="P11" s="157" t="n">
        <v>0.80143</v>
      </c>
      <c r="Q11" s="156" t="n"/>
      <c r="R11" s="151" t="inlineStr">
        <is>
          <t>-</t>
        </is>
      </c>
      <c r="S11" s="151" t="inlineStr">
        <is>
          <t>-</t>
        </is>
      </c>
      <c r="T11" s="151" t="inlineStr">
        <is>
          <t>-</t>
        </is>
      </c>
      <c r="U11" s="151" t="inlineStr">
        <is>
          <t>-</t>
        </is>
      </c>
      <c r="V11" s="151" t="inlineStr">
        <is>
          <t>-</t>
        </is>
      </c>
      <c r="W11" s="151" t="inlineStr">
        <is>
          <t>Active</t>
        </is>
      </c>
      <c r="X11" s="151" t="n"/>
      <c r="AA11" s="117" t="inlineStr">
        <is>
          <t>2octanone</t>
        </is>
      </c>
      <c r="AB11" s="117" t="n">
        <v>128.21</v>
      </c>
      <c r="AC11" s="117" t="n">
        <v>0.988</v>
      </c>
    </row>
    <row r="12" ht="14.25" customHeight="1" s="118">
      <c r="A12" s="151" t="inlineStr">
        <is>
          <t>2octanone</t>
        </is>
      </c>
      <c r="B12" s="151" t="inlineStr">
        <is>
          <t>2-octanone</t>
        </is>
      </c>
      <c r="C12" s="151" t="inlineStr">
        <is>
          <t>Hexyl methyl ketone</t>
        </is>
      </c>
      <c r="D12" s="151" t="inlineStr">
        <is>
          <t>111-13-7</t>
        </is>
      </c>
      <c r="E12" s="152" t="inlineStr">
        <is>
          <t>C8H16O</t>
        </is>
      </c>
      <c r="F12" s="151" t="inlineStr">
        <is>
          <t>CCCCCCC(=O)C</t>
        </is>
      </c>
      <c r="G12" s="153" t="n">
        <v>3.2</v>
      </c>
      <c r="H12" s="151" t="inlineStr">
        <is>
          <t>Sigma-Aldrich</t>
        </is>
      </c>
      <c r="I12" s="158" t="inlineStr">
        <is>
          <t>98.8% (GC)</t>
        </is>
      </c>
      <c r="J12" s="151" t="inlineStr">
        <is>
          <t>SHBQ4121</t>
        </is>
      </c>
      <c r="K12" s="153" t="inlineStr">
        <is>
          <t>200?</t>
        </is>
      </c>
      <c r="L12" s="151" t="inlineStr">
        <is>
          <t>mL</t>
        </is>
      </c>
      <c r="M12" s="151" t="n">
        <v>128.21</v>
      </c>
      <c r="N12" s="151" t="n">
        <v>173</v>
      </c>
      <c r="O12" s="155" t="inlineStr">
        <is>
          <t>-</t>
        </is>
      </c>
      <c r="P12" s="149" t="n">
        <v>0.81906</v>
      </c>
      <c r="Q12" s="156" t="n"/>
      <c r="R12" s="151" t="inlineStr">
        <is>
          <t>-</t>
        </is>
      </c>
      <c r="S12" s="151" t="inlineStr">
        <is>
          <t>-</t>
        </is>
      </c>
      <c r="T12" s="151" t="inlineStr">
        <is>
          <t>-</t>
        </is>
      </c>
      <c r="U12" s="151" t="inlineStr">
        <is>
          <t>-</t>
        </is>
      </c>
      <c r="V12" s="151" t="inlineStr">
        <is>
          <t>-</t>
        </is>
      </c>
      <c r="W12" s="151" t="inlineStr">
        <is>
          <t>Active</t>
        </is>
      </c>
      <c r="X12" s="151" t="n"/>
      <c r="AA12" s="117" t="inlineStr">
        <is>
          <t>thymol</t>
        </is>
      </c>
      <c r="AB12" s="117" t="n">
        <v>150.22</v>
      </c>
      <c r="AC12" s="117" t="n">
        <v>0.999</v>
      </c>
    </row>
    <row r="13" ht="14.25" customHeight="1" s="118">
      <c r="A13" s="159" t="inlineStr">
        <is>
          <t>thymol</t>
        </is>
      </c>
      <c r="B13" s="159" t="inlineStr">
        <is>
          <t>Thymol</t>
        </is>
      </c>
      <c r="C13" s="159" t="inlineStr">
        <is>
          <t>-</t>
        </is>
      </c>
      <c r="D13" s="159" t="inlineStr">
        <is>
          <t>89-83-8</t>
        </is>
      </c>
      <c r="E13" s="159" t="inlineStr">
        <is>
          <t>C10H14O</t>
        </is>
      </c>
      <c r="F13" s="159" t="inlineStr">
        <is>
          <t>Cc1ccc(C(C)C)c(O)c1</t>
        </is>
      </c>
      <c r="G13" s="160" t="n">
        <v>1.2</v>
      </c>
      <c r="H13" s="159" t="inlineStr">
        <is>
          <t>Sigma-Aldrich</t>
        </is>
      </c>
      <c r="I13" s="159" t="inlineStr">
        <is>
          <t>&gt;99.9% (GC)</t>
        </is>
      </c>
      <c r="J13" s="159" t="inlineStr">
        <is>
          <t>SHBQ5769</t>
        </is>
      </c>
      <c r="K13" s="160" t="n">
        <v>800</v>
      </c>
      <c r="L13" s="159" t="inlineStr">
        <is>
          <t>g</t>
        </is>
      </c>
      <c r="M13" s="159" t="n">
        <v>150.22</v>
      </c>
      <c r="N13" s="159" t="n">
        <v>233</v>
      </c>
      <c r="O13" s="159" t="inlineStr">
        <is>
          <t>-</t>
        </is>
      </c>
      <c r="P13" s="161" t="n">
        <v>0.96</v>
      </c>
      <c r="Q13" s="159" t="n"/>
      <c r="R13" s="159" t="inlineStr">
        <is>
          <t>-</t>
        </is>
      </c>
      <c r="S13" s="159" t="inlineStr">
        <is>
          <t>-</t>
        </is>
      </c>
      <c r="T13" s="159" t="inlineStr">
        <is>
          <t>-</t>
        </is>
      </c>
      <c r="U13" s="159" t="inlineStr">
        <is>
          <t>-</t>
        </is>
      </c>
      <c r="V13" s="159" t="inlineStr">
        <is>
          <t>-</t>
        </is>
      </c>
      <c r="W13" s="159" t="inlineStr">
        <is>
          <t>Active</t>
        </is>
      </c>
      <c r="X13" s="159" t="n"/>
      <c r="AA13" s="117" t="inlineStr">
        <is>
          <t>carvone</t>
        </is>
      </c>
      <c r="AB13" s="117" t="n">
        <v>150.22</v>
      </c>
      <c r="AC13" s="117" t="n">
        <v>0.992</v>
      </c>
    </row>
    <row r="14" ht="14.25" customHeight="1" s="118">
      <c r="A14" s="159" t="inlineStr">
        <is>
          <t>carvone</t>
        </is>
      </c>
      <c r="B14" s="159" t="inlineStr">
        <is>
          <t>L-Carvone</t>
        </is>
      </c>
      <c r="C14" s="159" t="inlineStr">
        <is>
          <t>(-)-Carvone</t>
        </is>
      </c>
      <c r="D14" s="159" t="inlineStr">
        <is>
          <t>6485-40-1</t>
        </is>
      </c>
      <c r="E14" s="162" t="inlineStr">
        <is>
          <t>C10H14O</t>
        </is>
      </c>
      <c r="F14" s="163" t="inlineStr">
        <is>
          <t>C=C(C)[C@@H]1CC=C(C)C(=O)C1</t>
        </is>
      </c>
      <c r="G14" s="164" t="n">
        <v>1.2</v>
      </c>
      <c r="H14" s="159" t="inlineStr">
        <is>
          <t>Sigma-Aldrich</t>
        </is>
      </c>
      <c r="I14" s="159" t="inlineStr">
        <is>
          <t>99.2% (GC)</t>
        </is>
      </c>
      <c r="J14" s="159" t="inlineStr">
        <is>
          <t>SHBQ8402</t>
        </is>
      </c>
      <c r="K14" s="160" t="n">
        <v>1</v>
      </c>
      <c r="L14" s="159" t="inlineStr">
        <is>
          <t>kg</t>
        </is>
      </c>
      <c r="M14" s="159" t="n">
        <v>150.22</v>
      </c>
      <c r="N14" s="159" t="n">
        <v>226</v>
      </c>
      <c r="O14" s="159" t="inlineStr">
        <is>
          <t>-</t>
        </is>
      </c>
      <c r="P14" s="165" t="n">
        <v>0.96</v>
      </c>
      <c r="Q14" s="159" t="n"/>
      <c r="R14" s="159" t="inlineStr">
        <is>
          <t>-</t>
        </is>
      </c>
      <c r="S14" s="159" t="inlineStr">
        <is>
          <t>-</t>
        </is>
      </c>
      <c r="T14" s="159" t="inlineStr">
        <is>
          <t>-</t>
        </is>
      </c>
      <c r="U14" s="159" t="inlineStr">
        <is>
          <t>-</t>
        </is>
      </c>
      <c r="V14" s="159" t="inlineStr">
        <is>
          <t>-</t>
        </is>
      </c>
      <c r="W14" s="159" t="inlineStr">
        <is>
          <t>Active</t>
        </is>
      </c>
      <c r="X14" s="159" t="n"/>
      <c r="AA14" s="117" t="inlineStr">
        <is>
          <t>camphor</t>
        </is>
      </c>
      <c r="AB14" s="117" t="n">
        <v>152.24</v>
      </c>
      <c r="AC14" s="117" t="n">
        <v>0.969</v>
      </c>
    </row>
    <row r="15" ht="14.25" customHeight="1" s="118">
      <c r="A15" s="159" t="inlineStr">
        <is>
          <t>camphor</t>
        </is>
      </c>
      <c r="B15" s="159" t="inlineStr">
        <is>
          <t>DL-Camphor</t>
        </is>
      </c>
      <c r="C15" s="159" t="inlineStr">
        <is>
          <t>-</t>
        </is>
      </c>
      <c r="D15" s="159" t="inlineStr">
        <is>
          <t>76-22-2</t>
        </is>
      </c>
      <c r="E15" s="166" t="inlineStr">
        <is>
          <t>C10H16O</t>
        </is>
      </c>
      <c r="F15" s="159" t="inlineStr">
        <is>
          <t>CC1(C)C2CCC1(C)C(=O)C2</t>
        </is>
      </c>
      <c r="G15" s="160" t="n">
        <v>3.2</v>
      </c>
      <c r="H15" s="167" t="inlineStr">
        <is>
          <t>Sigma-Aldrich</t>
        </is>
      </c>
      <c r="I15" s="159" t="inlineStr">
        <is>
          <t>96.9% (GC)</t>
        </is>
      </c>
      <c r="J15" s="159" t="inlineStr">
        <is>
          <t>SDBB0718</t>
        </is>
      </c>
      <c r="K15" s="160" t="n">
        <v>250</v>
      </c>
      <c r="L15" s="159" t="inlineStr">
        <is>
          <t>g</t>
        </is>
      </c>
      <c r="M15" s="159" t="n">
        <v>152.24</v>
      </c>
      <c r="N15" s="159" t="n">
        <v>210</v>
      </c>
      <c r="O15" s="159" t="inlineStr">
        <is>
          <t>-</t>
        </is>
      </c>
      <c r="P15" s="165" t="n">
        <v>0.99</v>
      </c>
      <c r="Q15" s="159" t="n"/>
      <c r="R15" s="159" t="inlineStr">
        <is>
          <t>-</t>
        </is>
      </c>
      <c r="S15" s="159" t="inlineStr">
        <is>
          <t>-</t>
        </is>
      </c>
      <c r="T15" s="159" t="inlineStr">
        <is>
          <t>-</t>
        </is>
      </c>
      <c r="U15" s="159" t="inlineStr">
        <is>
          <t>-</t>
        </is>
      </c>
      <c r="V15" s="159" t="inlineStr">
        <is>
          <t>-</t>
        </is>
      </c>
      <c r="W15" s="159" t="inlineStr">
        <is>
          <t>Active</t>
        </is>
      </c>
      <c r="X15" s="159" t="n"/>
      <c r="AA15" s="117" t="inlineStr">
        <is>
          <t>geraniol</t>
        </is>
      </c>
      <c r="AB15" s="117" t="n">
        <v>154.25</v>
      </c>
      <c r="AC15" s="117" t="n">
        <v>0.989</v>
      </c>
    </row>
    <row r="16" ht="14.25" customHeight="1" s="118">
      <c r="A16" s="159" t="inlineStr">
        <is>
          <t>geraniol</t>
        </is>
      </c>
      <c r="B16" s="159" t="inlineStr">
        <is>
          <t>Geraniol</t>
        </is>
      </c>
      <c r="C16" s="159" t="inlineStr">
        <is>
          <t>-</t>
        </is>
      </c>
      <c r="D16" s="159" t="inlineStr">
        <is>
          <t>106-24-1</t>
        </is>
      </c>
      <c r="E16" s="166" t="inlineStr">
        <is>
          <t>C10H18O</t>
        </is>
      </c>
      <c r="F16" s="159" t="inlineStr">
        <is>
          <t>CC(C)=CCC/C(C)=C/CO</t>
        </is>
      </c>
      <c r="G16" s="160" t="n">
        <v>2.3</v>
      </c>
      <c r="H16" s="167" t="inlineStr">
        <is>
          <t>Sigma-Aldrich</t>
        </is>
      </c>
      <c r="I16" s="159" t="inlineStr">
        <is>
          <t>98.9% (GC)</t>
        </is>
      </c>
      <c r="J16" s="159" t="inlineStr">
        <is>
          <t>SHBP7700</t>
        </is>
      </c>
      <c r="K16" s="160" t="n">
        <v>700</v>
      </c>
      <c r="L16" s="159" t="inlineStr">
        <is>
          <t>g</t>
        </is>
      </c>
      <c r="M16" s="159" t="n">
        <v>154.25</v>
      </c>
      <c r="N16" s="159" t="n">
        <v>229</v>
      </c>
      <c r="O16" s="159" t="inlineStr">
        <is>
          <t>-</t>
        </is>
      </c>
      <c r="P16" s="159" t="n">
        <v>0.889</v>
      </c>
      <c r="Q16" s="159" t="n"/>
      <c r="R16" s="159" t="inlineStr">
        <is>
          <t>-</t>
        </is>
      </c>
      <c r="S16" s="159" t="inlineStr">
        <is>
          <t>-</t>
        </is>
      </c>
      <c r="T16" s="159" t="inlineStr">
        <is>
          <t>-</t>
        </is>
      </c>
      <c r="U16" s="159" t="inlineStr">
        <is>
          <t>-</t>
        </is>
      </c>
      <c r="V16" s="159" t="inlineStr">
        <is>
          <t>-</t>
        </is>
      </c>
      <c r="W16" s="159" t="inlineStr">
        <is>
          <t>Active</t>
        </is>
      </c>
      <c r="X16" s="159" t="n"/>
      <c r="AA16" s="117" t="inlineStr">
        <is>
          <t>carvacrol</t>
        </is>
      </c>
      <c r="AB16" s="117" t="n">
        <v>150.22</v>
      </c>
      <c r="AC16" s="117" t="n">
        <v>0.997</v>
      </c>
    </row>
    <row r="17" ht="14.25" customHeight="1" s="118">
      <c r="A17" s="159" t="inlineStr">
        <is>
          <t>carvacrol</t>
        </is>
      </c>
      <c r="B17" s="159" t="inlineStr">
        <is>
          <t>Carvacrol</t>
        </is>
      </c>
      <c r="C17" s="159" t="inlineStr">
        <is>
          <t>-</t>
        </is>
      </c>
      <c r="D17" s="159" t="inlineStr">
        <is>
          <t>499-75-2</t>
        </is>
      </c>
      <c r="E17" s="166" t="inlineStr">
        <is>
          <t>C10H14O</t>
        </is>
      </c>
      <c r="F17" s="159" t="inlineStr">
        <is>
          <t>Cc1ccc(C(C)C)cc1O</t>
        </is>
      </c>
      <c r="G17" s="160" t="n">
        <v>2.1</v>
      </c>
      <c r="H17" s="167" t="inlineStr">
        <is>
          <t>Sigma-Aldrich</t>
        </is>
      </c>
      <c r="I17" s="159" t="inlineStr">
        <is>
          <t>99.7% (GC)</t>
        </is>
      </c>
      <c r="J17" s="159" t="inlineStr">
        <is>
          <t>SHBQ9085</t>
        </is>
      </c>
      <c r="K17" s="160" t="inlineStr">
        <is>
          <t>400?</t>
        </is>
      </c>
      <c r="L17" s="159" t="inlineStr">
        <is>
          <t>mL</t>
        </is>
      </c>
      <c r="M17" s="159" t="n">
        <v>150.22</v>
      </c>
      <c r="N17" s="159" t="n">
        <v>239</v>
      </c>
      <c r="O17" s="159" t="inlineStr">
        <is>
          <t>-</t>
        </is>
      </c>
      <c r="P17" s="159" t="n">
        <v>0.977</v>
      </c>
      <c r="Q17" s="159" t="n"/>
      <c r="R17" s="159" t="inlineStr">
        <is>
          <t>-</t>
        </is>
      </c>
      <c r="S17" s="159" t="inlineStr">
        <is>
          <t>-</t>
        </is>
      </c>
      <c r="T17" s="159" t="inlineStr">
        <is>
          <t>-</t>
        </is>
      </c>
      <c r="U17" s="159" t="inlineStr">
        <is>
          <t>-</t>
        </is>
      </c>
      <c r="V17" s="159" t="inlineStr">
        <is>
          <t>-</t>
        </is>
      </c>
      <c r="W17" s="159" t="inlineStr">
        <is>
          <t>Active</t>
        </is>
      </c>
      <c r="X17" s="159" t="n"/>
      <c r="AA17" s="117" t="inlineStr">
        <is>
          <t>eugenol</t>
        </is>
      </c>
      <c r="AB17" s="117" t="n">
        <v>164.2</v>
      </c>
      <c r="AC17" s="117" t="n">
        <v>0.992</v>
      </c>
    </row>
    <row r="18" ht="14.25" customHeight="1" s="118">
      <c r="A18" s="159" t="inlineStr">
        <is>
          <t>eugenol</t>
        </is>
      </c>
      <c r="B18" s="159" t="inlineStr">
        <is>
          <t>Eugenol</t>
        </is>
      </c>
      <c r="C18" s="159" t="inlineStr">
        <is>
          <t>-</t>
        </is>
      </c>
      <c r="D18" s="159" t="inlineStr">
        <is>
          <t>97-53-0</t>
        </is>
      </c>
      <c r="E18" s="162" t="inlineStr">
        <is>
          <t>C10H12O2</t>
        </is>
      </c>
      <c r="F18" s="159" t="inlineStr">
        <is>
          <t>C=CCc1ccc(O)c(OC)c1</t>
        </is>
      </c>
      <c r="G18" s="160" t="n">
        <v>1.3</v>
      </c>
      <c r="H18" s="167" t="inlineStr">
        <is>
          <t>Sigma-Aldrich</t>
        </is>
      </c>
      <c r="I18" s="159" t="inlineStr">
        <is>
          <t>99.2% (GC)</t>
        </is>
      </c>
      <c r="J18" s="159" t="inlineStr">
        <is>
          <t>SHBM4053</t>
        </is>
      </c>
      <c r="K18" s="160" t="inlineStr">
        <is>
          <t>500?</t>
        </is>
      </c>
      <c r="L18" s="159" t="inlineStr">
        <is>
          <t>mL</t>
        </is>
      </c>
      <c r="M18" s="159" t="n">
        <v>164.2</v>
      </c>
      <c r="N18" s="159" t="n">
        <v>215</v>
      </c>
      <c r="O18" s="159" t="inlineStr">
        <is>
          <t>-</t>
        </is>
      </c>
      <c r="P18" s="165" t="n">
        <v>1.06</v>
      </c>
      <c r="Q18" s="159" t="n"/>
      <c r="R18" s="159" t="inlineStr">
        <is>
          <t>-</t>
        </is>
      </c>
      <c r="S18" s="159" t="inlineStr">
        <is>
          <t>-</t>
        </is>
      </c>
      <c r="T18" s="159" t="inlineStr">
        <is>
          <t>-</t>
        </is>
      </c>
      <c r="U18" s="159" t="inlineStr">
        <is>
          <t>-</t>
        </is>
      </c>
      <c r="V18" s="159" t="inlineStr">
        <is>
          <t>-</t>
        </is>
      </c>
      <c r="W18" s="159" t="inlineStr">
        <is>
          <t>Active</t>
        </is>
      </c>
      <c r="X18" s="159" t="n"/>
    </row>
    <row r="19" ht="14.25" customHeight="1" s="118">
      <c r="A19" s="168" t="inlineStr">
        <is>
          <t>h2o</t>
        </is>
      </c>
      <c r="B19" s="168" t="inlineStr">
        <is>
          <t>Water</t>
        </is>
      </c>
      <c r="C19" s="168" t="inlineStr">
        <is>
          <t>-</t>
        </is>
      </c>
      <c r="D19" s="168" t="inlineStr">
        <is>
          <t>-</t>
        </is>
      </c>
      <c r="E19" s="168" t="inlineStr">
        <is>
          <t>-</t>
        </is>
      </c>
      <c r="F19" s="169" t="n"/>
      <c r="G19" s="170" t="inlineStr">
        <is>
          <t>-</t>
        </is>
      </c>
      <c r="H19" s="168" t="inlineStr">
        <is>
          <t>-</t>
        </is>
      </c>
      <c r="I19" s="168" t="inlineStr">
        <is>
          <t>HPLC</t>
        </is>
      </c>
      <c r="J19" s="168" t="inlineStr">
        <is>
          <t>-</t>
        </is>
      </c>
      <c r="K19" s="171" t="inlineStr">
        <is>
          <t>-</t>
        </is>
      </c>
      <c r="L19" s="168" t="inlineStr">
        <is>
          <t>-</t>
        </is>
      </c>
      <c r="M19" s="168" t="n">
        <v>18.02</v>
      </c>
      <c r="N19" s="168" t="n">
        <v>100</v>
      </c>
      <c r="O19" s="168" t="inlineStr">
        <is>
          <t>-</t>
        </is>
      </c>
      <c r="P19" s="168" t="n"/>
      <c r="Q19" s="168" t="n"/>
      <c r="R19" s="168" t="inlineStr">
        <is>
          <t>-</t>
        </is>
      </c>
      <c r="S19" s="168" t="inlineStr">
        <is>
          <t>-</t>
        </is>
      </c>
      <c r="T19" s="168" t="inlineStr">
        <is>
          <t>-</t>
        </is>
      </c>
      <c r="U19" s="168" t="inlineStr">
        <is>
          <t>-</t>
        </is>
      </c>
      <c r="V19" s="168" t="inlineStr">
        <is>
          <t>-</t>
        </is>
      </c>
      <c r="W19" s="168" t="inlineStr">
        <is>
          <t>Active</t>
        </is>
      </c>
      <c r="X19" s="168" t="n"/>
    </row>
    <row r="20" ht="14.25" customHeight="1" s="118"/>
    <row r="21" ht="14.25" customHeight="1" s="118">
      <c r="A21" s="172" t="n"/>
      <c r="B21" s="117" t="inlineStr">
        <is>
          <t>Aroma (soluto)</t>
        </is>
      </c>
    </row>
    <row r="22" ht="15" customHeight="1" s="118">
      <c r="A22" s="173" t="n"/>
      <c r="B22" s="174" t="inlineStr">
        <is>
          <t>Solventes</t>
        </is>
      </c>
    </row>
    <row r="23" ht="14.25" customHeight="1" s="118">
      <c r="A23" s="175" t="n"/>
      <c r="B23" s="117" t="inlineStr">
        <is>
          <t>DESs</t>
        </is>
      </c>
    </row>
    <row r="24" ht="15" customHeight="1" s="118">
      <c r="A24" s="176" t="n"/>
      <c r="B24" s="174" t="inlineStr">
        <is>
          <t>Agua (diluyente)</t>
        </is>
      </c>
    </row>
  </sheetData>
  <printOptions horizontalCentered="0" verticalCentered="0" headings="0" gridLines="0" gridLinesSet="1"/>
  <pageMargins left="0.7" right="0.7" top="1.14375" bottom="1.14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B2:N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0" activeCellId="0" sqref="E20"/>
    </sheetView>
  </sheetViews>
  <sheetFormatPr baseColWidth="8" defaultColWidth="8.50390625" defaultRowHeight="12.75" customHeight="0" zeroHeight="0" outlineLevelRow="0"/>
  <cols>
    <col width="9" customWidth="1" style="117" min="1" max="1"/>
    <col width="10" customWidth="1" style="117" min="2" max="3"/>
    <col width="9" customWidth="1" style="117" min="4" max="4"/>
    <col width="11" customWidth="1" style="117" min="5" max="5"/>
    <col width="7.25" customWidth="1" style="117" min="6" max="6"/>
    <col width="14" customWidth="1" style="117" min="7" max="7"/>
    <col width="10" customWidth="1" style="117" min="8" max="9"/>
    <col width="11" customWidth="1" style="117" min="10" max="10"/>
    <col width="8" customWidth="1" style="117" min="11" max="11"/>
    <col width="14" customWidth="1" style="117" min="12" max="12"/>
    <col width="12" customWidth="1" style="117" min="13" max="13"/>
  </cols>
  <sheetData>
    <row r="1" ht="14.25" customHeight="1" s="118"/>
    <row r="2" ht="14.25" customHeight="1" s="118">
      <c r="B2" s="177" t="inlineStr">
        <is>
          <t>LLE con agua</t>
        </is>
      </c>
      <c r="C2" s="178" t="inlineStr">
        <is>
          <t>ThyCar</t>
        </is>
      </c>
      <c r="D2" s="177" t="inlineStr">
        <is>
          <t>ThyGer</t>
        </is>
      </c>
      <c r="E2" s="177" t="inlineStr">
        <is>
          <t>ThyCarvon</t>
        </is>
      </c>
      <c r="F2" s="178" t="inlineStr">
        <is>
          <t>ThyEug</t>
        </is>
      </c>
      <c r="G2" s="179" t="inlineStr">
        <is>
          <t>CamCar</t>
        </is>
      </c>
      <c r="H2" s="177" t="inlineStr">
        <is>
          <t>CamGer</t>
        </is>
      </c>
      <c r="I2" s="177" t="inlineStr">
        <is>
          <t>CamCarvac</t>
        </is>
      </c>
      <c r="J2" s="177" t="inlineStr">
        <is>
          <t>CamEug</t>
        </is>
      </c>
    </row>
    <row r="3" ht="15" customHeight="1" s="118">
      <c r="B3" s="180" t="inlineStr">
        <is>
          <t>b-ionona</t>
        </is>
      </c>
      <c r="C3" s="181" t="n"/>
      <c r="D3" s="181" t="n"/>
      <c r="E3" s="181" t="n"/>
      <c r="F3" s="181" t="n"/>
      <c r="G3" s="182" t="n"/>
      <c r="H3" s="181" t="n"/>
      <c r="I3" s="181" t="n"/>
      <c r="J3" s="181" t="n"/>
      <c r="L3" s="117" t="inlineStr">
        <is>
          <t>HBA</t>
        </is>
      </c>
      <c r="M3" s="117" t="inlineStr">
        <is>
          <t>HBD</t>
        </is>
      </c>
    </row>
    <row r="4" ht="14.25" customHeight="1" s="118">
      <c r="B4" s="177" t="inlineStr">
        <is>
          <t>2-phenylethanol</t>
        </is>
      </c>
      <c r="C4" s="177" t="n"/>
      <c r="D4" s="177" t="n"/>
      <c r="E4" s="177" t="n"/>
      <c r="F4" s="177" t="n"/>
      <c r="G4" s="179" t="n"/>
      <c r="H4" s="177" t="n"/>
      <c r="I4" s="177" t="n"/>
      <c r="J4" s="177" t="n"/>
      <c r="K4" s="117" t="n">
        <v>1</v>
      </c>
      <c r="L4" s="117" t="inlineStr">
        <is>
          <t>Thymol</t>
        </is>
      </c>
      <c r="M4" s="117" t="inlineStr">
        <is>
          <t>Carvone</t>
        </is>
      </c>
      <c r="N4" s="117" t="n">
        <v>1</v>
      </c>
    </row>
    <row r="5" ht="15" customHeight="1" s="118">
      <c r="B5" s="180" t="inlineStr">
        <is>
          <t>g-decalactone</t>
        </is>
      </c>
      <c r="C5" s="181" t="n"/>
      <c r="D5" s="181" t="n"/>
      <c r="E5" s="181" t="n"/>
      <c r="F5" s="181" t="n"/>
      <c r="G5" s="182" t="n"/>
      <c r="H5" s="181" t="n"/>
      <c r="I5" s="181" t="n"/>
      <c r="J5" s="181" t="n"/>
      <c r="K5" s="117" t="n">
        <v>2</v>
      </c>
      <c r="L5" s="117" t="inlineStr">
        <is>
          <t>Camphor</t>
        </is>
      </c>
      <c r="M5" s="117" t="inlineStr">
        <is>
          <t>Geraniol</t>
        </is>
      </c>
      <c r="N5" s="117" t="n">
        <v>2</v>
      </c>
    </row>
    <row r="6" ht="14.25" customHeight="1" s="118">
      <c r="B6" s="174" t="n"/>
      <c r="M6" s="117" t="inlineStr">
        <is>
          <t>Carvacrol</t>
        </is>
      </c>
      <c r="N6" s="117" t="n">
        <v>3</v>
      </c>
    </row>
    <row r="7" ht="14.25" customHeight="1" s="118">
      <c r="B7" s="177" t="inlineStr">
        <is>
          <t>VLE</t>
        </is>
      </c>
      <c r="C7" s="178" t="inlineStr">
        <is>
          <t>ThyCar</t>
        </is>
      </c>
      <c r="D7" s="177" t="inlineStr">
        <is>
          <t>ThyGer</t>
        </is>
      </c>
      <c r="E7" s="177" t="inlineStr">
        <is>
          <t>ThyCarvon</t>
        </is>
      </c>
      <c r="F7" s="178" t="inlineStr">
        <is>
          <t>ThyEug</t>
        </is>
      </c>
      <c r="G7" s="179" t="inlineStr">
        <is>
          <t>CamCar</t>
        </is>
      </c>
      <c r="H7" s="177" t="inlineStr">
        <is>
          <t>CamGer</t>
        </is>
      </c>
      <c r="I7" s="177" t="inlineStr">
        <is>
          <t>CamCarvac</t>
        </is>
      </c>
      <c r="J7" s="177" t="inlineStr">
        <is>
          <t>CamEug</t>
        </is>
      </c>
      <c r="M7" s="117" t="inlineStr">
        <is>
          <t>Eugenol</t>
        </is>
      </c>
      <c r="N7" s="117" t="n">
        <v>4</v>
      </c>
    </row>
    <row r="8" ht="15" customHeight="1" s="118">
      <c r="B8" s="180" t="inlineStr">
        <is>
          <t>b-ionona</t>
        </is>
      </c>
      <c r="C8" s="181" t="n"/>
      <c r="D8" s="181" t="n"/>
      <c r="E8" s="181" t="n"/>
      <c r="F8" s="181" t="n"/>
      <c r="G8" s="182" t="n"/>
      <c r="H8" s="181" t="n"/>
      <c r="I8" s="181" t="n"/>
      <c r="J8" s="181" t="n"/>
    </row>
    <row r="9" ht="14.25" customHeight="1" s="118">
      <c r="B9" s="177" t="inlineStr">
        <is>
          <t>2-phenylethanol</t>
        </is>
      </c>
      <c r="C9" s="177" t="n"/>
      <c r="D9" s="177" t="n"/>
      <c r="E9" s="177" t="n"/>
      <c r="F9" s="177" t="n"/>
      <c r="G9" s="179" t="n"/>
      <c r="H9" s="177" t="n"/>
      <c r="I9" s="177" t="n"/>
      <c r="J9" s="177" t="n"/>
    </row>
    <row r="10" ht="15" customHeight="1" s="118">
      <c r="B10" s="180" t="inlineStr">
        <is>
          <t>g-decalactone</t>
        </is>
      </c>
      <c r="C10" s="181" t="n"/>
      <c r="D10" s="181" t="n"/>
      <c r="E10" s="181" t="n"/>
      <c r="F10" s="181" t="n"/>
      <c r="G10" s="182" t="n"/>
      <c r="H10" s="181" t="n"/>
      <c r="I10" s="181" t="n"/>
      <c r="J10" s="181" t="n"/>
    </row>
    <row r="11" ht="14.25" customHeight="1" s="118"/>
    <row r="12" ht="14.25" customHeight="1" s="118">
      <c r="C12" s="117" t="inlineStr">
        <is>
          <t>Falta fleck</t>
        </is>
      </c>
    </row>
    <row r="13" ht="15" customHeight="1" s="118"/>
    <row r="14" ht="20.25" customHeight="1" s="118">
      <c r="B14" s="183" t="inlineStr">
        <is>
          <t>PREPARACIÓN DES 10.00 g (1:1 molar)</t>
        </is>
      </c>
      <c r="C14" s="184" t="n"/>
      <c r="D14" s="184" t="n"/>
      <c r="E14" s="184" t="n"/>
      <c r="F14" s="184" t="n"/>
      <c r="G14" s="184" t="n"/>
      <c r="H14" s="184" t="n"/>
      <c r="I14" s="184" t="n"/>
      <c r="J14" s="184" t="n"/>
      <c r="K14" s="184" t="n"/>
      <c r="L14" s="184" t="n"/>
      <c r="M14" s="184" t="n"/>
      <c r="N14" s="184" t="n"/>
    </row>
    <row r="15" ht="20.25" customHeight="1" s="118">
      <c r="B15" s="184" t="inlineStr">
        <is>
          <t>m_total:</t>
        </is>
      </c>
      <c r="C15" s="185" t="n">
        <v>10</v>
      </c>
      <c r="D15" s="184" t="inlineStr">
        <is>
          <t>g</t>
        </is>
      </c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</row>
    <row r="16" ht="44.25" customHeight="1" s="118">
      <c r="B16" s="186" t="inlineStr">
        <is>
          <t>DES</t>
        </is>
      </c>
      <c r="C16" s="186" t="inlineStr">
        <is>
          <t>HBA</t>
        </is>
      </c>
      <c r="D16" s="186" t="inlineStr">
        <is>
          <t>MW_HBA</t>
        </is>
      </c>
      <c r="E16" s="186" t="inlineStr">
        <is>
          <t>Pureza_HBA</t>
        </is>
      </c>
      <c r="F16" s="186" t="inlineStr">
        <is>
          <t>m_HBA target (g)</t>
        </is>
      </c>
      <c r="G16" s="186" t="inlineStr">
        <is>
          <t>m_HBA exp (g)</t>
        </is>
      </c>
      <c r="H16" s="186" t="inlineStr">
        <is>
          <t>HBD</t>
        </is>
      </c>
      <c r="I16" s="186" t="inlineStr">
        <is>
          <t>MW_HBD</t>
        </is>
      </c>
      <c r="J16" s="186" t="inlineStr">
        <is>
          <t>Pureza_HBD</t>
        </is>
      </c>
      <c r="K16" s="186" t="inlineStr">
        <is>
          <t>m_HBD target (g)</t>
        </is>
      </c>
      <c r="L16" s="186" t="inlineStr">
        <is>
          <t>m_HBD exp (g)</t>
        </is>
      </c>
      <c r="M16" s="186" t="inlineStr">
        <is>
          <t>n_HBA/n_HBD</t>
        </is>
      </c>
      <c r="N16" s="184" t="n"/>
    </row>
    <row r="17" ht="30" customHeight="1" s="118">
      <c r="B17" s="187" t="inlineStr">
        <is>
          <t>ThyCar</t>
        </is>
      </c>
      <c r="C17" s="187" t="inlineStr">
        <is>
          <t>thymol</t>
        </is>
      </c>
      <c r="D17" s="188">
        <f>VLOOKUP(C17,Componentes!$AA$3:$AC$17,2,FALSE())</f>
        <v/>
      </c>
      <c r="E17" s="189">
        <f>VLOOKUP(C17,Componentes!$AA$3:$AC$17,3,FALSE())</f>
        <v/>
      </c>
      <c r="F17" s="190">
        <f>$C$15*D17/(D17+I17)/E17</f>
        <v/>
      </c>
      <c r="G17" s="191" t="n">
        <v>5.0064</v>
      </c>
      <c r="H17" s="187" t="inlineStr">
        <is>
          <t>carvone</t>
        </is>
      </c>
      <c r="I17" s="188">
        <f>VLOOKUP(H17,Componentes!$AA$3:$AC$17,2,FALSE())</f>
        <v/>
      </c>
      <c r="J17" s="189">
        <f>VLOOKUP(H17,Componentes!$AA$3:$AC$17,3,FALSE())</f>
        <v/>
      </c>
      <c r="K17" s="190">
        <f>$C$15*I17/(D17+I17)/J17</f>
        <v/>
      </c>
      <c r="L17" s="191" t="n">
        <v>5.0469</v>
      </c>
      <c r="M17" s="192">
        <f>IF(AND(G17&lt;&gt;"",L17&lt;&gt;""),(G17*E17/D17)/(L17*J17/I17),"")</f>
        <v/>
      </c>
      <c r="N17" s="184" t="n"/>
    </row>
    <row r="18" ht="30" customHeight="1" s="118">
      <c r="B18" s="187" t="inlineStr">
        <is>
          <t>ThyGer</t>
        </is>
      </c>
      <c r="C18" s="187" t="inlineStr">
        <is>
          <t>thymol</t>
        </is>
      </c>
      <c r="D18" s="188">
        <f>VLOOKUP(C18,Componentes!$AA$3:$AC$17,2,FALSE())</f>
        <v/>
      </c>
      <c r="E18" s="189">
        <f>VLOOKUP(C18,Componentes!$AA$3:$AC$17,3,FALSE())</f>
        <v/>
      </c>
      <c r="F18" s="190">
        <f>$C$15*D18/(D18+I18)/E18</f>
        <v/>
      </c>
      <c r="G18" s="191" t="n">
        <v>4.95</v>
      </c>
      <c r="H18" s="187" t="inlineStr">
        <is>
          <t>geraniol</t>
        </is>
      </c>
      <c r="I18" s="188">
        <f>VLOOKUP(H18,Componentes!$AA$3:$AC$17,2,FALSE())</f>
        <v/>
      </c>
      <c r="J18" s="189">
        <f>VLOOKUP(H18,Componentes!$AA$3:$AC$17,3,FALSE())</f>
        <v/>
      </c>
      <c r="K18" s="190">
        <f>$C$15*I18/(D18+I18)/J18</f>
        <v/>
      </c>
      <c r="L18" s="191" t="n">
        <v>5.1232</v>
      </c>
      <c r="M18" s="192">
        <f>IF(AND(G18&lt;&gt;"",L18&lt;&gt;""),(G18*E18/D18)/(L18*J18/I18),"")</f>
        <v/>
      </c>
      <c r="N18" s="184" t="n"/>
    </row>
    <row r="19" ht="30" customHeight="1" s="118">
      <c r="B19" s="187" t="inlineStr">
        <is>
          <t>ThyCarvac</t>
        </is>
      </c>
      <c r="C19" s="187" t="inlineStr">
        <is>
          <t>thymol</t>
        </is>
      </c>
      <c r="D19" s="188">
        <f>VLOOKUP(C19,Componentes!$AA$3:$AC$17,2,FALSE())</f>
        <v/>
      </c>
      <c r="E19" s="189">
        <f>VLOOKUP(C19,Componentes!$AA$3:$AC$17,3,FALSE())</f>
        <v/>
      </c>
      <c r="F19" s="190">
        <f>$C$15*D19/(D19+I19)/E19</f>
        <v/>
      </c>
      <c r="G19" s="191" t="n">
        <v>5.0063</v>
      </c>
      <c r="H19" s="187" t="inlineStr">
        <is>
          <t>carvacrol</t>
        </is>
      </c>
      <c r="I19" s="188">
        <f>VLOOKUP(H19,Componentes!$AA$3:$AC$17,2,FALSE())</f>
        <v/>
      </c>
      <c r="J19" s="189">
        <f>VLOOKUP(H19,Componentes!$AA$3:$AC$17,3,FALSE())</f>
        <v/>
      </c>
      <c r="K19" s="190">
        <f>$C$15*I19/(D19+I19)/J19</f>
        <v/>
      </c>
      <c r="L19" s="191" t="n">
        <v>5.0156</v>
      </c>
      <c r="M19" s="192">
        <f>IF(AND(G19&lt;&gt;"",L19&lt;&gt;""),(G19*E19/D19)/(L19*J19/I19),"")</f>
        <v/>
      </c>
      <c r="N19" s="184" t="n"/>
    </row>
    <row r="20" ht="30" customHeight="1" s="118">
      <c r="B20" s="187" t="inlineStr">
        <is>
          <t>ThyEug</t>
        </is>
      </c>
      <c r="C20" s="187" t="inlineStr">
        <is>
          <t>thymol</t>
        </is>
      </c>
      <c r="D20" s="188">
        <f>VLOOKUP(C20,Componentes!$AA$3:$AC$17,2,FALSE())</f>
        <v/>
      </c>
      <c r="E20" s="189">
        <f>VLOOKUP(C20,Componentes!$AA$3:$AC$17,3,FALSE())</f>
        <v/>
      </c>
      <c r="F20" s="190">
        <f>$C$15*D20/(D20+I20)/E20</f>
        <v/>
      </c>
      <c r="G20" s="191" t="n">
        <v>4.7931</v>
      </c>
      <c r="H20" s="187" t="inlineStr">
        <is>
          <t>eugenol</t>
        </is>
      </c>
      <c r="I20" s="188">
        <f>VLOOKUP(H20,Componentes!$AA$3:$AC$17,2,FALSE())</f>
        <v/>
      </c>
      <c r="J20" s="189">
        <f>VLOOKUP(H20,Componentes!$AA$3:$AC$17,3,FALSE())</f>
        <v/>
      </c>
      <c r="K20" s="190">
        <f>$C$15*I20/(D20+I20)/J20</f>
        <v/>
      </c>
      <c r="L20" s="191" t="n">
        <v>5.2668</v>
      </c>
      <c r="M20" s="192">
        <f>IF(AND(G20&lt;&gt;"",L20&lt;&gt;""),(G20*E20/D20)/(L20*J20/I20),"")</f>
        <v/>
      </c>
      <c r="N20" s="184" t="n"/>
    </row>
    <row r="21" ht="30" customHeight="1" s="118">
      <c r="B21" s="187" t="inlineStr">
        <is>
          <t>ThyCam</t>
        </is>
      </c>
      <c r="C21" s="187" t="inlineStr">
        <is>
          <t>thymol</t>
        </is>
      </c>
      <c r="D21" s="188">
        <f>VLOOKUP(C21,Componentes!$AA$3:$AC$17,2,FALSE())</f>
        <v/>
      </c>
      <c r="E21" s="189">
        <f>VLOOKUP(C21,Componentes!$AA$3:$AC$17,3,FALSE())</f>
        <v/>
      </c>
      <c r="F21" s="190">
        <f>$C$15*D21/(D21+I21)/E21</f>
        <v/>
      </c>
      <c r="G21" s="191">
        <f>1.6711+1.6663+1.6953</f>
        <v/>
      </c>
      <c r="H21" s="187" t="inlineStr">
        <is>
          <t>camphor</t>
        </is>
      </c>
      <c r="I21" s="188">
        <f>VLOOKUP(H21,Componentes!$AA$3:$AC$17,2,FALSE())</f>
        <v/>
      </c>
      <c r="J21" s="189">
        <f>VLOOKUP(H21,Componentes!$AA$3:$AC$17,3,FALSE())</f>
        <v/>
      </c>
      <c r="K21" s="190">
        <f>$C$15*I21/(D21+I21)/J21</f>
        <v/>
      </c>
      <c r="L21" s="191">
        <f>1.7344+1.7354+1.7709</f>
        <v/>
      </c>
      <c r="M21" s="192">
        <f>IF(AND(G21&lt;&gt;"",L21&lt;&gt;""),(G21*E21/D21)/(L21*J21/I21),"")</f>
        <v/>
      </c>
      <c r="N21" s="184" t="n"/>
    </row>
    <row r="22" ht="30" customHeight="1" s="118">
      <c r="B22" s="187" t="inlineStr">
        <is>
          <t>CamCar</t>
        </is>
      </c>
      <c r="C22" s="187" t="inlineStr">
        <is>
          <t>camphor</t>
        </is>
      </c>
      <c r="D22" s="188">
        <f>VLOOKUP(C22,Componentes!$AA$3:$AC$17,2,FALSE())</f>
        <v/>
      </c>
      <c r="E22" s="189">
        <f>VLOOKUP(C22,Componentes!$AA$3:$AC$17,3,FALSE())</f>
        <v/>
      </c>
      <c r="F22" s="190">
        <f>$C$15*D22/(D22+I22)/E22</f>
        <v/>
      </c>
      <c r="G22" s="191" t="n">
        <v>5.2014</v>
      </c>
      <c r="H22" s="187" t="inlineStr">
        <is>
          <t>carvone</t>
        </is>
      </c>
      <c r="I22" s="188">
        <f>VLOOKUP(H22,Componentes!$AA$3:$AC$17,2,FALSE())</f>
        <v/>
      </c>
      <c r="J22" s="189">
        <f>VLOOKUP(H22,Componentes!$AA$3:$AC$17,3,FALSE())</f>
        <v/>
      </c>
      <c r="K22" s="190">
        <f>$C$15*I22/(D22+I22)/J22</f>
        <v/>
      </c>
      <c r="L22" s="191" t="n">
        <v>5.0074</v>
      </c>
      <c r="M22" s="192">
        <f>IF(AND(G22&lt;&gt;"",L22&lt;&gt;""),(G22*E22/D22)/(L22*J22/I22),"")</f>
        <v/>
      </c>
      <c r="N22" s="184" t="n"/>
    </row>
    <row r="23" ht="30" customHeight="1" s="118">
      <c r="B23" s="187" t="inlineStr">
        <is>
          <t>CamGer</t>
        </is>
      </c>
      <c r="C23" s="187" t="inlineStr">
        <is>
          <t>camphor</t>
        </is>
      </c>
      <c r="D23" s="188">
        <f>VLOOKUP(C23,Componentes!$AA$3:$AC$17,2,FALSE())</f>
        <v/>
      </c>
      <c r="E23" s="189">
        <f>VLOOKUP(C23,Componentes!$AA$3:$AC$17,3,FALSE())</f>
        <v/>
      </c>
      <c r="F23" s="190">
        <f>$C$15*D23/(D23+I23)/E23</f>
        <v/>
      </c>
      <c r="G23" s="191" t="n">
        <v>5.1236</v>
      </c>
      <c r="H23" s="187" t="inlineStr">
        <is>
          <t>geraniol</t>
        </is>
      </c>
      <c r="I23" s="188">
        <f>VLOOKUP(H23,Componentes!$AA$3:$AC$17,2,FALSE())</f>
        <v/>
      </c>
      <c r="J23" s="189">
        <f>VLOOKUP(H23,Componentes!$AA$3:$AC$17,3,FALSE())</f>
        <v/>
      </c>
      <c r="K23" s="190">
        <f>$C$15*I23/(D23+I23)/J23</f>
        <v/>
      </c>
      <c r="L23" s="191" t="n">
        <v>5.084</v>
      </c>
      <c r="M23" s="192">
        <f>IF(AND(G23&lt;&gt;"",L23&lt;&gt;""),(G23*E23/D23)/(L23*J23/I23),"")</f>
        <v/>
      </c>
      <c r="N23" s="184" t="n"/>
    </row>
    <row r="24" ht="30" customHeight="1" s="118">
      <c r="B24" s="187" t="inlineStr">
        <is>
          <t>CamCarvac</t>
        </is>
      </c>
      <c r="C24" s="187" t="inlineStr">
        <is>
          <t>camphor</t>
        </is>
      </c>
      <c r="D24" s="188">
        <f>VLOOKUP(C24,Componentes!$AA$3:$AC$17,2,FALSE())</f>
        <v/>
      </c>
      <c r="E24" s="189">
        <f>VLOOKUP(C24,Componentes!$AA$3:$AC$17,3,FALSE())</f>
        <v/>
      </c>
      <c r="F24" s="190">
        <f>$C$15*D24/(D24+I24)/E24</f>
        <v/>
      </c>
      <c r="G24" s="191" t="n">
        <v>5.1992</v>
      </c>
      <c r="H24" s="187" t="inlineStr">
        <is>
          <t>carvacrol</t>
        </is>
      </c>
      <c r="I24" s="188">
        <f>VLOOKUP(H24,Componentes!$AA$3:$AC$17,2,FALSE())</f>
        <v/>
      </c>
      <c r="J24" s="189">
        <f>VLOOKUP(H24,Componentes!$AA$3:$AC$17,3,FALSE())</f>
        <v/>
      </c>
      <c r="K24" s="190">
        <f>$C$15*I24/(D24+I24)/J24</f>
        <v/>
      </c>
      <c r="L24" s="191" t="n">
        <v>4.9816</v>
      </c>
      <c r="M24" s="192">
        <f>IF(AND(G24&lt;&gt;"",L24&lt;&gt;""),(G24*E24/D24)/(L24*J24/I24),"")</f>
        <v/>
      </c>
      <c r="N24" s="184" t="n"/>
    </row>
    <row r="25" ht="30" customHeight="1" s="118">
      <c r="B25" s="187" t="inlineStr">
        <is>
          <t>CamEug</t>
        </is>
      </c>
      <c r="C25" s="187" t="inlineStr">
        <is>
          <t>camphor</t>
        </is>
      </c>
      <c r="D25" s="188">
        <f>VLOOKUP(C25,Componentes!$AA$3:$AC$17,2,FALSE())</f>
        <v/>
      </c>
      <c r="E25" s="189">
        <f>VLOOKUP(C25,Componentes!$AA$3:$AC$17,3,FALSE())</f>
        <v/>
      </c>
      <c r="F25" s="190">
        <f>$C$15*D25/(D25+I25)/E25</f>
        <v/>
      </c>
      <c r="G25" s="191" t="n">
        <v>4.9655</v>
      </c>
      <c r="H25" s="187" t="inlineStr">
        <is>
          <t>eugenol</t>
        </is>
      </c>
      <c r="I25" s="188">
        <f>VLOOKUP(H25,Componentes!$AA$3:$AC$17,2,FALSE())</f>
        <v/>
      </c>
      <c r="J25" s="189">
        <f>VLOOKUP(H25,Componentes!$AA$3:$AC$17,3,FALSE())</f>
        <v/>
      </c>
      <c r="K25" s="190">
        <f>$C$15*I25/(D25+I25)/J25</f>
        <v/>
      </c>
      <c r="L25" s="191" t="n">
        <v>5.2307</v>
      </c>
      <c r="M25" s="192">
        <f>IF(AND(G25&lt;&gt;"",L25&lt;&gt;""),(G25*E25/D25)/(L25*J25/I25),"")</f>
        <v/>
      </c>
      <c r="N25" s="184" t="n"/>
    </row>
    <row r="26" ht="20.25" customHeight="1" s="118">
      <c r="B26" s="184" t="n"/>
      <c r="C26" s="184" t="n"/>
      <c r="D26" s="184" t="n"/>
      <c r="E26" s="184" t="n"/>
      <c r="F26" s="184" t="n"/>
      <c r="G26" s="184" t="n"/>
      <c r="H26" s="184" t="n"/>
      <c r="I26" s="184" t="n"/>
      <c r="J26" s="184" t="n"/>
      <c r="K26" s="184" t="n"/>
      <c r="L26" s="184" t="n"/>
      <c r="M26" s="184" t="n"/>
      <c r="N26" s="184" t="n"/>
    </row>
    <row r="27" ht="20.25" customHeight="1" s="118">
      <c r="B27" s="193" t="inlineStr">
        <is>
          <t>Amarillo: ingreso experimental</t>
        </is>
      </c>
      <c r="C27" s="184" t="n"/>
      <c r="D27" s="184" t="n"/>
      <c r="E27" s="193" t="inlineStr">
        <is>
          <t>Verde: calculado desde Componentes</t>
        </is>
      </c>
      <c r="F27" s="184" t="n"/>
      <c r="G27" s="184" t="n"/>
      <c r="H27" s="184" t="n"/>
      <c r="I27" s="184" t="n"/>
      <c r="J27" s="184" t="n"/>
      <c r="K27" s="184" t="n"/>
      <c r="L27" s="184" t="n"/>
      <c r="M27" s="184" t="n"/>
      <c r="N27" s="184" t="n"/>
    </row>
    <row r="28" ht="12.75" customHeight="1" s="118">
      <c r="B28" s="184" t="n"/>
      <c r="C28" s="184" t="n"/>
      <c r="D28" s="184" t="n"/>
      <c r="E28" s="184" t="n"/>
      <c r="F28" s="184" t="n"/>
      <c r="G28" s="184" t="n"/>
      <c r="H28" s="184" t="n"/>
      <c r="I28" s="184" t="n"/>
      <c r="J28" s="184" t="n"/>
      <c r="K28" s="184" t="n"/>
      <c r="L28" s="184" t="n"/>
      <c r="M28" s="184" t="n"/>
      <c r="N28" s="184" t="n"/>
    </row>
  </sheetData>
  <printOptions horizontalCentered="1" verticalCentered="0" headings="0" gridLines="0" gridLinesSet="1"/>
  <pageMargins left="0.7" right="0.7" top="1.14375" bottom="1.143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A1" activeCellId="0" sqref="A1"/>
    </sheetView>
  </sheetViews>
  <sheetFormatPr baseColWidth="8" defaultColWidth="8.54296875" defaultRowHeight="15" customHeight="0" zeroHeight="0" outlineLevelRow="0"/>
  <cols>
    <col width="5" customWidth="1" style="117" min="1" max="1"/>
    <col width="12" customWidth="1" style="117" min="2" max="2"/>
    <col width="10" customWidth="1" style="117" min="3" max="4"/>
    <col width="5" customWidth="1" style="117" min="5" max="5"/>
    <col width="10" customWidth="1" style="117" min="6" max="6"/>
    <col width="11" customWidth="1" style="117" min="7" max="17"/>
    <col width="9" customWidth="1" style="117" min="18" max="20"/>
    <col width="22" customWidth="1" style="117" min="21" max="21"/>
  </cols>
  <sheetData>
    <row r="1" ht="15.75" customHeight="1" s="118">
      <c r="A1" s="194" t="inlineStr">
        <is>
          <t>LAB SHEET — 2-phenylethanol + DES + Water</t>
        </is>
      </c>
    </row>
    <row r="2" ht="15" customHeight="1" s="118">
      <c r="A2" s="195" t="inlineStr">
        <is>
          <t>Add in order: tube → water → aroma → DES. Record cumulative balance reading after each addition.</t>
        </is>
      </c>
    </row>
    <row r="4" ht="15" customHeight="1" s="118">
      <c r="A4" s="196" t="inlineStr">
        <is>
          <t>ρ_aroma (g/mL):</t>
        </is>
      </c>
      <c r="B4" s="197">
        <f>Componentes!P4</f>
        <v/>
      </c>
      <c r="C4" s="195" t="inlineStr">
        <is>
          <t>2-phenylethanol</t>
        </is>
      </c>
    </row>
    <row r="5" ht="15" customHeight="1" s="118">
      <c r="A5" s="196" t="inlineStr">
        <is>
          <t>ρ_water (g/mL):</t>
        </is>
      </c>
      <c r="B5" s="198" t="n">
        <v>0.997</v>
      </c>
    </row>
    <row r="7" ht="15" customHeight="1" s="118">
      <c r="A7" s="199" t="n"/>
      <c r="B7" s="200" t="inlineStr">
        <is>
          <t>Pipetting guide (from predictions)</t>
        </is>
      </c>
      <c r="C7" s="201" t="n"/>
      <c r="D7" s="201" t="n"/>
      <c r="E7" s="202" t="n"/>
      <c r="F7" s="200" t="inlineStr">
        <is>
          <t>Record on balance</t>
        </is>
      </c>
      <c r="G7" s="201" t="n"/>
      <c r="H7" s="201" t="n"/>
      <c r="I7" s="203" t="n"/>
      <c r="J7" s="200" t="inlineStr">
        <is>
          <t>Auto-calculated by difference</t>
        </is>
      </c>
      <c r="K7" s="201" t="n"/>
      <c r="L7" s="201" t="n"/>
      <c r="M7" s="201" t="n"/>
      <c r="N7" s="201" t="n"/>
      <c r="O7" s="201" t="n"/>
      <c r="P7" s="201" t="n"/>
      <c r="Q7" s="201" t="n"/>
      <c r="R7" s="201" t="n"/>
      <c r="S7" s="201" t="n"/>
      <c r="T7" s="201" t="n"/>
      <c r="U7" s="201" t="n"/>
    </row>
    <row r="9" ht="23.25" customHeight="1" s="118">
      <c r="A9" s="204" t="inlineStr">
        <is>
          <t>#</t>
        </is>
      </c>
      <c r="B9" s="204" t="inlineStr">
        <is>
          <t>DES</t>
        </is>
      </c>
      <c r="C9" s="204" t="inlineStr">
        <is>
          <t>HBA</t>
        </is>
      </c>
      <c r="D9" s="204" t="inlineStr">
        <is>
          <t>HBD</t>
        </is>
      </c>
      <c r="E9" s="204" t="inlineStr">
        <is>
          <t>TL#</t>
        </is>
      </c>
      <c r="F9" s="204" t="inlineStr">
        <is>
          <t>ρ_DES est
(g/mL)</t>
        </is>
      </c>
      <c r="G9" s="204" t="inlineStr">
        <is>
          <t>V_water
est (mL)</t>
        </is>
      </c>
      <c r="H9" s="204" t="inlineStr">
        <is>
          <t>V_aroma
est (mL)</t>
        </is>
      </c>
      <c r="I9" s="204" t="inlineStr">
        <is>
          <t>V_DES
est (mL)</t>
        </is>
      </c>
      <c r="J9" s="204" t="inlineStr">
        <is>
          <t>W_tube
(g)</t>
        </is>
      </c>
      <c r="K9" s="204" t="inlineStr">
        <is>
          <t>W +water
(g)</t>
        </is>
      </c>
      <c r="L9" s="204" t="inlineStr">
        <is>
          <t>W +aroma
(g)</t>
        </is>
      </c>
      <c r="M9" s="204" t="inlineStr">
        <is>
          <t>W +DES
(g)</t>
        </is>
      </c>
      <c r="N9" s="204" t="inlineStr">
        <is>
          <t>m_water
(g)</t>
        </is>
      </c>
      <c r="O9" s="204" t="inlineStr">
        <is>
          <t>m_aroma
(g)</t>
        </is>
      </c>
      <c r="P9" s="204" t="inlineStr">
        <is>
          <t>m_DES
(g)</t>
        </is>
      </c>
      <c r="Q9" s="204" t="inlineStr">
        <is>
          <t>m_total
(g)</t>
        </is>
      </c>
      <c r="R9" s="204" t="inlineStr">
        <is>
          <t>w_water</t>
        </is>
      </c>
      <c r="S9" s="204" t="inlineStr">
        <is>
          <t>w_aroma</t>
        </is>
      </c>
      <c r="T9" s="204" t="inlineStr">
        <is>
          <t>w_DES</t>
        </is>
      </c>
      <c r="U9" s="204" t="inlineStr">
        <is>
          <t>Notes</t>
        </is>
      </c>
    </row>
    <row r="10" ht="15" customHeight="1" s="118">
      <c r="A10" s="205" t="n">
        <v>1</v>
      </c>
      <c r="B10" s="206" t="inlineStr">
        <is>
          <t>ThyCar</t>
        </is>
      </c>
      <c r="C10" s="205" t="inlineStr">
        <is>
          <t>Thymol</t>
        </is>
      </c>
      <c r="D10" s="205" t="inlineStr">
        <is>
          <t>Carvone</t>
        </is>
      </c>
      <c r="E10" s="205" t="n">
        <v>1</v>
      </c>
      <c r="F10" s="207">
        <f>(Componentes!AB12/(Componentes!AB12+Componentes!AB13))*Componentes!P12+(Componentes!AB13/(Componentes!AB12+Componentes!AB13))*Componentes!P13</f>
        <v/>
      </c>
      <c r="G10" s="208">
        <f>IF(#ref!="","",#ref!*7/$B$5)</f>
        <v/>
      </c>
      <c r="H10" s="208">
        <f>IF(#ref!="","",#ref!*7/$B$4)</f>
        <v/>
      </c>
      <c r="I10" s="208">
        <f>IF(#ref!="","",#ref!*7/F10)</f>
        <v/>
      </c>
      <c r="J10" s="209" t="n"/>
      <c r="K10" s="209" t="n"/>
      <c r="L10" s="209" t="n"/>
      <c r="M10" s="209" t="n"/>
      <c r="N10" s="207">
        <f>IF(OR(J10="",K10=""),"",K10-J10)</f>
        <v/>
      </c>
      <c r="O10" s="207">
        <f>IF(OR(K10="",L10=""),"",L10-K10)</f>
        <v/>
      </c>
      <c r="P10" s="207">
        <f>IF(OR(L10="",M10=""),"",M10-L10)</f>
        <v/>
      </c>
      <c r="Q10" s="207">
        <f>IF(OR(J10="",M10=""),"",M10-J10)</f>
        <v/>
      </c>
      <c r="R10" s="207">
        <f>IF(Q10="","",N10/Q10)</f>
        <v/>
      </c>
      <c r="S10" s="207">
        <f>IF(Q10="","",O10/Q10)</f>
        <v/>
      </c>
      <c r="T10" s="207">
        <f>IF(Q10="","",P10/Q10)</f>
        <v/>
      </c>
      <c r="U10" s="210" t="n"/>
    </row>
    <row r="11" ht="15" customHeight="1" s="118">
      <c r="A11" s="205" t="n">
        <v>2</v>
      </c>
      <c r="B11" s="205" t="n"/>
      <c r="C11" s="205" t="n"/>
      <c r="D11" s="205" t="n"/>
      <c r="E11" s="205" t="n">
        <v>2</v>
      </c>
      <c r="F11" s="207">
        <f>(Componentes!AB12/(Componentes!AB12+Componentes!AB13))*Componentes!P12+(Componentes!AB13/(Componentes!AB12+Componentes!AB13))*Componentes!P13</f>
        <v/>
      </c>
      <c r="G11" s="208">
        <f>IF(#ref!="","",#ref!*7/$B$5)</f>
        <v/>
      </c>
      <c r="H11" s="208">
        <f>IF(#ref!="","",#ref!*7/$B$4)</f>
        <v/>
      </c>
      <c r="I11" s="208">
        <f>IF(#ref!="","",#ref!*7/F11)</f>
        <v/>
      </c>
      <c r="J11" s="209" t="n"/>
      <c r="K11" s="209" t="n"/>
      <c r="L11" s="209" t="n"/>
      <c r="M11" s="209" t="n"/>
      <c r="N11" s="207">
        <f>IF(OR(J11="",K11=""),"",K11-J11)</f>
        <v/>
      </c>
      <c r="O11" s="207">
        <f>IF(OR(K11="",L11=""),"",L11-K11)</f>
        <v/>
      </c>
      <c r="P11" s="207">
        <f>IF(OR(L11="",M11=""),"",M11-L11)</f>
        <v/>
      </c>
      <c r="Q11" s="207">
        <f>IF(OR(J11="",M11=""),"",M11-J11)</f>
        <v/>
      </c>
      <c r="R11" s="207">
        <f>IF(Q11="","",N11/Q11)</f>
        <v/>
      </c>
      <c r="S11" s="207">
        <f>IF(Q11="","",O11/Q11)</f>
        <v/>
      </c>
      <c r="T11" s="207">
        <f>IF(Q11="","",P11/Q11)</f>
        <v/>
      </c>
      <c r="U11" s="210" t="n"/>
    </row>
    <row r="12" ht="15" customHeight="1" s="118">
      <c r="A12" s="205" t="n">
        <v>3</v>
      </c>
      <c r="B12" s="205" t="n"/>
      <c r="C12" s="205" t="n"/>
      <c r="D12" s="205" t="n"/>
      <c r="E12" s="205" t="n">
        <v>3</v>
      </c>
      <c r="F12" s="207">
        <f>(Componentes!AB12/(Componentes!AB12+Componentes!AB13))*Componentes!P12+(Componentes!AB13/(Componentes!AB12+Componentes!AB13))*Componentes!P13</f>
        <v/>
      </c>
      <c r="G12" s="208">
        <f>IF(#ref!="","",#ref!*7/$B$5)</f>
        <v/>
      </c>
      <c r="H12" s="208">
        <f>IF(#ref!="","",#ref!*7/$B$4)</f>
        <v/>
      </c>
      <c r="I12" s="208">
        <f>IF(#ref!="","",#ref!*7/F12)</f>
        <v/>
      </c>
      <c r="J12" s="209" t="n"/>
      <c r="K12" s="209" t="n"/>
      <c r="L12" s="209" t="n"/>
      <c r="M12" s="209" t="n"/>
      <c r="N12" s="207">
        <f>IF(OR(J12="",K12=""),"",K12-J12)</f>
        <v/>
      </c>
      <c r="O12" s="207">
        <f>IF(OR(K12="",L12=""),"",L12-K12)</f>
        <v/>
      </c>
      <c r="P12" s="207">
        <f>IF(OR(L12="",M12=""),"",M12-L12)</f>
        <v/>
      </c>
      <c r="Q12" s="207">
        <f>IF(OR(J12="",M12=""),"",M12-J12)</f>
        <v/>
      </c>
      <c r="R12" s="207">
        <f>IF(Q12="","",N12/Q12)</f>
        <v/>
      </c>
      <c r="S12" s="207">
        <f>IF(Q12="","",O12/Q12)</f>
        <v/>
      </c>
      <c r="T12" s="207">
        <f>IF(Q12="","",P12/Q12)</f>
        <v/>
      </c>
      <c r="U12" s="210" t="n"/>
    </row>
    <row r="13" ht="15" customHeight="1" s="118">
      <c r="A13" s="205" t="n">
        <v>4</v>
      </c>
      <c r="B13" s="205" t="n"/>
      <c r="C13" s="205" t="n"/>
      <c r="D13" s="205" t="n"/>
      <c r="E13" s="205" t="n">
        <v>4</v>
      </c>
      <c r="F13" s="207">
        <f>(Componentes!AB12/(Componentes!AB12+Componentes!AB13))*Componentes!P12+(Componentes!AB13/(Componentes!AB12+Componentes!AB13))*Componentes!P13</f>
        <v/>
      </c>
      <c r="G13" s="208">
        <f>IF(#ref!="","",#ref!*7/$B$5)</f>
        <v/>
      </c>
      <c r="H13" s="208">
        <f>IF(#ref!="","",#ref!*7/$B$4)</f>
        <v/>
      </c>
      <c r="I13" s="208">
        <f>IF(#ref!="","",#ref!*7/F13)</f>
        <v/>
      </c>
      <c r="J13" s="209" t="n"/>
      <c r="K13" s="209" t="n"/>
      <c r="L13" s="209" t="n"/>
      <c r="M13" s="209" t="n"/>
      <c r="N13" s="207">
        <f>IF(OR(J13="",K13=""),"",K13-J13)</f>
        <v/>
      </c>
      <c r="O13" s="207">
        <f>IF(OR(K13="",L13=""),"",L13-K13)</f>
        <v/>
      </c>
      <c r="P13" s="207">
        <f>IF(OR(L13="",M13=""),"",M13-L13)</f>
        <v/>
      </c>
      <c r="Q13" s="207">
        <f>IF(OR(J13="",M13=""),"",M13-J13)</f>
        <v/>
      </c>
      <c r="R13" s="207">
        <f>IF(Q13="","",N13/Q13)</f>
        <v/>
      </c>
      <c r="S13" s="207">
        <f>IF(Q13="","",O13/Q13)</f>
        <v/>
      </c>
      <c r="T13" s="207">
        <f>IF(Q13="","",P13/Q13)</f>
        <v/>
      </c>
      <c r="U13" s="210" t="n"/>
    </row>
    <row r="14" ht="15" customHeight="1" s="118">
      <c r="A14" s="205" t="n">
        <v>5</v>
      </c>
      <c r="B14" s="205" t="n"/>
      <c r="C14" s="205" t="n"/>
      <c r="D14" s="205" t="n"/>
      <c r="E14" s="205" t="n">
        <v>5</v>
      </c>
      <c r="F14" s="207">
        <f>(Componentes!AB12/(Componentes!AB12+Componentes!AB13))*Componentes!P12+(Componentes!AB13/(Componentes!AB12+Componentes!AB13))*Componentes!P13</f>
        <v/>
      </c>
      <c r="G14" s="208">
        <f>IF(#ref!="","",#ref!*7/$B$5)</f>
        <v/>
      </c>
      <c r="H14" s="208">
        <f>IF(#ref!="","",#ref!*7/$B$4)</f>
        <v/>
      </c>
      <c r="I14" s="208">
        <f>IF(#ref!="","",#ref!*7/F14)</f>
        <v/>
      </c>
      <c r="J14" s="209" t="n"/>
      <c r="K14" s="209" t="n"/>
      <c r="L14" s="209" t="n"/>
      <c r="M14" s="209" t="n"/>
      <c r="N14" s="207">
        <f>IF(OR(J14="",K14=""),"",K14-J14)</f>
        <v/>
      </c>
      <c r="O14" s="207">
        <f>IF(OR(K14="",L14=""),"",L14-K14)</f>
        <v/>
      </c>
      <c r="P14" s="207">
        <f>IF(OR(L14="",M14=""),"",M14-L14)</f>
        <v/>
      </c>
      <c r="Q14" s="207">
        <f>IF(OR(J14="",M14=""),"",M14-J14)</f>
        <v/>
      </c>
      <c r="R14" s="207">
        <f>IF(Q14="","",N14/Q14)</f>
        <v/>
      </c>
      <c r="S14" s="207">
        <f>IF(Q14="","",O14/Q14)</f>
        <v/>
      </c>
      <c r="T14" s="207">
        <f>IF(Q14="","",P14/Q14)</f>
        <v/>
      </c>
      <c r="U14" s="210" t="n"/>
    </row>
    <row r="16" ht="15" customHeight="1" s="118">
      <c r="A16" s="205" t="n">
        <v>6</v>
      </c>
      <c r="B16" s="206" t="inlineStr">
        <is>
          <t>ThyGer</t>
        </is>
      </c>
      <c r="C16" s="205" t="inlineStr">
        <is>
          <t>Thymol</t>
        </is>
      </c>
      <c r="D16" s="205" t="inlineStr">
        <is>
          <t>Geraniol</t>
        </is>
      </c>
      <c r="E16" s="205" t="n">
        <v>1</v>
      </c>
      <c r="F16" s="207">
        <f>(Componentes!AB12/(Componentes!AB12+Componentes!AB15))*Componentes!P12+(Componentes!AB15/(Componentes!AB12+Componentes!AB15))*Componentes!P15</f>
        <v/>
      </c>
      <c r="G16" s="208">
        <f>IF(#ref!="","",#ref!*7/$B$5)</f>
        <v/>
      </c>
      <c r="H16" s="208">
        <f>IF(#ref!="","",#ref!*7/$B$4)</f>
        <v/>
      </c>
      <c r="I16" s="208">
        <f>IF(#ref!="","",#ref!*7/F16)</f>
        <v/>
      </c>
      <c r="J16" s="209" t="n"/>
      <c r="K16" s="209" t="n"/>
      <c r="L16" s="209" t="n"/>
      <c r="M16" s="209" t="n"/>
      <c r="N16" s="207">
        <f>IF(OR(J16="",K16=""),"",K16-J16)</f>
        <v/>
      </c>
      <c r="O16" s="207">
        <f>IF(OR(K16="",L16=""),"",L16-K16)</f>
        <v/>
      </c>
      <c r="P16" s="207">
        <f>IF(OR(L16="",M16=""),"",M16-L16)</f>
        <v/>
      </c>
      <c r="Q16" s="207">
        <f>IF(OR(J16="",M16=""),"",M16-J16)</f>
        <v/>
      </c>
      <c r="R16" s="207">
        <f>IF(Q16="","",N16/Q16)</f>
        <v/>
      </c>
      <c r="S16" s="207">
        <f>IF(Q16="","",O16/Q16)</f>
        <v/>
      </c>
      <c r="T16" s="207">
        <f>IF(Q16="","",P16/Q16)</f>
        <v/>
      </c>
      <c r="U16" s="210" t="n"/>
    </row>
    <row r="17" ht="15" customHeight="1" s="118">
      <c r="A17" s="205" t="n">
        <v>7</v>
      </c>
      <c r="B17" s="205" t="n"/>
      <c r="C17" s="205" t="n"/>
      <c r="D17" s="205" t="n"/>
      <c r="E17" s="205" t="n">
        <v>2</v>
      </c>
      <c r="F17" s="207">
        <f>(Componentes!AB12/(Componentes!AB12+Componentes!AB15))*Componentes!P12+(Componentes!AB15/(Componentes!AB12+Componentes!AB15))*Componentes!P15</f>
        <v/>
      </c>
      <c r="G17" s="208">
        <f>IF(#ref!="","",#ref!*7/$B$5)</f>
        <v/>
      </c>
      <c r="H17" s="208">
        <f>IF(#ref!="","",#ref!*7/$B$4)</f>
        <v/>
      </c>
      <c r="I17" s="208">
        <f>IF(#ref!="","",#ref!*7/F17)</f>
        <v/>
      </c>
      <c r="J17" s="209" t="n"/>
      <c r="K17" s="209" t="n"/>
      <c r="L17" s="209" t="n"/>
      <c r="M17" s="209" t="n"/>
      <c r="N17" s="207">
        <f>IF(OR(J17="",K17=""),"",K17-J17)</f>
        <v/>
      </c>
      <c r="O17" s="207">
        <f>IF(OR(K17="",L17=""),"",L17-K17)</f>
        <v/>
      </c>
      <c r="P17" s="207">
        <f>IF(OR(L17="",M17=""),"",M17-L17)</f>
        <v/>
      </c>
      <c r="Q17" s="207">
        <f>IF(OR(J17="",M17=""),"",M17-J17)</f>
        <v/>
      </c>
      <c r="R17" s="207">
        <f>IF(Q17="","",N17/Q17)</f>
        <v/>
      </c>
      <c r="S17" s="207">
        <f>IF(Q17="","",O17/Q17)</f>
        <v/>
      </c>
      <c r="T17" s="207">
        <f>IF(Q17="","",P17/Q17)</f>
        <v/>
      </c>
      <c r="U17" s="210" t="n"/>
    </row>
    <row r="18" ht="15" customHeight="1" s="118">
      <c r="A18" s="205" t="n">
        <v>8</v>
      </c>
      <c r="B18" s="205" t="n"/>
      <c r="C18" s="205" t="n"/>
      <c r="D18" s="205" t="n"/>
      <c r="E18" s="205" t="n">
        <v>3</v>
      </c>
      <c r="F18" s="207">
        <f>(Componentes!AB12/(Componentes!AB12+Componentes!AB15))*Componentes!P12+(Componentes!AB15/(Componentes!AB12+Componentes!AB15))*Componentes!P15</f>
        <v/>
      </c>
      <c r="G18" s="208">
        <f>IF(#ref!="","",#ref!*7/$B$5)</f>
        <v/>
      </c>
      <c r="H18" s="208">
        <f>IF(#ref!="","",#ref!*7/$B$4)</f>
        <v/>
      </c>
      <c r="I18" s="208">
        <f>IF(#ref!="","",#ref!*7/F18)</f>
        <v/>
      </c>
      <c r="J18" s="209" t="n"/>
      <c r="K18" s="209" t="n"/>
      <c r="L18" s="209" t="n"/>
      <c r="M18" s="209" t="n"/>
      <c r="N18" s="207">
        <f>IF(OR(J18="",K18=""),"",K18-J18)</f>
        <v/>
      </c>
      <c r="O18" s="207">
        <f>IF(OR(K18="",L18=""),"",L18-K18)</f>
        <v/>
      </c>
      <c r="P18" s="207">
        <f>IF(OR(L18="",M18=""),"",M18-L18)</f>
        <v/>
      </c>
      <c r="Q18" s="207">
        <f>IF(OR(J18="",M18=""),"",M18-J18)</f>
        <v/>
      </c>
      <c r="R18" s="207">
        <f>IF(Q18="","",N18/Q18)</f>
        <v/>
      </c>
      <c r="S18" s="207">
        <f>IF(Q18="","",O18/Q18)</f>
        <v/>
      </c>
      <c r="T18" s="207">
        <f>IF(Q18="","",P18/Q18)</f>
        <v/>
      </c>
      <c r="U18" s="210" t="n"/>
    </row>
    <row r="19" ht="15" customHeight="1" s="118">
      <c r="A19" s="205" t="n">
        <v>9</v>
      </c>
      <c r="B19" s="205" t="n"/>
      <c r="C19" s="205" t="n"/>
      <c r="D19" s="205" t="n"/>
      <c r="E19" s="205" t="n">
        <v>4</v>
      </c>
      <c r="F19" s="207">
        <f>(Componentes!AB12/(Componentes!AB12+Componentes!AB15))*Componentes!P12+(Componentes!AB15/(Componentes!AB12+Componentes!AB15))*Componentes!P15</f>
        <v/>
      </c>
      <c r="G19" s="208">
        <f>IF(#ref!="","",#ref!*7/$B$5)</f>
        <v/>
      </c>
      <c r="H19" s="208">
        <f>IF(#ref!="","",#ref!*7/$B$4)</f>
        <v/>
      </c>
      <c r="I19" s="208">
        <f>IF(#ref!="","",#ref!*7/F19)</f>
        <v/>
      </c>
      <c r="J19" s="209" t="n"/>
      <c r="K19" s="209" t="n"/>
      <c r="L19" s="209" t="n"/>
      <c r="M19" s="209" t="n"/>
      <c r="N19" s="207">
        <f>IF(OR(J19="",K19=""),"",K19-J19)</f>
        <v/>
      </c>
      <c r="O19" s="207">
        <f>IF(OR(K19="",L19=""),"",L19-K19)</f>
        <v/>
      </c>
      <c r="P19" s="207">
        <f>IF(OR(L19="",M19=""),"",M19-L19)</f>
        <v/>
      </c>
      <c r="Q19" s="207">
        <f>IF(OR(J19="",M19=""),"",M19-J19)</f>
        <v/>
      </c>
      <c r="R19" s="207">
        <f>IF(Q19="","",N19/Q19)</f>
        <v/>
      </c>
      <c r="S19" s="207">
        <f>IF(Q19="","",O19/Q19)</f>
        <v/>
      </c>
      <c r="T19" s="207">
        <f>IF(Q19="","",P19/Q19)</f>
        <v/>
      </c>
      <c r="U19" s="210" t="n"/>
    </row>
    <row r="20" ht="15" customHeight="1" s="118">
      <c r="A20" s="205" t="n">
        <v>10</v>
      </c>
      <c r="B20" s="205" t="n"/>
      <c r="C20" s="205" t="n"/>
      <c r="D20" s="205" t="n"/>
      <c r="E20" s="205" t="n">
        <v>5</v>
      </c>
      <c r="F20" s="207">
        <f>(Componentes!AB12/(Componentes!AB12+Componentes!AB15))*Componentes!P12+(Componentes!AB15/(Componentes!AB12+Componentes!AB15))*Componentes!P15</f>
        <v/>
      </c>
      <c r="G20" s="208">
        <f>IF(#ref!="","",#ref!*7/$B$5)</f>
        <v/>
      </c>
      <c r="H20" s="208">
        <f>IF(#ref!="","",#ref!*7/$B$4)</f>
        <v/>
      </c>
      <c r="I20" s="208">
        <f>IF(#ref!="","",#ref!*7/F20)</f>
        <v/>
      </c>
      <c r="J20" s="209" t="n"/>
      <c r="K20" s="209" t="n"/>
      <c r="L20" s="209" t="n"/>
      <c r="M20" s="209" t="n"/>
      <c r="N20" s="207">
        <f>IF(OR(J20="",K20=""),"",K20-J20)</f>
        <v/>
      </c>
      <c r="O20" s="207">
        <f>IF(OR(K20="",L20=""),"",L20-K20)</f>
        <v/>
      </c>
      <c r="P20" s="207">
        <f>IF(OR(L20="",M20=""),"",M20-L20)</f>
        <v/>
      </c>
      <c r="Q20" s="207">
        <f>IF(OR(J20="",M20=""),"",M20-J20)</f>
        <v/>
      </c>
      <c r="R20" s="207">
        <f>IF(Q20="","",N20/Q20)</f>
        <v/>
      </c>
      <c r="S20" s="207">
        <f>IF(Q20="","",O20/Q20)</f>
        <v/>
      </c>
      <c r="T20" s="207">
        <f>IF(Q20="","",P20/Q20)</f>
        <v/>
      </c>
      <c r="U20" s="210" t="n"/>
    </row>
    <row r="22" ht="15" customHeight="1" s="118">
      <c r="A22" s="205" t="n">
        <v>11</v>
      </c>
      <c r="B22" s="206" t="inlineStr">
        <is>
          <t>ThyCarvac</t>
        </is>
      </c>
      <c r="C22" s="205" t="inlineStr">
        <is>
          <t>Thymol</t>
        </is>
      </c>
      <c r="D22" s="205" t="inlineStr">
        <is>
          <t>Carvacrol</t>
        </is>
      </c>
      <c r="E22" s="205" t="n">
        <v>1</v>
      </c>
      <c r="F22" s="207">
        <f>(Componentes!AB12/(Componentes!AB12+Componentes!AB16))*Componentes!P12+(Componentes!AB16/(Componentes!AB12+Componentes!AB16))*Componentes!P16</f>
        <v/>
      </c>
      <c r="G22" s="208">
        <f>IF(#ref!="","",#ref!*7/$B$5)</f>
        <v/>
      </c>
      <c r="H22" s="208">
        <f>IF(#ref!="","",#ref!*7/$B$4)</f>
        <v/>
      </c>
      <c r="I22" s="208">
        <f>IF(#ref!="","",#ref!*7/F22)</f>
        <v/>
      </c>
      <c r="J22" s="209" t="n"/>
      <c r="K22" s="209" t="n"/>
      <c r="L22" s="209" t="n"/>
      <c r="M22" s="209" t="n"/>
      <c r="N22" s="207">
        <f>IF(OR(J22="",K22=""),"",K22-J22)</f>
        <v/>
      </c>
      <c r="O22" s="207">
        <f>IF(OR(K22="",L22=""),"",L22-K22)</f>
        <v/>
      </c>
      <c r="P22" s="207">
        <f>IF(OR(L22="",M22=""),"",M22-L22)</f>
        <v/>
      </c>
      <c r="Q22" s="207">
        <f>IF(OR(J22="",M22=""),"",M22-J22)</f>
        <v/>
      </c>
      <c r="R22" s="207">
        <f>IF(Q22="","",N22/Q22)</f>
        <v/>
      </c>
      <c r="S22" s="207">
        <f>IF(Q22="","",O22/Q22)</f>
        <v/>
      </c>
      <c r="T22" s="207">
        <f>IF(Q22="","",P22/Q22)</f>
        <v/>
      </c>
      <c r="U22" s="210" t="n"/>
    </row>
    <row r="23" ht="15" customHeight="1" s="118">
      <c r="A23" s="205" t="n">
        <v>12</v>
      </c>
      <c r="B23" s="205" t="n"/>
      <c r="C23" s="205" t="n"/>
      <c r="D23" s="205" t="n"/>
      <c r="E23" s="205" t="n">
        <v>2</v>
      </c>
      <c r="F23" s="207">
        <f>(Componentes!AB12/(Componentes!AB12+Componentes!AB16))*Componentes!P12+(Componentes!AB16/(Componentes!AB12+Componentes!AB16))*Componentes!P16</f>
        <v/>
      </c>
      <c r="G23" s="208">
        <f>IF(#ref!="","",#ref!*7/$B$5)</f>
        <v/>
      </c>
      <c r="H23" s="208">
        <f>IF(#ref!="","",#ref!*7/$B$4)</f>
        <v/>
      </c>
      <c r="I23" s="208">
        <f>IF(#ref!="","",#ref!*7/F23)</f>
        <v/>
      </c>
      <c r="J23" s="209" t="n"/>
      <c r="K23" s="209" t="n"/>
      <c r="L23" s="209" t="n"/>
      <c r="M23" s="209" t="n"/>
      <c r="N23" s="207">
        <f>IF(OR(J23="",K23=""),"",K23-J23)</f>
        <v/>
      </c>
      <c r="O23" s="207">
        <f>IF(OR(K23="",L23=""),"",L23-K23)</f>
        <v/>
      </c>
      <c r="P23" s="207">
        <f>IF(OR(L23="",M23=""),"",M23-L23)</f>
        <v/>
      </c>
      <c r="Q23" s="207">
        <f>IF(OR(J23="",M23=""),"",M23-J23)</f>
        <v/>
      </c>
      <c r="R23" s="207">
        <f>IF(Q23="","",N23/Q23)</f>
        <v/>
      </c>
      <c r="S23" s="207">
        <f>IF(Q23="","",O23/Q23)</f>
        <v/>
      </c>
      <c r="T23" s="207">
        <f>IF(Q23="","",P23/Q23)</f>
        <v/>
      </c>
      <c r="U23" s="210" t="n"/>
    </row>
    <row r="24" ht="15" customHeight="1" s="118">
      <c r="A24" s="205" t="n">
        <v>13</v>
      </c>
      <c r="B24" s="205" t="n"/>
      <c r="C24" s="205" t="n"/>
      <c r="D24" s="205" t="n"/>
      <c r="E24" s="205" t="n">
        <v>3</v>
      </c>
      <c r="F24" s="207">
        <f>(Componentes!AB12/(Componentes!AB12+Componentes!AB16))*Componentes!P12+(Componentes!AB16/(Componentes!AB12+Componentes!AB16))*Componentes!P16</f>
        <v/>
      </c>
      <c r="G24" s="208">
        <f>IF(#ref!="","",#ref!*7/$B$5)</f>
        <v/>
      </c>
      <c r="H24" s="208">
        <f>IF(#ref!="","",#ref!*7/$B$4)</f>
        <v/>
      </c>
      <c r="I24" s="208">
        <f>IF(#ref!="","",#ref!*7/F24)</f>
        <v/>
      </c>
      <c r="J24" s="209" t="n"/>
      <c r="K24" s="209" t="n"/>
      <c r="L24" s="209" t="n"/>
      <c r="M24" s="209" t="n"/>
      <c r="N24" s="207">
        <f>IF(OR(J24="",K24=""),"",K24-J24)</f>
        <v/>
      </c>
      <c r="O24" s="207">
        <f>IF(OR(K24="",L24=""),"",L24-K24)</f>
        <v/>
      </c>
      <c r="P24" s="207">
        <f>IF(OR(L24="",M24=""),"",M24-L24)</f>
        <v/>
      </c>
      <c r="Q24" s="207">
        <f>IF(OR(J24="",M24=""),"",M24-J24)</f>
        <v/>
      </c>
      <c r="R24" s="207">
        <f>IF(Q24="","",N24/Q24)</f>
        <v/>
      </c>
      <c r="S24" s="207">
        <f>IF(Q24="","",O24/Q24)</f>
        <v/>
      </c>
      <c r="T24" s="207">
        <f>IF(Q24="","",P24/Q24)</f>
        <v/>
      </c>
      <c r="U24" s="210" t="n"/>
    </row>
    <row r="25" ht="15" customHeight="1" s="118">
      <c r="A25" s="205" t="n">
        <v>14</v>
      </c>
      <c r="B25" s="205" t="n"/>
      <c r="C25" s="205" t="n"/>
      <c r="D25" s="205" t="n"/>
      <c r="E25" s="205" t="n">
        <v>4</v>
      </c>
      <c r="F25" s="207">
        <f>(Componentes!AB12/(Componentes!AB12+Componentes!AB16))*Componentes!P12+(Componentes!AB16/(Componentes!AB12+Componentes!AB16))*Componentes!P16</f>
        <v/>
      </c>
      <c r="G25" s="208">
        <f>IF(#ref!="","",#ref!*7/$B$5)</f>
        <v/>
      </c>
      <c r="H25" s="208">
        <f>IF(#ref!="","",#ref!*7/$B$4)</f>
        <v/>
      </c>
      <c r="I25" s="208">
        <f>IF(#ref!="","",#ref!*7/F25)</f>
        <v/>
      </c>
      <c r="J25" s="209" t="n"/>
      <c r="K25" s="209" t="n"/>
      <c r="L25" s="209" t="n"/>
      <c r="M25" s="209" t="n"/>
      <c r="N25" s="207">
        <f>IF(OR(J25="",K25=""),"",K25-J25)</f>
        <v/>
      </c>
      <c r="O25" s="207">
        <f>IF(OR(K25="",L25=""),"",L25-K25)</f>
        <v/>
      </c>
      <c r="P25" s="207">
        <f>IF(OR(L25="",M25=""),"",M25-L25)</f>
        <v/>
      </c>
      <c r="Q25" s="207">
        <f>IF(OR(J25="",M25=""),"",M25-J25)</f>
        <v/>
      </c>
      <c r="R25" s="207">
        <f>IF(Q25="","",N25/Q25)</f>
        <v/>
      </c>
      <c r="S25" s="207">
        <f>IF(Q25="","",O25/Q25)</f>
        <v/>
      </c>
      <c r="T25" s="207">
        <f>IF(Q25="","",P25/Q25)</f>
        <v/>
      </c>
      <c r="U25" s="210" t="n"/>
    </row>
    <row r="26" ht="15" customHeight="1" s="118">
      <c r="A26" s="205" t="n">
        <v>15</v>
      </c>
      <c r="B26" s="205" t="n"/>
      <c r="C26" s="205" t="n"/>
      <c r="D26" s="205" t="n"/>
      <c r="E26" s="205" t="n">
        <v>5</v>
      </c>
      <c r="F26" s="207">
        <f>(Componentes!AB12/(Componentes!AB12+Componentes!AB16))*Componentes!P12+(Componentes!AB16/(Componentes!AB12+Componentes!AB16))*Componentes!P16</f>
        <v/>
      </c>
      <c r="G26" s="208">
        <f>IF(#ref!="","",#ref!*7/$B$5)</f>
        <v/>
      </c>
      <c r="H26" s="208">
        <f>IF(#ref!="","",#ref!*7/$B$4)</f>
        <v/>
      </c>
      <c r="I26" s="208">
        <f>IF(#ref!="","",#ref!*7/F26)</f>
        <v/>
      </c>
      <c r="J26" s="209" t="n"/>
      <c r="K26" s="209" t="n"/>
      <c r="L26" s="209" t="n"/>
      <c r="M26" s="209" t="n"/>
      <c r="N26" s="207">
        <f>IF(OR(J26="",K26=""),"",K26-J26)</f>
        <v/>
      </c>
      <c r="O26" s="207">
        <f>IF(OR(K26="",L26=""),"",L26-K26)</f>
        <v/>
      </c>
      <c r="P26" s="207">
        <f>IF(OR(L26="",M26=""),"",M26-L26)</f>
        <v/>
      </c>
      <c r="Q26" s="207">
        <f>IF(OR(J26="",M26=""),"",M26-J26)</f>
        <v/>
      </c>
      <c r="R26" s="207">
        <f>IF(Q26="","",N26/Q26)</f>
        <v/>
      </c>
      <c r="S26" s="207">
        <f>IF(Q26="","",O26/Q26)</f>
        <v/>
      </c>
      <c r="T26" s="207">
        <f>IF(Q26="","",P26/Q26)</f>
        <v/>
      </c>
      <c r="U26" s="210" t="n"/>
    </row>
    <row r="28" ht="15" customHeight="1" s="118">
      <c r="A28" s="205" t="n">
        <v>16</v>
      </c>
      <c r="B28" s="206" t="inlineStr">
        <is>
          <t>ThyEug</t>
        </is>
      </c>
      <c r="C28" s="205" t="inlineStr">
        <is>
          <t>Thymol</t>
        </is>
      </c>
      <c r="D28" s="205" t="inlineStr">
        <is>
          <t>Eugenol</t>
        </is>
      </c>
      <c r="E28" s="205" t="n">
        <v>1</v>
      </c>
      <c r="F28" s="207">
        <f>(Componentes!AB12/(Componentes!AB12+Componentes!AB17))*Componentes!P12+(Componentes!AB17/(Componentes!AB12+Componentes!AB17))*Componentes!P17</f>
        <v/>
      </c>
      <c r="G28" s="208">
        <f>IF(#ref!="","",#ref!*7/$B$5)</f>
        <v/>
      </c>
      <c r="H28" s="208">
        <f>IF(#ref!="","",#ref!*7/$B$4)</f>
        <v/>
      </c>
      <c r="I28" s="208">
        <f>IF(#ref!="","",#ref!*7/F28)</f>
        <v/>
      </c>
      <c r="J28" s="209" t="n"/>
      <c r="K28" s="209" t="n"/>
      <c r="L28" s="209" t="n"/>
      <c r="M28" s="209" t="n"/>
      <c r="N28" s="207">
        <f>IF(OR(J28="",K28=""),"",K28-J28)</f>
        <v/>
      </c>
      <c r="O28" s="207">
        <f>IF(OR(K28="",L28=""),"",L28-K28)</f>
        <v/>
      </c>
      <c r="P28" s="207">
        <f>IF(OR(L28="",M28=""),"",M28-L28)</f>
        <v/>
      </c>
      <c r="Q28" s="207">
        <f>IF(OR(J28="",M28=""),"",M28-J28)</f>
        <v/>
      </c>
      <c r="R28" s="207">
        <f>IF(Q28="","",N28/Q28)</f>
        <v/>
      </c>
      <c r="S28" s="207">
        <f>IF(Q28="","",O28/Q28)</f>
        <v/>
      </c>
      <c r="T28" s="207">
        <f>IF(Q28="","",P28/Q28)</f>
        <v/>
      </c>
      <c r="U28" s="210" t="n"/>
    </row>
    <row r="29" ht="15" customHeight="1" s="118">
      <c r="A29" s="205" t="n">
        <v>17</v>
      </c>
      <c r="B29" s="205" t="n"/>
      <c r="C29" s="205" t="n"/>
      <c r="D29" s="205" t="n"/>
      <c r="E29" s="205" t="n">
        <v>2</v>
      </c>
      <c r="F29" s="207">
        <f>(Componentes!AB12/(Componentes!AB12+Componentes!AB17))*Componentes!P12+(Componentes!AB17/(Componentes!AB12+Componentes!AB17))*Componentes!P17</f>
        <v/>
      </c>
      <c r="G29" s="208">
        <f>IF(#ref!="","",#ref!*7/$B$5)</f>
        <v/>
      </c>
      <c r="H29" s="208">
        <f>IF(#ref!="","",#ref!*7/$B$4)</f>
        <v/>
      </c>
      <c r="I29" s="208">
        <f>IF(#ref!="","",#ref!*7/F29)</f>
        <v/>
      </c>
      <c r="J29" s="209" t="n"/>
      <c r="K29" s="209" t="n"/>
      <c r="L29" s="209" t="n"/>
      <c r="M29" s="209" t="n"/>
      <c r="N29" s="207">
        <f>IF(OR(J29="",K29=""),"",K29-J29)</f>
        <v/>
      </c>
      <c r="O29" s="207">
        <f>IF(OR(K29="",L29=""),"",L29-K29)</f>
        <v/>
      </c>
      <c r="P29" s="207">
        <f>IF(OR(L29="",M29=""),"",M29-L29)</f>
        <v/>
      </c>
      <c r="Q29" s="207">
        <f>IF(OR(J29="",M29=""),"",M29-J29)</f>
        <v/>
      </c>
      <c r="R29" s="207">
        <f>IF(Q29="","",N29/Q29)</f>
        <v/>
      </c>
      <c r="S29" s="207">
        <f>IF(Q29="","",O29/Q29)</f>
        <v/>
      </c>
      <c r="T29" s="207">
        <f>IF(Q29="","",P29/Q29)</f>
        <v/>
      </c>
      <c r="U29" s="210" t="n"/>
    </row>
    <row r="30" ht="15" customHeight="1" s="118">
      <c r="A30" s="205" t="n">
        <v>18</v>
      </c>
      <c r="B30" s="205" t="n"/>
      <c r="C30" s="205" t="n"/>
      <c r="D30" s="205" t="n"/>
      <c r="E30" s="205" t="n">
        <v>3</v>
      </c>
      <c r="F30" s="207">
        <f>(Componentes!AB12/(Componentes!AB12+Componentes!AB17))*Componentes!P12+(Componentes!AB17/(Componentes!AB12+Componentes!AB17))*Componentes!P17</f>
        <v/>
      </c>
      <c r="G30" s="208">
        <f>IF(#ref!="","",#ref!*7/$B$5)</f>
        <v/>
      </c>
      <c r="H30" s="208">
        <f>IF(#ref!="","",#ref!*7/$B$4)</f>
        <v/>
      </c>
      <c r="I30" s="208">
        <f>IF(#ref!="","",#ref!*7/F30)</f>
        <v/>
      </c>
      <c r="J30" s="209" t="n"/>
      <c r="K30" s="209" t="n"/>
      <c r="L30" s="209" t="n"/>
      <c r="M30" s="209" t="n"/>
      <c r="N30" s="207">
        <f>IF(OR(J30="",K30=""),"",K30-J30)</f>
        <v/>
      </c>
      <c r="O30" s="207">
        <f>IF(OR(K30="",L30=""),"",L30-K30)</f>
        <v/>
      </c>
      <c r="P30" s="207">
        <f>IF(OR(L30="",M30=""),"",M30-L30)</f>
        <v/>
      </c>
      <c r="Q30" s="207">
        <f>IF(OR(J30="",M30=""),"",M30-J30)</f>
        <v/>
      </c>
      <c r="R30" s="207">
        <f>IF(Q30="","",N30/Q30)</f>
        <v/>
      </c>
      <c r="S30" s="207">
        <f>IF(Q30="","",O30/Q30)</f>
        <v/>
      </c>
      <c r="T30" s="207">
        <f>IF(Q30="","",P30/Q30)</f>
        <v/>
      </c>
      <c r="U30" s="210" t="n"/>
    </row>
    <row r="31" ht="15" customHeight="1" s="118">
      <c r="A31" s="205" t="n">
        <v>19</v>
      </c>
      <c r="B31" s="205" t="n"/>
      <c r="C31" s="205" t="n"/>
      <c r="D31" s="205" t="n"/>
      <c r="E31" s="205" t="n">
        <v>4</v>
      </c>
      <c r="F31" s="207">
        <f>(Componentes!AB12/(Componentes!AB12+Componentes!AB17))*Componentes!P12+(Componentes!AB17/(Componentes!AB12+Componentes!AB17))*Componentes!P17</f>
        <v/>
      </c>
      <c r="G31" s="208">
        <f>IF(#ref!="","",#ref!*7/$B$5)</f>
        <v/>
      </c>
      <c r="H31" s="208">
        <f>IF(#ref!="","",#ref!*7/$B$4)</f>
        <v/>
      </c>
      <c r="I31" s="208">
        <f>IF(#ref!="","",#ref!*7/F31)</f>
        <v/>
      </c>
      <c r="J31" s="209" t="n"/>
      <c r="K31" s="209" t="n"/>
      <c r="L31" s="209" t="n"/>
      <c r="M31" s="209" t="n"/>
      <c r="N31" s="207">
        <f>IF(OR(J31="",K31=""),"",K31-J31)</f>
        <v/>
      </c>
      <c r="O31" s="207">
        <f>IF(OR(K31="",L31=""),"",L31-K31)</f>
        <v/>
      </c>
      <c r="P31" s="207">
        <f>IF(OR(L31="",M31=""),"",M31-L31)</f>
        <v/>
      </c>
      <c r="Q31" s="207">
        <f>IF(OR(J31="",M31=""),"",M31-J31)</f>
        <v/>
      </c>
      <c r="R31" s="207">
        <f>IF(Q31="","",N31/Q31)</f>
        <v/>
      </c>
      <c r="S31" s="207">
        <f>IF(Q31="","",O31/Q31)</f>
        <v/>
      </c>
      <c r="T31" s="207">
        <f>IF(Q31="","",P31/Q31)</f>
        <v/>
      </c>
      <c r="U31" s="210" t="n"/>
    </row>
    <row r="32" ht="15" customHeight="1" s="118">
      <c r="A32" s="205" t="n">
        <v>20</v>
      </c>
      <c r="B32" s="205" t="n"/>
      <c r="C32" s="205" t="n"/>
      <c r="D32" s="205" t="n"/>
      <c r="E32" s="205" t="n">
        <v>5</v>
      </c>
      <c r="F32" s="207">
        <f>(Componentes!AB12/(Componentes!AB12+Componentes!AB17))*Componentes!P12+(Componentes!AB17/(Componentes!AB12+Componentes!AB17))*Componentes!P17</f>
        <v/>
      </c>
      <c r="G32" s="208">
        <f>IF(#ref!="","",#ref!*7/$B$5)</f>
        <v/>
      </c>
      <c r="H32" s="208">
        <f>IF(#ref!="","",#ref!*7/$B$4)</f>
        <v/>
      </c>
      <c r="I32" s="208">
        <f>IF(#ref!="","",#ref!*7/F32)</f>
        <v/>
      </c>
      <c r="J32" s="209" t="n"/>
      <c r="K32" s="209" t="n"/>
      <c r="L32" s="209" t="n"/>
      <c r="M32" s="209" t="n"/>
      <c r="N32" s="207">
        <f>IF(OR(J32="",K32=""),"",K32-J32)</f>
        <v/>
      </c>
      <c r="O32" s="207">
        <f>IF(OR(K32="",L32=""),"",L32-K32)</f>
        <v/>
      </c>
      <c r="P32" s="207">
        <f>IF(OR(L32="",M32=""),"",M32-L32)</f>
        <v/>
      </c>
      <c r="Q32" s="207">
        <f>IF(OR(J32="",M32=""),"",M32-J32)</f>
        <v/>
      </c>
      <c r="R32" s="207">
        <f>IF(Q32="","",N32/Q32)</f>
        <v/>
      </c>
      <c r="S32" s="207">
        <f>IF(Q32="","",O32/Q32)</f>
        <v/>
      </c>
      <c r="T32" s="207">
        <f>IF(Q32="","",P32/Q32)</f>
        <v/>
      </c>
      <c r="U32" s="210" t="n"/>
    </row>
    <row r="34" ht="15" customHeight="1" s="118">
      <c r="A34" s="205" t="n">
        <v>21</v>
      </c>
      <c r="B34" s="206" t="inlineStr">
        <is>
          <t>ThyCam</t>
        </is>
      </c>
      <c r="C34" s="205" t="inlineStr">
        <is>
          <t>Thymol</t>
        </is>
      </c>
      <c r="D34" s="205" t="inlineStr">
        <is>
          <t>Camphor</t>
        </is>
      </c>
      <c r="E34" s="205" t="n">
        <v>1</v>
      </c>
      <c r="F34" s="207">
        <f>(Componentes!AB12/(Componentes!AB12+Componentes!AB14))*Componentes!P12+(Componentes!AB14/(Componentes!AB12+Componentes!AB14))*Componentes!P14</f>
        <v/>
      </c>
      <c r="G34" s="208">
        <f>IF(#ref!="","",#ref!*7/$B$5)</f>
        <v/>
      </c>
      <c r="H34" s="208">
        <f>IF(#ref!="","",#ref!*7/$B$4)</f>
        <v/>
      </c>
      <c r="I34" s="208">
        <f>IF(#ref!="","",#ref!*7/F34)</f>
        <v/>
      </c>
      <c r="J34" s="209" t="n"/>
      <c r="K34" s="209" t="n"/>
      <c r="L34" s="209" t="n"/>
      <c r="M34" s="209" t="n"/>
      <c r="N34" s="207">
        <f>IF(OR(J34="",K34=""),"",K34-J34)</f>
        <v/>
      </c>
      <c r="O34" s="207">
        <f>IF(OR(K34="",L34=""),"",L34-K34)</f>
        <v/>
      </c>
      <c r="P34" s="207">
        <f>IF(OR(L34="",M34=""),"",M34-L34)</f>
        <v/>
      </c>
      <c r="Q34" s="207">
        <f>IF(OR(J34="",M34=""),"",M34-J34)</f>
        <v/>
      </c>
      <c r="R34" s="207">
        <f>IF(Q34="","",N34/Q34)</f>
        <v/>
      </c>
      <c r="S34" s="207">
        <f>IF(Q34="","",O34/Q34)</f>
        <v/>
      </c>
      <c r="T34" s="207">
        <f>IF(Q34="","",P34/Q34)</f>
        <v/>
      </c>
      <c r="U34" s="210" t="n"/>
    </row>
    <row r="35" ht="15" customHeight="1" s="118">
      <c r="A35" s="205" t="n">
        <v>22</v>
      </c>
      <c r="B35" s="205" t="n"/>
      <c r="C35" s="205" t="n"/>
      <c r="D35" s="205" t="n"/>
      <c r="E35" s="205" t="n">
        <v>2</v>
      </c>
      <c r="F35" s="207">
        <f>(Componentes!AB12/(Componentes!AB12+Componentes!AB14))*Componentes!P12+(Componentes!AB14/(Componentes!AB12+Componentes!AB14))*Componentes!P14</f>
        <v/>
      </c>
      <c r="G35" s="208">
        <f>IF(#ref!="","",#ref!*7/$B$5)</f>
        <v/>
      </c>
      <c r="H35" s="208">
        <f>IF(#ref!="","",#ref!*7/$B$4)</f>
        <v/>
      </c>
      <c r="I35" s="208">
        <f>IF(#ref!="","",#ref!*7/F35)</f>
        <v/>
      </c>
      <c r="J35" s="209" t="n"/>
      <c r="K35" s="209" t="n"/>
      <c r="L35" s="209" t="n"/>
      <c r="M35" s="209" t="n"/>
      <c r="N35" s="207">
        <f>IF(OR(J35="",K35=""),"",K35-J35)</f>
        <v/>
      </c>
      <c r="O35" s="207">
        <f>IF(OR(K35="",L35=""),"",L35-K35)</f>
        <v/>
      </c>
      <c r="P35" s="207">
        <f>IF(OR(L35="",M35=""),"",M35-L35)</f>
        <v/>
      </c>
      <c r="Q35" s="207">
        <f>IF(OR(J35="",M35=""),"",M35-J35)</f>
        <v/>
      </c>
      <c r="R35" s="207">
        <f>IF(Q35="","",N35/Q35)</f>
        <v/>
      </c>
      <c r="S35" s="207">
        <f>IF(Q35="","",O35/Q35)</f>
        <v/>
      </c>
      <c r="T35" s="207">
        <f>IF(Q35="","",P35/Q35)</f>
        <v/>
      </c>
      <c r="U35" s="210" t="n"/>
    </row>
    <row r="36" ht="15" customHeight="1" s="118">
      <c r="A36" s="205" t="n">
        <v>23</v>
      </c>
      <c r="B36" s="205" t="n"/>
      <c r="C36" s="205" t="n"/>
      <c r="D36" s="205" t="n"/>
      <c r="E36" s="205" t="n">
        <v>3</v>
      </c>
      <c r="F36" s="207">
        <f>(Componentes!AB12/(Componentes!AB12+Componentes!AB14))*Componentes!P12+(Componentes!AB14/(Componentes!AB12+Componentes!AB14))*Componentes!P14</f>
        <v/>
      </c>
      <c r="G36" s="208">
        <f>IF(#ref!="","",#ref!*7/$B$5)</f>
        <v/>
      </c>
      <c r="H36" s="208">
        <f>IF(#ref!="","",#ref!*7/$B$4)</f>
        <v/>
      </c>
      <c r="I36" s="208">
        <f>IF(#ref!="","",#ref!*7/F36)</f>
        <v/>
      </c>
      <c r="J36" s="209" t="n"/>
      <c r="K36" s="209" t="n"/>
      <c r="L36" s="209" t="n"/>
      <c r="M36" s="209" t="n"/>
      <c r="N36" s="207">
        <f>IF(OR(J36="",K36=""),"",K36-J36)</f>
        <v/>
      </c>
      <c r="O36" s="207">
        <f>IF(OR(K36="",L36=""),"",L36-K36)</f>
        <v/>
      </c>
      <c r="P36" s="207">
        <f>IF(OR(L36="",M36=""),"",M36-L36)</f>
        <v/>
      </c>
      <c r="Q36" s="207">
        <f>IF(OR(J36="",M36=""),"",M36-J36)</f>
        <v/>
      </c>
      <c r="R36" s="207">
        <f>IF(Q36="","",N36/Q36)</f>
        <v/>
      </c>
      <c r="S36" s="207">
        <f>IF(Q36="","",O36/Q36)</f>
        <v/>
      </c>
      <c r="T36" s="207">
        <f>IF(Q36="","",P36/Q36)</f>
        <v/>
      </c>
      <c r="U36" s="210" t="n"/>
    </row>
    <row r="37" ht="15" customHeight="1" s="118">
      <c r="A37" s="205" t="n">
        <v>24</v>
      </c>
      <c r="B37" s="205" t="n"/>
      <c r="C37" s="205" t="n"/>
      <c r="D37" s="205" t="n"/>
      <c r="E37" s="205" t="n">
        <v>4</v>
      </c>
      <c r="F37" s="207">
        <f>(Componentes!AB12/(Componentes!AB12+Componentes!AB14))*Componentes!P12+(Componentes!AB14/(Componentes!AB12+Componentes!AB14))*Componentes!P14</f>
        <v/>
      </c>
      <c r="G37" s="208">
        <f>IF(#ref!="","",#ref!*7/$B$5)</f>
        <v/>
      </c>
      <c r="H37" s="208">
        <f>IF(#ref!="","",#ref!*7/$B$4)</f>
        <v/>
      </c>
      <c r="I37" s="208">
        <f>IF(#ref!="","",#ref!*7/F37)</f>
        <v/>
      </c>
      <c r="J37" s="209" t="n"/>
      <c r="K37" s="209" t="n"/>
      <c r="L37" s="209" t="n"/>
      <c r="M37" s="209" t="n"/>
      <c r="N37" s="207">
        <f>IF(OR(J37="",K37=""),"",K37-J37)</f>
        <v/>
      </c>
      <c r="O37" s="207">
        <f>IF(OR(K37="",L37=""),"",L37-K37)</f>
        <v/>
      </c>
      <c r="P37" s="207">
        <f>IF(OR(L37="",M37=""),"",M37-L37)</f>
        <v/>
      </c>
      <c r="Q37" s="207">
        <f>IF(OR(J37="",M37=""),"",M37-J37)</f>
        <v/>
      </c>
      <c r="R37" s="207">
        <f>IF(Q37="","",N37/Q37)</f>
        <v/>
      </c>
      <c r="S37" s="207">
        <f>IF(Q37="","",O37/Q37)</f>
        <v/>
      </c>
      <c r="T37" s="207">
        <f>IF(Q37="","",P37/Q37)</f>
        <v/>
      </c>
      <c r="U37" s="210" t="n"/>
    </row>
    <row r="38" ht="15" customHeight="1" s="118">
      <c r="A38" s="205" t="n">
        <v>25</v>
      </c>
      <c r="B38" s="205" t="n"/>
      <c r="C38" s="205" t="n"/>
      <c r="D38" s="205" t="n"/>
      <c r="E38" s="205" t="n">
        <v>5</v>
      </c>
      <c r="F38" s="207">
        <f>(Componentes!AB12/(Componentes!AB12+Componentes!AB14))*Componentes!P12+(Componentes!AB14/(Componentes!AB12+Componentes!AB14))*Componentes!P14</f>
        <v/>
      </c>
      <c r="G38" s="208">
        <f>IF(#ref!="","",#ref!*7/$B$5)</f>
        <v/>
      </c>
      <c r="H38" s="208">
        <f>IF(#ref!="","",#ref!*7/$B$4)</f>
        <v/>
      </c>
      <c r="I38" s="208">
        <f>IF(#ref!="","",#ref!*7/F38)</f>
        <v/>
      </c>
      <c r="J38" s="209" t="n"/>
      <c r="K38" s="209" t="n"/>
      <c r="L38" s="209" t="n"/>
      <c r="M38" s="209" t="n"/>
      <c r="N38" s="207">
        <f>IF(OR(J38="",K38=""),"",K38-J38)</f>
        <v/>
      </c>
      <c r="O38" s="207">
        <f>IF(OR(K38="",L38=""),"",L38-K38)</f>
        <v/>
      </c>
      <c r="P38" s="207">
        <f>IF(OR(L38="",M38=""),"",M38-L38)</f>
        <v/>
      </c>
      <c r="Q38" s="207">
        <f>IF(OR(J38="",M38=""),"",M38-J38)</f>
        <v/>
      </c>
      <c r="R38" s="207">
        <f>IF(Q38="","",N38/Q38)</f>
        <v/>
      </c>
      <c r="S38" s="207">
        <f>IF(Q38="","",O38/Q38)</f>
        <v/>
      </c>
      <c r="T38" s="207">
        <f>IF(Q38="","",P38/Q38)</f>
        <v/>
      </c>
      <c r="U38" s="210" t="n"/>
    </row>
    <row r="40" ht="15" customHeight="1" s="118">
      <c r="A40" s="205" t="n">
        <v>26</v>
      </c>
      <c r="B40" s="206" t="inlineStr">
        <is>
          <t>CamCar</t>
        </is>
      </c>
      <c r="C40" s="205" t="inlineStr">
        <is>
          <t>Camphor</t>
        </is>
      </c>
      <c r="D40" s="205" t="inlineStr">
        <is>
          <t>Carvone</t>
        </is>
      </c>
      <c r="E40" s="205" t="n">
        <v>1</v>
      </c>
      <c r="F40" s="207">
        <f>(Componentes!AB14/(Componentes!AB14+Componentes!AB13))*Componentes!P14+(Componentes!AB13/(Componentes!AB14+Componentes!AB13))*Componentes!P13</f>
        <v/>
      </c>
      <c r="G40" s="208">
        <f>IF(#ref!="","",#ref!*7/$B$5)</f>
        <v/>
      </c>
      <c r="H40" s="208">
        <f>IF(#ref!="","",#ref!*7/$B$4)</f>
        <v/>
      </c>
      <c r="I40" s="208">
        <f>IF(#ref!="","",#ref!*7/F40)</f>
        <v/>
      </c>
      <c r="J40" s="209" t="n"/>
      <c r="K40" s="209" t="n"/>
      <c r="L40" s="209" t="n"/>
      <c r="M40" s="209" t="n"/>
      <c r="N40" s="207">
        <f>IF(OR(J40="",K40=""),"",K40-J40)</f>
        <v/>
      </c>
      <c r="O40" s="207">
        <f>IF(OR(K40="",L40=""),"",L40-K40)</f>
        <v/>
      </c>
      <c r="P40" s="207">
        <f>IF(OR(L40="",M40=""),"",M40-L40)</f>
        <v/>
      </c>
      <c r="Q40" s="207">
        <f>IF(OR(J40="",M40=""),"",M40-J40)</f>
        <v/>
      </c>
      <c r="R40" s="207">
        <f>IF(Q40="","",N40/Q40)</f>
        <v/>
      </c>
      <c r="S40" s="207">
        <f>IF(Q40="","",O40/Q40)</f>
        <v/>
      </c>
      <c r="T40" s="207">
        <f>IF(Q40="","",P40/Q40)</f>
        <v/>
      </c>
      <c r="U40" s="210" t="n"/>
    </row>
    <row r="41" ht="15" customHeight="1" s="118">
      <c r="A41" s="205" t="n">
        <v>27</v>
      </c>
      <c r="B41" s="205" t="n"/>
      <c r="C41" s="205" t="n"/>
      <c r="D41" s="205" t="n"/>
      <c r="E41" s="205" t="n">
        <v>2</v>
      </c>
      <c r="F41" s="207">
        <f>(Componentes!AB14/(Componentes!AB14+Componentes!AB13))*Componentes!P14+(Componentes!AB13/(Componentes!AB14+Componentes!AB13))*Componentes!P13</f>
        <v/>
      </c>
      <c r="G41" s="208">
        <f>IF(#ref!="","",#ref!*7/$B$5)</f>
        <v/>
      </c>
      <c r="H41" s="208">
        <f>IF(#ref!="","",#ref!*7/$B$4)</f>
        <v/>
      </c>
      <c r="I41" s="208">
        <f>IF(#ref!="","",#ref!*7/F41)</f>
        <v/>
      </c>
      <c r="J41" s="209" t="n"/>
      <c r="K41" s="209" t="n"/>
      <c r="L41" s="209" t="n"/>
      <c r="M41" s="209" t="n"/>
      <c r="N41" s="207">
        <f>IF(OR(J41="",K41=""),"",K41-J41)</f>
        <v/>
      </c>
      <c r="O41" s="207">
        <f>IF(OR(K41="",L41=""),"",L41-K41)</f>
        <v/>
      </c>
      <c r="P41" s="207">
        <f>IF(OR(L41="",M41=""),"",M41-L41)</f>
        <v/>
      </c>
      <c r="Q41" s="207">
        <f>IF(OR(J41="",M41=""),"",M41-J41)</f>
        <v/>
      </c>
      <c r="R41" s="207">
        <f>IF(Q41="","",N41/Q41)</f>
        <v/>
      </c>
      <c r="S41" s="207">
        <f>IF(Q41="","",O41/Q41)</f>
        <v/>
      </c>
      <c r="T41" s="207">
        <f>IF(Q41="","",P41/Q41)</f>
        <v/>
      </c>
      <c r="U41" s="210" t="n"/>
    </row>
    <row r="42" ht="15" customHeight="1" s="118">
      <c r="A42" s="205" t="n">
        <v>28</v>
      </c>
      <c r="B42" s="205" t="n"/>
      <c r="C42" s="205" t="n"/>
      <c r="D42" s="205" t="n"/>
      <c r="E42" s="205" t="n">
        <v>3</v>
      </c>
      <c r="F42" s="207">
        <f>(Componentes!AB14/(Componentes!AB14+Componentes!AB13))*Componentes!P14+(Componentes!AB13/(Componentes!AB14+Componentes!AB13))*Componentes!P13</f>
        <v/>
      </c>
      <c r="G42" s="208">
        <f>IF(#ref!="","",#ref!*7/$B$5)</f>
        <v/>
      </c>
      <c r="H42" s="208">
        <f>IF(#ref!="","",#ref!*7/$B$4)</f>
        <v/>
      </c>
      <c r="I42" s="208">
        <f>IF(#ref!="","",#ref!*7/F42)</f>
        <v/>
      </c>
      <c r="J42" s="209" t="n"/>
      <c r="K42" s="209" t="n"/>
      <c r="L42" s="209" t="n"/>
      <c r="M42" s="209" t="n"/>
      <c r="N42" s="207">
        <f>IF(OR(J42="",K42=""),"",K42-J42)</f>
        <v/>
      </c>
      <c r="O42" s="207">
        <f>IF(OR(K42="",L42=""),"",L42-K42)</f>
        <v/>
      </c>
      <c r="P42" s="207">
        <f>IF(OR(L42="",M42=""),"",M42-L42)</f>
        <v/>
      </c>
      <c r="Q42" s="207">
        <f>IF(OR(J42="",M42=""),"",M42-J42)</f>
        <v/>
      </c>
      <c r="R42" s="207">
        <f>IF(Q42="","",N42/Q42)</f>
        <v/>
      </c>
      <c r="S42" s="207">
        <f>IF(Q42="","",O42/Q42)</f>
        <v/>
      </c>
      <c r="T42" s="207">
        <f>IF(Q42="","",P42/Q42)</f>
        <v/>
      </c>
      <c r="U42" s="210" t="n"/>
    </row>
    <row r="43" ht="15" customHeight="1" s="118">
      <c r="A43" s="205" t="n">
        <v>29</v>
      </c>
      <c r="B43" s="205" t="n"/>
      <c r="C43" s="205" t="n"/>
      <c r="D43" s="205" t="n"/>
      <c r="E43" s="205" t="n">
        <v>4</v>
      </c>
      <c r="F43" s="207">
        <f>(Componentes!AB14/(Componentes!AB14+Componentes!AB13))*Componentes!P14+(Componentes!AB13/(Componentes!AB14+Componentes!AB13))*Componentes!P13</f>
        <v/>
      </c>
      <c r="G43" s="208">
        <f>IF(#ref!="","",#ref!*7/$B$5)</f>
        <v/>
      </c>
      <c r="H43" s="208">
        <f>IF(#ref!="","",#ref!*7/$B$4)</f>
        <v/>
      </c>
      <c r="I43" s="208">
        <f>IF(#ref!="","",#ref!*7/F43)</f>
        <v/>
      </c>
      <c r="J43" s="209" t="n"/>
      <c r="K43" s="209" t="n"/>
      <c r="L43" s="209" t="n"/>
      <c r="M43" s="209" t="n"/>
      <c r="N43" s="207">
        <f>IF(OR(J43="",K43=""),"",K43-J43)</f>
        <v/>
      </c>
      <c r="O43" s="207">
        <f>IF(OR(K43="",L43=""),"",L43-K43)</f>
        <v/>
      </c>
      <c r="P43" s="207">
        <f>IF(OR(L43="",M43=""),"",M43-L43)</f>
        <v/>
      </c>
      <c r="Q43" s="207">
        <f>IF(OR(J43="",M43=""),"",M43-J43)</f>
        <v/>
      </c>
      <c r="R43" s="207">
        <f>IF(Q43="","",N43/Q43)</f>
        <v/>
      </c>
      <c r="S43" s="207">
        <f>IF(Q43="","",O43/Q43)</f>
        <v/>
      </c>
      <c r="T43" s="207">
        <f>IF(Q43="","",P43/Q43)</f>
        <v/>
      </c>
      <c r="U43" s="210" t="n"/>
    </row>
    <row r="44" ht="15" customHeight="1" s="118">
      <c r="A44" s="205" t="n">
        <v>30</v>
      </c>
      <c r="B44" s="205" t="n"/>
      <c r="C44" s="205" t="n"/>
      <c r="D44" s="205" t="n"/>
      <c r="E44" s="205" t="n">
        <v>5</v>
      </c>
      <c r="F44" s="207">
        <f>(Componentes!AB14/(Componentes!AB14+Componentes!AB13))*Componentes!P14+(Componentes!AB13/(Componentes!AB14+Componentes!AB13))*Componentes!P13</f>
        <v/>
      </c>
      <c r="G44" s="208">
        <f>IF(#ref!="","",#ref!*7/$B$5)</f>
        <v/>
      </c>
      <c r="H44" s="208">
        <f>IF(#ref!="","",#ref!*7/$B$4)</f>
        <v/>
      </c>
      <c r="I44" s="208">
        <f>IF(#ref!="","",#ref!*7/F44)</f>
        <v/>
      </c>
      <c r="J44" s="209" t="n"/>
      <c r="K44" s="209" t="n"/>
      <c r="L44" s="209" t="n"/>
      <c r="M44" s="209" t="n"/>
      <c r="N44" s="207">
        <f>IF(OR(J44="",K44=""),"",K44-J44)</f>
        <v/>
      </c>
      <c r="O44" s="207">
        <f>IF(OR(K44="",L44=""),"",L44-K44)</f>
        <v/>
      </c>
      <c r="P44" s="207">
        <f>IF(OR(L44="",M44=""),"",M44-L44)</f>
        <v/>
      </c>
      <c r="Q44" s="207">
        <f>IF(OR(J44="",M44=""),"",M44-J44)</f>
        <v/>
      </c>
      <c r="R44" s="207">
        <f>IF(Q44="","",N44/Q44)</f>
        <v/>
      </c>
      <c r="S44" s="207">
        <f>IF(Q44="","",O44/Q44)</f>
        <v/>
      </c>
      <c r="T44" s="207">
        <f>IF(Q44="","",P44/Q44)</f>
        <v/>
      </c>
      <c r="U44" s="210" t="n"/>
    </row>
    <row r="46" ht="15" customHeight="1" s="118">
      <c r="A46" s="205" t="n">
        <v>31</v>
      </c>
      <c r="B46" s="206" t="inlineStr">
        <is>
          <t>CamGer</t>
        </is>
      </c>
      <c r="C46" s="205" t="inlineStr">
        <is>
          <t>Camphor</t>
        </is>
      </c>
      <c r="D46" s="205" t="inlineStr">
        <is>
          <t>Geraniol</t>
        </is>
      </c>
      <c r="E46" s="205" t="n">
        <v>1</v>
      </c>
      <c r="F46" s="207">
        <f>(Componentes!AB14/(Componentes!AB14+Componentes!AB15))*Componentes!P14+(Componentes!AB15/(Componentes!AB14+Componentes!AB15))*Componentes!P15</f>
        <v/>
      </c>
      <c r="G46" s="208">
        <f>IF(#ref!="","",#ref!*7/$B$5)</f>
        <v/>
      </c>
      <c r="H46" s="208">
        <f>IF(#ref!="","",#ref!*7/$B$4)</f>
        <v/>
      </c>
      <c r="I46" s="208">
        <f>IF(#ref!="","",#ref!*7/F46)</f>
        <v/>
      </c>
      <c r="J46" s="209" t="n"/>
      <c r="K46" s="209" t="n"/>
      <c r="L46" s="209" t="n"/>
      <c r="M46" s="209" t="n"/>
      <c r="N46" s="207">
        <f>IF(OR(J46="",K46=""),"",K46-J46)</f>
        <v/>
      </c>
      <c r="O46" s="207">
        <f>IF(OR(K46="",L46=""),"",L46-K46)</f>
        <v/>
      </c>
      <c r="P46" s="207">
        <f>IF(OR(L46="",M46=""),"",M46-L46)</f>
        <v/>
      </c>
      <c r="Q46" s="207">
        <f>IF(OR(J46="",M46=""),"",M46-J46)</f>
        <v/>
      </c>
      <c r="R46" s="207">
        <f>IF(Q46="","",N46/Q46)</f>
        <v/>
      </c>
      <c r="S46" s="207">
        <f>IF(Q46="","",O46/Q46)</f>
        <v/>
      </c>
      <c r="T46" s="207">
        <f>IF(Q46="","",P46/Q46)</f>
        <v/>
      </c>
      <c r="U46" s="210" t="n"/>
    </row>
    <row r="47" ht="15" customHeight="1" s="118">
      <c r="A47" s="205" t="n">
        <v>32</v>
      </c>
      <c r="B47" s="205" t="n"/>
      <c r="C47" s="205" t="n"/>
      <c r="D47" s="205" t="n"/>
      <c r="E47" s="205" t="n">
        <v>2</v>
      </c>
      <c r="F47" s="207">
        <f>(Componentes!AB14/(Componentes!AB14+Componentes!AB15))*Componentes!P14+(Componentes!AB15/(Componentes!AB14+Componentes!AB15))*Componentes!P15</f>
        <v/>
      </c>
      <c r="G47" s="208">
        <f>IF(#ref!="","",#ref!*7/$B$5)</f>
        <v/>
      </c>
      <c r="H47" s="208">
        <f>IF(#ref!="","",#ref!*7/$B$4)</f>
        <v/>
      </c>
      <c r="I47" s="208">
        <f>IF(#ref!="","",#ref!*7/F47)</f>
        <v/>
      </c>
      <c r="J47" s="209" t="n"/>
      <c r="K47" s="209" t="n"/>
      <c r="L47" s="209" t="n"/>
      <c r="M47" s="209" t="n"/>
      <c r="N47" s="207">
        <f>IF(OR(J47="",K47=""),"",K47-J47)</f>
        <v/>
      </c>
      <c r="O47" s="207">
        <f>IF(OR(K47="",L47=""),"",L47-K47)</f>
        <v/>
      </c>
      <c r="P47" s="207">
        <f>IF(OR(L47="",M47=""),"",M47-L47)</f>
        <v/>
      </c>
      <c r="Q47" s="207">
        <f>IF(OR(J47="",M47=""),"",M47-J47)</f>
        <v/>
      </c>
      <c r="R47" s="207">
        <f>IF(Q47="","",N47/Q47)</f>
        <v/>
      </c>
      <c r="S47" s="207">
        <f>IF(Q47="","",O47/Q47)</f>
        <v/>
      </c>
      <c r="T47" s="207">
        <f>IF(Q47="","",P47/Q47)</f>
        <v/>
      </c>
      <c r="U47" s="210" t="n"/>
    </row>
    <row r="48" ht="15" customHeight="1" s="118">
      <c r="A48" s="205" t="n">
        <v>33</v>
      </c>
      <c r="B48" s="205" t="n"/>
      <c r="C48" s="205" t="n"/>
      <c r="D48" s="205" t="n"/>
      <c r="E48" s="205" t="n">
        <v>3</v>
      </c>
      <c r="F48" s="207">
        <f>(Componentes!AB14/(Componentes!AB14+Componentes!AB15))*Componentes!P14+(Componentes!AB15/(Componentes!AB14+Componentes!AB15))*Componentes!P15</f>
        <v/>
      </c>
      <c r="G48" s="208">
        <f>IF(#ref!="","",#ref!*7/$B$5)</f>
        <v/>
      </c>
      <c r="H48" s="208">
        <f>IF(#ref!="","",#ref!*7/$B$4)</f>
        <v/>
      </c>
      <c r="I48" s="208">
        <f>IF(#ref!="","",#ref!*7/F48)</f>
        <v/>
      </c>
      <c r="J48" s="209" t="n"/>
      <c r="K48" s="209" t="n"/>
      <c r="L48" s="209" t="n"/>
      <c r="M48" s="209" t="n"/>
      <c r="N48" s="207">
        <f>IF(OR(J48="",K48=""),"",K48-J48)</f>
        <v/>
      </c>
      <c r="O48" s="207">
        <f>IF(OR(K48="",L48=""),"",L48-K48)</f>
        <v/>
      </c>
      <c r="P48" s="207">
        <f>IF(OR(L48="",M48=""),"",M48-L48)</f>
        <v/>
      </c>
      <c r="Q48" s="207">
        <f>IF(OR(J48="",M48=""),"",M48-J48)</f>
        <v/>
      </c>
      <c r="R48" s="207">
        <f>IF(Q48="","",N48/Q48)</f>
        <v/>
      </c>
      <c r="S48" s="207">
        <f>IF(Q48="","",O48/Q48)</f>
        <v/>
      </c>
      <c r="T48" s="207">
        <f>IF(Q48="","",P48/Q48)</f>
        <v/>
      </c>
      <c r="U48" s="210" t="n"/>
    </row>
    <row r="49" ht="15" customHeight="1" s="118">
      <c r="A49" s="205" t="n">
        <v>34</v>
      </c>
      <c r="B49" s="205" t="n"/>
      <c r="C49" s="205" t="n"/>
      <c r="D49" s="205" t="n"/>
      <c r="E49" s="205" t="n">
        <v>4</v>
      </c>
      <c r="F49" s="207">
        <f>(Componentes!AB14/(Componentes!AB14+Componentes!AB15))*Componentes!P14+(Componentes!AB15/(Componentes!AB14+Componentes!AB15))*Componentes!P15</f>
        <v/>
      </c>
      <c r="G49" s="208">
        <f>IF(#ref!="","",#ref!*7/$B$5)</f>
        <v/>
      </c>
      <c r="H49" s="208">
        <f>IF(#ref!="","",#ref!*7/$B$4)</f>
        <v/>
      </c>
      <c r="I49" s="208">
        <f>IF(#ref!="","",#ref!*7/F49)</f>
        <v/>
      </c>
      <c r="J49" s="209" t="n"/>
      <c r="K49" s="209" t="n"/>
      <c r="L49" s="209" t="n"/>
      <c r="M49" s="209" t="n"/>
      <c r="N49" s="207">
        <f>IF(OR(J49="",K49=""),"",K49-J49)</f>
        <v/>
      </c>
      <c r="O49" s="207">
        <f>IF(OR(K49="",L49=""),"",L49-K49)</f>
        <v/>
      </c>
      <c r="P49" s="207">
        <f>IF(OR(L49="",M49=""),"",M49-L49)</f>
        <v/>
      </c>
      <c r="Q49" s="207">
        <f>IF(OR(J49="",M49=""),"",M49-J49)</f>
        <v/>
      </c>
      <c r="R49" s="207">
        <f>IF(Q49="","",N49/Q49)</f>
        <v/>
      </c>
      <c r="S49" s="207">
        <f>IF(Q49="","",O49/Q49)</f>
        <v/>
      </c>
      <c r="T49" s="207">
        <f>IF(Q49="","",P49/Q49)</f>
        <v/>
      </c>
      <c r="U49" s="210" t="n"/>
    </row>
    <row r="50" ht="15" customHeight="1" s="118">
      <c r="A50" s="205" t="n">
        <v>35</v>
      </c>
      <c r="B50" s="205" t="n"/>
      <c r="C50" s="205" t="n"/>
      <c r="D50" s="205" t="n"/>
      <c r="E50" s="205" t="n">
        <v>5</v>
      </c>
      <c r="F50" s="207">
        <f>(Componentes!AB14/(Componentes!AB14+Componentes!AB15))*Componentes!P14+(Componentes!AB15/(Componentes!AB14+Componentes!AB15))*Componentes!P15</f>
        <v/>
      </c>
      <c r="G50" s="208">
        <f>IF(#ref!="","",#ref!*7/$B$5)</f>
        <v/>
      </c>
      <c r="H50" s="208">
        <f>IF(#ref!="","",#ref!*7/$B$4)</f>
        <v/>
      </c>
      <c r="I50" s="208">
        <f>IF(#ref!="","",#ref!*7/F50)</f>
        <v/>
      </c>
      <c r="J50" s="209" t="n"/>
      <c r="K50" s="209" t="n"/>
      <c r="L50" s="209" t="n"/>
      <c r="M50" s="209" t="n"/>
      <c r="N50" s="207">
        <f>IF(OR(J50="",K50=""),"",K50-J50)</f>
        <v/>
      </c>
      <c r="O50" s="207">
        <f>IF(OR(K50="",L50=""),"",L50-K50)</f>
        <v/>
      </c>
      <c r="P50" s="207">
        <f>IF(OR(L50="",M50=""),"",M50-L50)</f>
        <v/>
      </c>
      <c r="Q50" s="207">
        <f>IF(OR(J50="",M50=""),"",M50-J50)</f>
        <v/>
      </c>
      <c r="R50" s="207">
        <f>IF(Q50="","",N50/Q50)</f>
        <v/>
      </c>
      <c r="S50" s="207">
        <f>IF(Q50="","",O50/Q50)</f>
        <v/>
      </c>
      <c r="T50" s="207">
        <f>IF(Q50="","",P50/Q50)</f>
        <v/>
      </c>
      <c r="U50" s="210" t="n"/>
    </row>
    <row r="52" ht="15" customHeight="1" s="118">
      <c r="A52" s="205" t="n">
        <v>36</v>
      </c>
      <c r="B52" s="206" t="inlineStr">
        <is>
          <t>CamCarvac</t>
        </is>
      </c>
      <c r="C52" s="205" t="inlineStr">
        <is>
          <t>Camphor</t>
        </is>
      </c>
      <c r="D52" s="205" t="inlineStr">
        <is>
          <t>Carvacrol</t>
        </is>
      </c>
      <c r="E52" s="205" t="n">
        <v>1</v>
      </c>
      <c r="F52" s="207">
        <f>(Componentes!AB14/(Componentes!AB14+Componentes!AB16))*Componentes!P14+(Componentes!AB16/(Componentes!AB14+Componentes!AB16))*Componentes!P16</f>
        <v/>
      </c>
      <c r="G52" s="208">
        <f>IF(#ref!="","",#ref!*7/$B$5)</f>
        <v/>
      </c>
      <c r="H52" s="208">
        <f>IF(#ref!="","",#ref!*7/$B$4)</f>
        <v/>
      </c>
      <c r="I52" s="208">
        <f>IF(#ref!="","",#ref!*7/F52)</f>
        <v/>
      </c>
      <c r="J52" s="209" t="n"/>
      <c r="K52" s="209" t="n"/>
      <c r="L52" s="209" t="n"/>
      <c r="M52" s="209" t="n"/>
      <c r="N52" s="207">
        <f>IF(OR(J52="",K52=""),"",K52-J52)</f>
        <v/>
      </c>
      <c r="O52" s="207">
        <f>IF(OR(K52="",L52=""),"",L52-K52)</f>
        <v/>
      </c>
      <c r="P52" s="207">
        <f>IF(OR(L52="",M52=""),"",M52-L52)</f>
        <v/>
      </c>
      <c r="Q52" s="207">
        <f>IF(OR(J52="",M52=""),"",M52-J52)</f>
        <v/>
      </c>
      <c r="R52" s="207">
        <f>IF(Q52="","",N52/Q52)</f>
        <v/>
      </c>
      <c r="S52" s="207">
        <f>IF(Q52="","",O52/Q52)</f>
        <v/>
      </c>
      <c r="T52" s="207">
        <f>IF(Q52="","",P52/Q52)</f>
        <v/>
      </c>
      <c r="U52" s="210" t="n"/>
    </row>
    <row r="53" ht="15" customHeight="1" s="118">
      <c r="A53" s="205" t="n">
        <v>37</v>
      </c>
      <c r="B53" s="205" t="n"/>
      <c r="C53" s="205" t="n"/>
      <c r="D53" s="205" t="n"/>
      <c r="E53" s="205" t="n">
        <v>2</v>
      </c>
      <c r="F53" s="207">
        <f>(Componentes!AB14/(Componentes!AB14+Componentes!AB16))*Componentes!P14+(Componentes!AB16/(Componentes!AB14+Componentes!AB16))*Componentes!P16</f>
        <v/>
      </c>
      <c r="G53" s="208">
        <f>IF(#ref!="","",#ref!*7/$B$5)</f>
        <v/>
      </c>
      <c r="H53" s="208">
        <f>IF(#ref!="","",#ref!*7/$B$4)</f>
        <v/>
      </c>
      <c r="I53" s="208">
        <f>IF(#ref!="","",#ref!*7/F53)</f>
        <v/>
      </c>
      <c r="J53" s="209" t="n"/>
      <c r="K53" s="209" t="n"/>
      <c r="L53" s="209" t="n"/>
      <c r="M53" s="209" t="n"/>
      <c r="N53" s="207">
        <f>IF(OR(J53="",K53=""),"",K53-J53)</f>
        <v/>
      </c>
      <c r="O53" s="207">
        <f>IF(OR(K53="",L53=""),"",L53-K53)</f>
        <v/>
      </c>
      <c r="P53" s="207">
        <f>IF(OR(L53="",M53=""),"",M53-L53)</f>
        <v/>
      </c>
      <c r="Q53" s="207">
        <f>IF(OR(J53="",M53=""),"",M53-J53)</f>
        <v/>
      </c>
      <c r="R53" s="207">
        <f>IF(Q53="","",N53/Q53)</f>
        <v/>
      </c>
      <c r="S53" s="207">
        <f>IF(Q53="","",O53/Q53)</f>
        <v/>
      </c>
      <c r="T53" s="207">
        <f>IF(Q53="","",P53/Q53)</f>
        <v/>
      </c>
      <c r="U53" s="210" t="n"/>
    </row>
    <row r="54" ht="15" customHeight="1" s="118">
      <c r="A54" s="205" t="n">
        <v>38</v>
      </c>
      <c r="B54" s="205" t="n"/>
      <c r="C54" s="205" t="n"/>
      <c r="D54" s="205" t="n"/>
      <c r="E54" s="205" t="n">
        <v>3</v>
      </c>
      <c r="F54" s="207">
        <f>(Componentes!AB14/(Componentes!AB14+Componentes!AB16))*Componentes!P14+(Componentes!AB16/(Componentes!AB14+Componentes!AB16))*Componentes!P16</f>
        <v/>
      </c>
      <c r="G54" s="208">
        <f>IF(#ref!="","",#ref!*7/$B$5)</f>
        <v/>
      </c>
      <c r="H54" s="208">
        <f>IF(#ref!="","",#ref!*7/$B$4)</f>
        <v/>
      </c>
      <c r="I54" s="208">
        <f>IF(#ref!="","",#ref!*7/F54)</f>
        <v/>
      </c>
      <c r="J54" s="209" t="n"/>
      <c r="K54" s="209" t="n"/>
      <c r="L54" s="209" t="n"/>
      <c r="M54" s="209" t="n"/>
      <c r="N54" s="207">
        <f>IF(OR(J54="",K54=""),"",K54-J54)</f>
        <v/>
      </c>
      <c r="O54" s="207">
        <f>IF(OR(K54="",L54=""),"",L54-K54)</f>
        <v/>
      </c>
      <c r="P54" s="207">
        <f>IF(OR(L54="",M54=""),"",M54-L54)</f>
        <v/>
      </c>
      <c r="Q54" s="207">
        <f>IF(OR(J54="",M54=""),"",M54-J54)</f>
        <v/>
      </c>
      <c r="R54" s="207">
        <f>IF(Q54="","",N54/Q54)</f>
        <v/>
      </c>
      <c r="S54" s="207">
        <f>IF(Q54="","",O54/Q54)</f>
        <v/>
      </c>
      <c r="T54" s="207">
        <f>IF(Q54="","",P54/Q54)</f>
        <v/>
      </c>
      <c r="U54" s="210" t="n"/>
    </row>
    <row r="55" ht="15" customHeight="1" s="118">
      <c r="A55" s="205" t="n">
        <v>39</v>
      </c>
      <c r="B55" s="205" t="n"/>
      <c r="C55" s="205" t="n"/>
      <c r="D55" s="205" t="n"/>
      <c r="E55" s="205" t="n">
        <v>4</v>
      </c>
      <c r="F55" s="207">
        <f>(Componentes!AB14/(Componentes!AB14+Componentes!AB16))*Componentes!P14+(Componentes!AB16/(Componentes!AB14+Componentes!AB16))*Componentes!P16</f>
        <v/>
      </c>
      <c r="G55" s="208">
        <f>IF(#ref!="","",#ref!*7/$B$5)</f>
        <v/>
      </c>
      <c r="H55" s="208">
        <f>IF(#ref!="","",#ref!*7/$B$4)</f>
        <v/>
      </c>
      <c r="I55" s="208">
        <f>IF(#ref!="","",#ref!*7/F55)</f>
        <v/>
      </c>
      <c r="J55" s="209" t="n"/>
      <c r="K55" s="209" t="n"/>
      <c r="L55" s="209" t="n"/>
      <c r="M55" s="209" t="n"/>
      <c r="N55" s="207">
        <f>IF(OR(J55="",K55=""),"",K55-J55)</f>
        <v/>
      </c>
      <c r="O55" s="207">
        <f>IF(OR(K55="",L55=""),"",L55-K55)</f>
        <v/>
      </c>
      <c r="P55" s="207">
        <f>IF(OR(L55="",M55=""),"",M55-L55)</f>
        <v/>
      </c>
      <c r="Q55" s="207">
        <f>IF(OR(J55="",M55=""),"",M55-J55)</f>
        <v/>
      </c>
      <c r="R55" s="207">
        <f>IF(Q55="","",N55/Q55)</f>
        <v/>
      </c>
      <c r="S55" s="207">
        <f>IF(Q55="","",O55/Q55)</f>
        <v/>
      </c>
      <c r="T55" s="207">
        <f>IF(Q55="","",P55/Q55)</f>
        <v/>
      </c>
      <c r="U55" s="210" t="n"/>
    </row>
    <row r="56" ht="15" customHeight="1" s="118">
      <c r="A56" s="205" t="n">
        <v>40</v>
      </c>
      <c r="B56" s="205" t="n"/>
      <c r="C56" s="205" t="n"/>
      <c r="D56" s="205" t="n"/>
      <c r="E56" s="205" t="n">
        <v>5</v>
      </c>
      <c r="F56" s="207">
        <f>(Componentes!AB14/(Componentes!AB14+Componentes!AB16))*Componentes!P14+(Componentes!AB16/(Componentes!AB14+Componentes!AB16))*Componentes!P16</f>
        <v/>
      </c>
      <c r="G56" s="208">
        <f>IF(#ref!="","",#ref!*7/$B$5)</f>
        <v/>
      </c>
      <c r="H56" s="208">
        <f>IF(#ref!="","",#ref!*7/$B$4)</f>
        <v/>
      </c>
      <c r="I56" s="208">
        <f>IF(#ref!="","",#ref!*7/F56)</f>
        <v/>
      </c>
      <c r="J56" s="209" t="n"/>
      <c r="K56" s="209" t="n"/>
      <c r="L56" s="209" t="n"/>
      <c r="M56" s="209" t="n"/>
      <c r="N56" s="207">
        <f>IF(OR(J56="",K56=""),"",K56-J56)</f>
        <v/>
      </c>
      <c r="O56" s="207">
        <f>IF(OR(K56="",L56=""),"",L56-K56)</f>
        <v/>
      </c>
      <c r="P56" s="207">
        <f>IF(OR(L56="",M56=""),"",M56-L56)</f>
        <v/>
      </c>
      <c r="Q56" s="207">
        <f>IF(OR(J56="",M56=""),"",M56-J56)</f>
        <v/>
      </c>
      <c r="R56" s="207">
        <f>IF(Q56="","",N56/Q56)</f>
        <v/>
      </c>
      <c r="S56" s="207">
        <f>IF(Q56="","",O56/Q56)</f>
        <v/>
      </c>
      <c r="T56" s="207">
        <f>IF(Q56="","",P56/Q56)</f>
        <v/>
      </c>
      <c r="U56" s="210" t="n"/>
    </row>
    <row r="58" ht="15" customHeight="1" s="118">
      <c r="A58" s="205" t="n">
        <v>41</v>
      </c>
      <c r="B58" s="206" t="inlineStr">
        <is>
          <t>CamEug</t>
        </is>
      </c>
      <c r="C58" s="205" t="inlineStr">
        <is>
          <t>Camphor</t>
        </is>
      </c>
      <c r="D58" s="205" t="inlineStr">
        <is>
          <t>Eugenol</t>
        </is>
      </c>
      <c r="E58" s="205" t="n">
        <v>1</v>
      </c>
      <c r="F58" s="207">
        <f>(Componentes!AB14/(Componentes!AB14+Componentes!AB17))*Componentes!P14+(Componentes!AB17/(Componentes!AB14+Componentes!AB17))*Componentes!P17</f>
        <v/>
      </c>
      <c r="G58" s="208">
        <f>IF(#ref!="","",#ref!*7/$B$5)</f>
        <v/>
      </c>
      <c r="H58" s="208">
        <f>IF(#ref!="","",#ref!*7/$B$4)</f>
        <v/>
      </c>
      <c r="I58" s="208">
        <f>IF(#ref!="","",#ref!*7/F58)</f>
        <v/>
      </c>
      <c r="J58" s="209" t="n"/>
      <c r="K58" s="209" t="n"/>
      <c r="L58" s="209" t="n"/>
      <c r="M58" s="209" t="n"/>
      <c r="N58" s="207">
        <f>IF(OR(J58="",K58=""),"",K58-J58)</f>
        <v/>
      </c>
      <c r="O58" s="207">
        <f>IF(OR(K58="",L58=""),"",L58-K58)</f>
        <v/>
      </c>
      <c r="P58" s="207">
        <f>IF(OR(L58="",M58=""),"",M58-L58)</f>
        <v/>
      </c>
      <c r="Q58" s="207">
        <f>IF(OR(J58="",M58=""),"",M58-J58)</f>
        <v/>
      </c>
      <c r="R58" s="207">
        <f>IF(Q58="","",N58/Q58)</f>
        <v/>
      </c>
      <c r="S58" s="207">
        <f>IF(Q58="","",O58/Q58)</f>
        <v/>
      </c>
      <c r="T58" s="207">
        <f>IF(Q58="","",P58/Q58)</f>
        <v/>
      </c>
      <c r="U58" s="210" t="n"/>
    </row>
    <row r="59" ht="15" customHeight="1" s="118">
      <c r="A59" s="205" t="n">
        <v>42</v>
      </c>
      <c r="B59" s="205" t="n"/>
      <c r="C59" s="205" t="n"/>
      <c r="D59" s="205" t="n"/>
      <c r="E59" s="205" t="n">
        <v>2</v>
      </c>
      <c r="F59" s="207">
        <f>(Componentes!AB14/(Componentes!AB14+Componentes!AB17))*Componentes!P14+(Componentes!AB17/(Componentes!AB14+Componentes!AB17))*Componentes!P17</f>
        <v/>
      </c>
      <c r="G59" s="208">
        <f>IF(#ref!="","",#ref!*7/$B$5)</f>
        <v/>
      </c>
      <c r="H59" s="208">
        <f>IF(#ref!="","",#ref!*7/$B$4)</f>
        <v/>
      </c>
      <c r="I59" s="208">
        <f>IF(#ref!="","",#ref!*7/F59)</f>
        <v/>
      </c>
      <c r="J59" s="209" t="n"/>
      <c r="K59" s="209" t="n"/>
      <c r="L59" s="209" t="n"/>
      <c r="M59" s="209" t="n"/>
      <c r="N59" s="207">
        <f>IF(OR(J59="",K59=""),"",K59-J59)</f>
        <v/>
      </c>
      <c r="O59" s="207">
        <f>IF(OR(K59="",L59=""),"",L59-K59)</f>
        <v/>
      </c>
      <c r="P59" s="207">
        <f>IF(OR(L59="",M59=""),"",M59-L59)</f>
        <v/>
      </c>
      <c r="Q59" s="207">
        <f>IF(OR(J59="",M59=""),"",M59-J59)</f>
        <v/>
      </c>
      <c r="R59" s="207">
        <f>IF(Q59="","",N59/Q59)</f>
        <v/>
      </c>
      <c r="S59" s="207">
        <f>IF(Q59="","",O59/Q59)</f>
        <v/>
      </c>
      <c r="T59" s="207">
        <f>IF(Q59="","",P59/Q59)</f>
        <v/>
      </c>
      <c r="U59" s="210" t="n"/>
    </row>
    <row r="60" ht="15" customHeight="1" s="118">
      <c r="A60" s="205" t="n">
        <v>43</v>
      </c>
      <c r="B60" s="205" t="n"/>
      <c r="C60" s="205" t="n"/>
      <c r="D60" s="205" t="n"/>
      <c r="E60" s="205" t="n">
        <v>3</v>
      </c>
      <c r="F60" s="207">
        <f>(Componentes!AB14/(Componentes!AB14+Componentes!AB17))*Componentes!P14+(Componentes!AB17/(Componentes!AB14+Componentes!AB17))*Componentes!P17</f>
        <v/>
      </c>
      <c r="G60" s="208">
        <f>IF(#ref!="","",#ref!*7/$B$5)</f>
        <v/>
      </c>
      <c r="H60" s="208">
        <f>IF(#ref!="","",#ref!*7/$B$4)</f>
        <v/>
      </c>
      <c r="I60" s="208">
        <f>IF(#ref!="","",#ref!*7/F60)</f>
        <v/>
      </c>
      <c r="J60" s="209" t="n"/>
      <c r="K60" s="209" t="n"/>
      <c r="L60" s="209" t="n"/>
      <c r="M60" s="209" t="n"/>
      <c r="N60" s="207">
        <f>IF(OR(J60="",K60=""),"",K60-J60)</f>
        <v/>
      </c>
      <c r="O60" s="207">
        <f>IF(OR(K60="",L60=""),"",L60-K60)</f>
        <v/>
      </c>
      <c r="P60" s="207">
        <f>IF(OR(L60="",M60=""),"",M60-L60)</f>
        <v/>
      </c>
      <c r="Q60" s="207">
        <f>IF(OR(J60="",M60=""),"",M60-J60)</f>
        <v/>
      </c>
      <c r="R60" s="207">
        <f>IF(Q60="","",N60/Q60)</f>
        <v/>
      </c>
      <c r="S60" s="207">
        <f>IF(Q60="","",O60/Q60)</f>
        <v/>
      </c>
      <c r="T60" s="207">
        <f>IF(Q60="","",P60/Q60)</f>
        <v/>
      </c>
      <c r="U60" s="210" t="n"/>
    </row>
    <row r="61" ht="15" customHeight="1" s="118">
      <c r="A61" s="205" t="n">
        <v>44</v>
      </c>
      <c r="B61" s="205" t="n"/>
      <c r="C61" s="205" t="n"/>
      <c r="D61" s="205" t="n"/>
      <c r="E61" s="205" t="n">
        <v>4</v>
      </c>
      <c r="F61" s="207">
        <f>(Componentes!AB14/(Componentes!AB14+Componentes!AB17))*Componentes!P14+(Componentes!AB17/(Componentes!AB14+Componentes!AB17))*Componentes!P17</f>
        <v/>
      </c>
      <c r="G61" s="208">
        <f>IF(#ref!="","",#ref!*7/$B$5)</f>
        <v/>
      </c>
      <c r="H61" s="208">
        <f>IF(#ref!="","",#ref!*7/$B$4)</f>
        <v/>
      </c>
      <c r="I61" s="208">
        <f>IF(#ref!="","",#ref!*7/F61)</f>
        <v/>
      </c>
      <c r="J61" s="209" t="n"/>
      <c r="K61" s="209" t="n"/>
      <c r="L61" s="209" t="n"/>
      <c r="M61" s="209" t="n"/>
      <c r="N61" s="207">
        <f>IF(OR(J61="",K61=""),"",K61-J61)</f>
        <v/>
      </c>
      <c r="O61" s="207">
        <f>IF(OR(K61="",L61=""),"",L61-K61)</f>
        <v/>
      </c>
      <c r="P61" s="207">
        <f>IF(OR(L61="",M61=""),"",M61-L61)</f>
        <v/>
      </c>
      <c r="Q61" s="207">
        <f>IF(OR(J61="",M61=""),"",M61-J61)</f>
        <v/>
      </c>
      <c r="R61" s="207">
        <f>IF(Q61="","",N61/Q61)</f>
        <v/>
      </c>
      <c r="S61" s="207">
        <f>IF(Q61="","",O61/Q61)</f>
        <v/>
      </c>
      <c r="T61" s="207">
        <f>IF(Q61="","",P61/Q61)</f>
        <v/>
      </c>
      <c r="U61" s="210" t="n"/>
    </row>
    <row r="62" ht="15" customHeight="1" s="118">
      <c r="A62" s="205" t="n">
        <v>45</v>
      </c>
      <c r="B62" s="205" t="n"/>
      <c r="C62" s="205" t="n"/>
      <c r="D62" s="205" t="n"/>
      <c r="E62" s="205" t="n">
        <v>5</v>
      </c>
      <c r="F62" s="207">
        <f>(Componentes!AB14/(Componentes!AB14+Componentes!AB17))*Componentes!P14+(Componentes!AB17/(Componentes!AB14+Componentes!AB17))*Componentes!P17</f>
        <v/>
      </c>
      <c r="G62" s="208">
        <f>IF(#ref!="","",#ref!*7/$B$5)</f>
        <v/>
      </c>
      <c r="H62" s="208">
        <f>IF(#ref!="","",#ref!*7/$B$4)</f>
        <v/>
      </c>
      <c r="I62" s="208">
        <f>IF(#ref!="","",#ref!*7/F62)</f>
        <v/>
      </c>
      <c r="J62" s="209" t="n"/>
      <c r="K62" s="209" t="n"/>
      <c r="L62" s="209" t="n"/>
      <c r="M62" s="209" t="n"/>
      <c r="N62" s="207">
        <f>IF(OR(J62="",K62=""),"",K62-J62)</f>
        <v/>
      </c>
      <c r="O62" s="207">
        <f>IF(OR(K62="",L62=""),"",L62-K62)</f>
        <v/>
      </c>
      <c r="P62" s="207">
        <f>IF(OR(L62="",M62=""),"",M62-L62)</f>
        <v/>
      </c>
      <c r="Q62" s="207">
        <f>IF(OR(J62="",M62=""),"",M62-J62)</f>
        <v/>
      </c>
      <c r="R62" s="207">
        <f>IF(Q62="","",N62/Q62)</f>
        <v/>
      </c>
      <c r="S62" s="207">
        <f>IF(Q62="","",O62/Q62)</f>
        <v/>
      </c>
      <c r="T62" s="207">
        <f>IF(Q62="","",P62/Q62)</f>
        <v/>
      </c>
      <c r="U62" s="2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L42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A185" activeCellId="0" sqref="A185"/>
    </sheetView>
  </sheetViews>
  <sheetFormatPr baseColWidth="8" defaultColWidth="8.54296875" defaultRowHeight="15" customHeight="0" zeroHeight="0" outlineLevelRow="0"/>
  <cols>
    <col width="9" customWidth="1" style="117" min="1" max="1"/>
    <col width="7" customWidth="1" style="117" min="2" max="2"/>
    <col width="5" customWidth="1" style="117" min="3" max="3"/>
    <col width="12" customWidth="1" style="117" min="4" max="4"/>
    <col width="11" customWidth="1" style="117" min="5" max="5"/>
    <col width="12" customWidth="1" style="117" min="6" max="6"/>
    <col width="13" customWidth="1" style="117" min="7" max="7"/>
    <col width="11" customWidth="1" style="117" min="8" max="9"/>
    <col width="9" customWidth="1" style="117" min="10" max="10"/>
    <col width="12" customWidth="1" style="117" min="11" max="11"/>
    <col width="58.2" customWidth="1" style="117" min="12" max="12"/>
  </cols>
  <sheetData>
    <row r="1" ht="17.25" customHeight="1" s="118">
      <c r="A1" s="211" t="inlineStr">
        <is>
          <t>A — Thymol</t>
        </is>
      </c>
      <c r="H1" s="212" t="inlineStr">
        <is>
          <t>V_sample:</t>
        </is>
      </c>
      <c r="I1" s="213" t="inlineStr">
        <is>
          <t>200</t>
        </is>
      </c>
      <c r="J1" s="214" t="inlineStr">
        <is>
          <t>µL</t>
        </is>
      </c>
      <c r="K1" s="215" t="inlineStr">
        <is>
          <t>+800 µL IPA</t>
        </is>
      </c>
    </row>
    <row r="2" ht="15" customHeight="1" s="118">
      <c r="A2" s="195" t="inlineStr">
        <is>
          <t>terpene + Water  |  DF=5  |  Split 20:1  |  1.0 µL  |  DB-WAX</t>
        </is>
      </c>
      <c r="I2" s="216" t="inlineStr">
        <is>
          <t>■ KF routine</t>
        </is>
      </c>
      <c r="J2" s="217" t="inlineStr">
        <is>
          <t>□ KF if fishy</t>
        </is>
      </c>
    </row>
    <row r="3" ht="23.25" customHeight="1" s="118">
      <c r="A3" s="204" t="inlineStr">
        <is>
          <t>System</t>
        </is>
      </c>
      <c r="B3" s="204" t="inlineStr">
        <is>
          <t>Phase</t>
        </is>
      </c>
      <c r="C3" s="204" t="inlineStr">
        <is>
          <t>Rep</t>
        </is>
      </c>
      <c r="D3" s="204" t="inlineStr">
        <is>
          <t>GC Vial ID</t>
        </is>
      </c>
      <c r="E3" s="204" t="inlineStr">
        <is>
          <t>W_vial
(g)</t>
        </is>
      </c>
      <c r="F3" s="204" t="inlineStr">
        <is>
          <t>W +sample
(g)</t>
        </is>
      </c>
      <c r="G3" s="204" t="inlineStr">
        <is>
          <t>W +solvent
(g)</t>
        </is>
      </c>
      <c r="H3" s="204" t="inlineStr">
        <is>
          <t>m_sample
(g)</t>
        </is>
      </c>
      <c r="I3" s="204" t="inlineStr">
        <is>
          <t>m_solvent
(g)</t>
        </is>
      </c>
      <c r="J3" s="204" t="inlineStr">
        <is>
          <t>DF</t>
        </is>
      </c>
      <c r="K3" s="204" t="inlineStr">
        <is>
          <t>KF w_water
(%)</t>
        </is>
      </c>
      <c r="L3" s="204" t="inlineStr">
        <is>
          <t>Notes</t>
        </is>
      </c>
    </row>
    <row r="4" ht="15" customHeight="1" s="118">
      <c r="A4" s="218" t="inlineStr">
        <is>
          <t>A1</t>
        </is>
      </c>
      <c r="B4" s="219" t="inlineStr">
        <is>
          <t>Top</t>
        </is>
      </c>
      <c r="C4" s="220" t="n">
        <v>1</v>
      </c>
      <c r="D4" s="221" t="inlineStr">
        <is>
          <t>A1-T1</t>
        </is>
      </c>
      <c r="E4" s="222" t="n"/>
      <c r="F4" s="222" t="n"/>
      <c r="G4" s="222" t="n"/>
      <c r="H4" s="223">
        <f>IF(OR(E4="",F4=""),"",F4-E4)</f>
        <v/>
      </c>
      <c r="I4" s="223">
        <f>IF(OR(F4="",G4=""),"",G4-F4)</f>
        <v/>
      </c>
      <c r="J4" s="224">
        <f>IF(OR(H4="",I4=""),"",(H4+I4)/H4)</f>
        <v/>
      </c>
      <c r="K4" s="225" t="n"/>
      <c r="L4" s="226" t="n"/>
    </row>
    <row r="5" ht="15" customHeight="1" s="118">
      <c r="A5" s="227" t="n"/>
      <c r="B5" s="227" t="n"/>
      <c r="C5" s="227" t="n">
        <v>2</v>
      </c>
      <c r="D5" s="228" t="inlineStr">
        <is>
          <t>A1-T2</t>
        </is>
      </c>
      <c r="E5" s="209" t="n"/>
      <c r="F5" s="209" t="n"/>
      <c r="G5" s="209" t="n"/>
      <c r="H5" s="207">
        <f>IF(OR(E5="",F5=""),"",F5-E5)</f>
        <v/>
      </c>
      <c r="I5" s="207">
        <f>IF(OR(F5="",G5=""),"",G5-F5)</f>
        <v/>
      </c>
      <c r="J5" s="229">
        <f>IF(OR(H5="",I5=""),"",(H5+I5)/H5)</f>
        <v/>
      </c>
      <c r="K5" s="230" t="n"/>
      <c r="L5" s="210" t="n"/>
    </row>
    <row r="6" ht="15" customHeight="1" s="118">
      <c r="A6" s="231" t="n"/>
      <c r="B6" s="232" t="inlineStr">
        <is>
          <t>Bot</t>
        </is>
      </c>
      <c r="C6" s="231" t="n">
        <v>1</v>
      </c>
      <c r="D6" s="228" t="inlineStr">
        <is>
          <t>A1-B1</t>
        </is>
      </c>
      <c r="E6" s="209" t="n"/>
      <c r="F6" s="209" t="n"/>
      <c r="G6" s="209" t="n"/>
      <c r="H6" s="207">
        <f>IF(OR(E6="",F6=""),"",F6-E6)</f>
        <v/>
      </c>
      <c r="I6" s="207">
        <f>IF(OR(F6="",G6=""),"",G6-F6)</f>
        <v/>
      </c>
      <c r="J6" s="229">
        <f>IF(OR(H6="",I6=""),"",(H6+I6)/H6)</f>
        <v/>
      </c>
      <c r="K6" s="233" t="n"/>
      <c r="L6" s="210" t="n"/>
    </row>
    <row r="7" ht="15" customHeight="1" s="118">
      <c r="A7" s="231" t="n"/>
      <c r="B7" s="231" t="n"/>
      <c r="C7" s="231" t="n">
        <v>2</v>
      </c>
      <c r="D7" s="228" t="inlineStr">
        <is>
          <t>A1-B2</t>
        </is>
      </c>
      <c r="E7" s="209" t="n"/>
      <c r="F7" s="209" t="n"/>
      <c r="G7" s="209" t="n"/>
      <c r="H7" s="207">
        <f>IF(OR(E7="",F7=""),"",F7-E7)</f>
        <v/>
      </c>
      <c r="I7" s="207">
        <f>IF(OR(F7="",G7=""),"",G7-F7)</f>
        <v/>
      </c>
      <c r="J7" s="229">
        <f>IF(OR(H7="",I7=""),"",(H7+I7)/H7)</f>
        <v/>
      </c>
      <c r="K7" s="230" t="n"/>
      <c r="L7" s="210" t="n"/>
    </row>
    <row r="8" ht="15" customHeight="1" s="118">
      <c r="A8" s="211" t="inlineStr">
        <is>
          <t>B — DL Camphor</t>
        </is>
      </c>
      <c r="H8" s="212" t="inlineStr">
        <is>
          <t>V_sample:</t>
        </is>
      </c>
      <c r="I8" s="213" t="inlineStr">
        <is>
          <t>200</t>
        </is>
      </c>
      <c r="J8" s="214" t="inlineStr">
        <is>
          <t>µL</t>
        </is>
      </c>
      <c r="K8" s="215" t="inlineStr">
        <is>
          <t>+800 µL IPA</t>
        </is>
      </c>
    </row>
    <row r="9" ht="15" customHeight="1" s="118">
      <c r="A9" s="195" t="inlineStr">
        <is>
          <t>terpene + Water  |  DF=5  |  Split 20:1  |  1.0 µL  |  DB-WAX</t>
        </is>
      </c>
      <c r="I9" s="216" t="inlineStr">
        <is>
          <t>■ KF routine</t>
        </is>
      </c>
      <c r="J9" s="217" t="inlineStr">
        <is>
          <t>□ KF if fishy</t>
        </is>
      </c>
    </row>
    <row r="10" ht="15" customHeight="1" s="118">
      <c r="A10" s="204" t="inlineStr">
        <is>
          <t>System</t>
        </is>
      </c>
      <c r="B10" s="204" t="inlineStr">
        <is>
          <t>Phase</t>
        </is>
      </c>
      <c r="C10" s="204" t="inlineStr">
        <is>
          <t>Rep</t>
        </is>
      </c>
      <c r="D10" s="204" t="inlineStr">
        <is>
          <t>GC Vial ID</t>
        </is>
      </c>
      <c r="E10" s="204" t="inlineStr">
        <is>
          <t>W_vial
(g)</t>
        </is>
      </c>
      <c r="F10" s="204" t="inlineStr">
        <is>
          <t>W +sample
(g)</t>
        </is>
      </c>
      <c r="G10" s="204" t="inlineStr">
        <is>
          <t>W +solvent
(g)</t>
        </is>
      </c>
      <c r="H10" s="204" t="inlineStr">
        <is>
          <t>m_sample
(g)</t>
        </is>
      </c>
      <c r="I10" s="204" t="inlineStr">
        <is>
          <t>m_solvent
(g)</t>
        </is>
      </c>
      <c r="J10" s="204" t="inlineStr">
        <is>
          <t>DF</t>
        </is>
      </c>
      <c r="K10" s="204" t="inlineStr">
        <is>
          <t>KF w_water
(%)</t>
        </is>
      </c>
      <c r="L10" s="204" t="inlineStr">
        <is>
          <t>Notes</t>
        </is>
      </c>
    </row>
    <row r="11" ht="15" customHeight="1" s="118">
      <c r="A11" s="218" t="inlineStr">
        <is>
          <t>B1</t>
        </is>
      </c>
      <c r="B11" s="219" t="inlineStr">
        <is>
          <t>Top</t>
        </is>
      </c>
      <c r="C11" s="220" t="n">
        <v>1</v>
      </c>
      <c r="D11" s="221" t="inlineStr">
        <is>
          <t>B1-T1</t>
        </is>
      </c>
      <c r="E11" s="222" t="n"/>
      <c r="F11" s="222" t="n"/>
      <c r="G11" s="222" t="n"/>
      <c r="H11" s="223">
        <f>IF(OR(E27="",F27=""),"",F27-E27)</f>
        <v/>
      </c>
      <c r="I11" s="223">
        <f>IF(OR(F27="",G27=""),"",G27-F27)</f>
        <v/>
      </c>
      <c r="J11" s="224">
        <f>IF(OR(H27="",I27=""),"",(H27+I27)/H27)</f>
        <v/>
      </c>
      <c r="K11" s="225" t="n"/>
      <c r="L11" s="226" t="n"/>
    </row>
    <row r="12" ht="15" customHeight="1" s="118">
      <c r="A12" s="227" t="n"/>
      <c r="B12" s="227" t="n"/>
      <c r="C12" s="227" t="n">
        <v>2</v>
      </c>
      <c r="D12" s="228" t="inlineStr">
        <is>
          <t>B1-T2</t>
        </is>
      </c>
      <c r="E12" s="209" t="n"/>
      <c r="F12" s="209" t="n"/>
      <c r="G12" s="209" t="n"/>
      <c r="H12" s="207">
        <f>IF(OR(E28="",F28=""),"",F28-E28)</f>
        <v/>
      </c>
      <c r="I12" s="207">
        <f>IF(OR(F28="",G28=""),"",G28-F28)</f>
        <v/>
      </c>
      <c r="J12" s="229">
        <f>IF(OR(H28="",I28=""),"",(H28+I28)/H28)</f>
        <v/>
      </c>
      <c r="K12" s="230" t="n"/>
      <c r="L12" s="210" t="n"/>
    </row>
    <row r="13" ht="15" customHeight="1" s="118">
      <c r="A13" s="231" t="n"/>
      <c r="B13" s="232" t="inlineStr">
        <is>
          <t>Bot</t>
        </is>
      </c>
      <c r="C13" s="231" t="n">
        <v>1</v>
      </c>
      <c r="D13" s="228" t="inlineStr">
        <is>
          <t>B1-B1</t>
        </is>
      </c>
      <c r="E13" s="209" t="n"/>
      <c r="F13" s="209" t="n"/>
      <c r="G13" s="209" t="n"/>
      <c r="H13" s="207">
        <f>IF(OR(E29="",F29=""),"",F29-E29)</f>
        <v/>
      </c>
      <c r="I13" s="207">
        <f>IF(OR(F29="",G29=""),"",G29-F29)</f>
        <v/>
      </c>
      <c r="J13" s="229">
        <f>IF(OR(H29="",I29=""),"",(H29+I29)/H29)</f>
        <v/>
      </c>
      <c r="K13" s="233" t="n"/>
      <c r="L13" s="210" t="n"/>
    </row>
    <row r="14" ht="15" customHeight="1" s="118">
      <c r="A14" s="231" t="n"/>
      <c r="B14" s="231" t="n"/>
      <c r="C14" s="231" t="n">
        <v>2</v>
      </c>
      <c r="D14" s="228" t="inlineStr">
        <is>
          <t>B1-B2</t>
        </is>
      </c>
      <c r="E14" s="209" t="n"/>
      <c r="F14" s="209" t="n"/>
      <c r="G14" s="209" t="n"/>
      <c r="H14" s="207">
        <f>IF(OR(E30="",F30=""),"",F30-E30)</f>
        <v/>
      </c>
      <c r="I14" s="207">
        <f>IF(OR(F30="",G30=""),"",G30-F30)</f>
        <v/>
      </c>
      <c r="J14" s="229">
        <f>IF(OR(H30="",I30=""),"",(H30+I30)/H30)</f>
        <v/>
      </c>
      <c r="K14" s="230" t="n"/>
      <c r="L14" s="210" t="n"/>
    </row>
    <row r="15" ht="15" customHeight="1" s="118">
      <c r="A15" s="211" t="inlineStr">
        <is>
          <t>C — Geraniol</t>
        </is>
      </c>
      <c r="H15" s="212" t="inlineStr">
        <is>
          <t>V_sample:</t>
        </is>
      </c>
      <c r="I15" s="213" t="inlineStr">
        <is>
          <t>200</t>
        </is>
      </c>
      <c r="J15" s="214" t="inlineStr">
        <is>
          <t>µL</t>
        </is>
      </c>
      <c r="K15" s="215" t="inlineStr">
        <is>
          <t>+800 µL IPA</t>
        </is>
      </c>
    </row>
    <row r="16" ht="15" customHeight="1" s="118">
      <c r="A16" s="195" t="inlineStr">
        <is>
          <t>terpene + Water  |  DF=5  |  Split 20:1  |  1.0 µL  |  DB-WAX</t>
        </is>
      </c>
      <c r="I16" s="216" t="inlineStr">
        <is>
          <t>■ KF routine</t>
        </is>
      </c>
      <c r="J16" s="217" t="inlineStr">
        <is>
          <t>□ KF if fishy</t>
        </is>
      </c>
    </row>
    <row r="17" ht="15" customHeight="1" s="118">
      <c r="A17" s="204" t="inlineStr">
        <is>
          <t>System</t>
        </is>
      </c>
      <c r="B17" s="204" t="inlineStr">
        <is>
          <t>Phase</t>
        </is>
      </c>
      <c r="C17" s="204" t="inlineStr">
        <is>
          <t>Rep</t>
        </is>
      </c>
      <c r="D17" s="204" t="inlineStr">
        <is>
          <t>GC Vial ID</t>
        </is>
      </c>
      <c r="E17" s="204" t="inlineStr">
        <is>
          <t>W_vial
(g)</t>
        </is>
      </c>
      <c r="F17" s="204" t="inlineStr">
        <is>
          <t>W +sample
(g)</t>
        </is>
      </c>
      <c r="G17" s="204" t="inlineStr">
        <is>
          <t>W +solvent
(g)</t>
        </is>
      </c>
      <c r="H17" s="204" t="inlineStr">
        <is>
          <t>m_sample
(g)</t>
        </is>
      </c>
      <c r="I17" s="204" t="inlineStr">
        <is>
          <t>m_solvent
(g)</t>
        </is>
      </c>
      <c r="J17" s="204" t="inlineStr">
        <is>
          <t>DF</t>
        </is>
      </c>
      <c r="K17" s="204" t="inlineStr">
        <is>
          <t>KF w_water
(%)</t>
        </is>
      </c>
      <c r="L17" s="204" t="inlineStr">
        <is>
          <t>Notes</t>
        </is>
      </c>
    </row>
    <row r="18" ht="15" customHeight="1" s="118">
      <c r="A18" s="218" t="inlineStr">
        <is>
          <t>C1</t>
        </is>
      </c>
      <c r="B18" s="219" t="inlineStr">
        <is>
          <t>Top</t>
        </is>
      </c>
      <c r="C18" s="220" t="n">
        <v>1</v>
      </c>
      <c r="D18" s="221" t="inlineStr">
        <is>
          <t>C1-T1</t>
        </is>
      </c>
      <c r="E18" s="222" t="n"/>
      <c r="F18" s="222" t="n"/>
      <c r="G18" s="222" t="n"/>
      <c r="H18" s="223">
        <f>IF(OR(E50="",F50=""),"",F50-E50)</f>
        <v/>
      </c>
      <c r="I18" s="223">
        <f>IF(OR(F50="",G50=""),"",G50-F50)</f>
        <v/>
      </c>
      <c r="J18" s="224">
        <f>IF(OR(H50="",I50=""),"",(H50+I50)/H50)</f>
        <v/>
      </c>
      <c r="K18" s="225" t="n"/>
      <c r="L18" s="226" t="n"/>
    </row>
    <row r="19" ht="15" customHeight="1" s="118">
      <c r="A19" s="227" t="n"/>
      <c r="B19" s="227" t="n"/>
      <c r="C19" s="227" t="n">
        <v>2</v>
      </c>
      <c r="D19" s="228" t="inlineStr">
        <is>
          <t>C1-T2</t>
        </is>
      </c>
      <c r="E19" s="209" t="n"/>
      <c r="F19" s="209" t="n"/>
      <c r="G19" s="209" t="n"/>
      <c r="H19" s="207">
        <f>IF(OR(E51="",F51=""),"",F51-E51)</f>
        <v/>
      </c>
      <c r="I19" s="207">
        <f>IF(OR(F51="",G51=""),"",G51-F51)</f>
        <v/>
      </c>
      <c r="J19" s="229">
        <f>IF(OR(H51="",I51=""),"",(H51+I51)/H51)</f>
        <v/>
      </c>
      <c r="K19" s="230" t="n"/>
      <c r="L19" s="210" t="n"/>
    </row>
    <row r="20" ht="15" customHeight="1" s="118">
      <c r="A20" s="231" t="n"/>
      <c r="B20" s="232" t="inlineStr">
        <is>
          <t>Bot</t>
        </is>
      </c>
      <c r="C20" s="231" t="n">
        <v>1</v>
      </c>
      <c r="D20" s="228" t="inlineStr">
        <is>
          <t>C1-B1</t>
        </is>
      </c>
      <c r="E20" s="209" t="n"/>
      <c r="F20" s="209" t="n"/>
      <c r="G20" s="209" t="n"/>
      <c r="H20" s="207">
        <f>IF(OR(E52="",F52=""),"",F52-E52)</f>
        <v/>
      </c>
      <c r="I20" s="207">
        <f>IF(OR(F52="",G52=""),"",G52-F52)</f>
        <v/>
      </c>
      <c r="J20" s="229">
        <f>IF(OR(H52="",I52=""),"",(H52+I52)/H52)</f>
        <v/>
      </c>
      <c r="K20" s="233" t="n"/>
      <c r="L20" s="210" t="n"/>
    </row>
    <row r="21" ht="15" customHeight="1" s="118">
      <c r="A21" s="231" t="n"/>
      <c r="B21" s="231" t="n"/>
      <c r="C21" s="231" t="n">
        <v>2</v>
      </c>
      <c r="D21" s="228" t="inlineStr">
        <is>
          <t>C1-B2</t>
        </is>
      </c>
      <c r="E21" s="209" t="n"/>
      <c r="F21" s="209" t="n"/>
      <c r="G21" s="209" t="n"/>
      <c r="H21" s="207">
        <f>IF(OR(E53="",F53=""),"",F53-E53)</f>
        <v/>
      </c>
      <c r="I21" s="207">
        <f>IF(OR(F53="",G53=""),"",G53-F53)</f>
        <v/>
      </c>
      <c r="J21" s="229">
        <f>IF(OR(H53="",I53=""),"",(H53+I53)/H53)</f>
        <v/>
      </c>
      <c r="K21" s="230" t="n"/>
      <c r="L21" s="210" t="n"/>
    </row>
    <row r="22" ht="15" customHeight="1" s="118">
      <c r="A22" s="211" t="inlineStr">
        <is>
          <t>D — Eugenol</t>
        </is>
      </c>
      <c r="H22" s="212" t="inlineStr">
        <is>
          <t>V_sample:</t>
        </is>
      </c>
      <c r="I22" s="213" t="inlineStr">
        <is>
          <t>200</t>
        </is>
      </c>
      <c r="J22" s="214" t="inlineStr">
        <is>
          <t>µL</t>
        </is>
      </c>
      <c r="K22" s="215" t="inlineStr">
        <is>
          <t>+800 µL IPA</t>
        </is>
      </c>
    </row>
    <row r="23" ht="15" customHeight="1" s="118">
      <c r="A23" s="195" t="inlineStr">
        <is>
          <t>terpene + Water  |  DF=5  |  Split 20:1  |  1.0 µL  |  DB-WAX</t>
        </is>
      </c>
      <c r="I23" s="216" t="inlineStr">
        <is>
          <t>■ KF routine</t>
        </is>
      </c>
      <c r="J23" s="217" t="inlineStr">
        <is>
          <t>□ KF if fishy</t>
        </is>
      </c>
    </row>
    <row r="24" ht="17.25" customHeight="1" s="118">
      <c r="A24" s="204" t="inlineStr">
        <is>
          <t>System</t>
        </is>
      </c>
      <c r="B24" s="204" t="inlineStr">
        <is>
          <t>Phase</t>
        </is>
      </c>
      <c r="C24" s="204" t="inlineStr">
        <is>
          <t>Rep</t>
        </is>
      </c>
      <c r="D24" s="204" t="inlineStr">
        <is>
          <t>GC Vial ID</t>
        </is>
      </c>
      <c r="E24" s="204" t="inlineStr">
        <is>
          <t>W_vial
(g)</t>
        </is>
      </c>
      <c r="F24" s="204" t="inlineStr">
        <is>
          <t>W +sample
(g)</t>
        </is>
      </c>
      <c r="G24" s="204" t="inlineStr">
        <is>
          <t>W +solvent
(g)</t>
        </is>
      </c>
      <c r="H24" s="204" t="inlineStr">
        <is>
          <t>m_sample
(g)</t>
        </is>
      </c>
      <c r="I24" s="204" t="inlineStr">
        <is>
          <t>m_solvent
(g)</t>
        </is>
      </c>
      <c r="J24" s="204" t="inlineStr">
        <is>
          <t>DF</t>
        </is>
      </c>
      <c r="K24" s="204" t="inlineStr">
        <is>
          <t>KF w_water
(%)</t>
        </is>
      </c>
      <c r="L24" s="204" t="inlineStr">
        <is>
          <t>Notes</t>
        </is>
      </c>
    </row>
    <row r="25" ht="15" customHeight="1" s="118">
      <c r="A25" s="218" t="inlineStr">
        <is>
          <t>D1</t>
        </is>
      </c>
      <c r="B25" s="219" t="inlineStr">
        <is>
          <t>Top</t>
        </is>
      </c>
      <c r="C25" s="220" t="n">
        <v>1</v>
      </c>
      <c r="D25" s="221" t="inlineStr">
        <is>
          <t>D1-T1</t>
        </is>
      </c>
      <c r="E25" s="222" t="n"/>
      <c r="F25" s="222" t="n"/>
      <c r="G25" s="222" t="n"/>
      <c r="H25" s="223">
        <f>IF(OR(E73="",F73=""),"",F73-E73)</f>
        <v/>
      </c>
      <c r="I25" s="223">
        <f>IF(OR(F73="",G73=""),"",G73-F73)</f>
        <v/>
      </c>
      <c r="J25" s="224">
        <f>IF(OR(H73="",I73=""),"",(H73+I73)/H73)</f>
        <v/>
      </c>
      <c r="K25" s="225" t="n"/>
      <c r="L25" s="226" t="n"/>
    </row>
    <row r="26" ht="23.25" customHeight="1" s="118">
      <c r="A26" s="227" t="n"/>
      <c r="B26" s="227" t="n"/>
      <c r="C26" s="227" t="n">
        <v>2</v>
      </c>
      <c r="D26" s="228" t="inlineStr">
        <is>
          <t>D1-T2</t>
        </is>
      </c>
      <c r="E26" s="209" t="n"/>
      <c r="F26" s="209" t="n"/>
      <c r="G26" s="209" t="n"/>
      <c r="H26" s="207">
        <f>IF(OR(E74="",F74=""),"",F74-E74)</f>
        <v/>
      </c>
      <c r="I26" s="207">
        <f>IF(OR(F74="",G74=""),"",G74-F74)</f>
        <v/>
      </c>
      <c r="J26" s="229">
        <f>IF(OR(H74="",I74=""),"",(H74+I74)/H74)</f>
        <v/>
      </c>
      <c r="K26" s="230" t="n"/>
      <c r="L26" s="210" t="n"/>
    </row>
    <row r="27" ht="15" customHeight="1" s="118">
      <c r="A27" s="231" t="n"/>
      <c r="B27" s="232" t="inlineStr">
        <is>
          <t>Bot</t>
        </is>
      </c>
      <c r="C27" s="231" t="n">
        <v>1</v>
      </c>
      <c r="D27" s="228" t="inlineStr">
        <is>
          <t>D1-B1</t>
        </is>
      </c>
      <c r="E27" s="209" t="n"/>
      <c r="F27" s="209" t="n"/>
      <c r="G27" s="209" t="n"/>
      <c r="H27" s="207">
        <f>IF(OR(E75="",F75=""),"",F75-E75)</f>
        <v/>
      </c>
      <c r="I27" s="207">
        <f>IF(OR(F75="",G75=""),"",G75-F75)</f>
        <v/>
      </c>
      <c r="J27" s="229">
        <f>IF(OR(H75="",I75=""),"",(H75+I75)/H75)</f>
        <v/>
      </c>
      <c r="K27" s="233" t="n"/>
      <c r="L27" s="210" t="n"/>
    </row>
    <row r="28" ht="15" customHeight="1" s="118">
      <c r="A28" s="231" t="n"/>
      <c r="B28" s="231" t="n"/>
      <c r="C28" s="231" t="n">
        <v>2</v>
      </c>
      <c r="D28" s="228" t="inlineStr">
        <is>
          <t>D1-B2</t>
        </is>
      </c>
      <c r="E28" s="209" t="n"/>
      <c r="F28" s="209" t="n"/>
      <c r="G28" s="209" t="n"/>
      <c r="H28" s="207">
        <f>IF(OR(E76="",F76=""),"",F76-E76)</f>
        <v/>
      </c>
      <c r="I28" s="207">
        <f>IF(OR(F76="",G76=""),"",G76-F76)</f>
        <v/>
      </c>
      <c r="J28" s="229">
        <f>IF(OR(H76="",I76=""),"",(H76+I76)/H76)</f>
        <v/>
      </c>
      <c r="K28" s="230" t="n"/>
      <c r="L28" s="210" t="n"/>
    </row>
    <row r="29" ht="15" customHeight="1" s="118">
      <c r="A29" s="211" t="inlineStr">
        <is>
          <t>E — L-Carvone</t>
        </is>
      </c>
      <c r="H29" s="212" t="inlineStr">
        <is>
          <t>V_sample:</t>
        </is>
      </c>
      <c r="I29" s="213" t="inlineStr">
        <is>
          <t>200</t>
        </is>
      </c>
      <c r="J29" s="214" t="inlineStr">
        <is>
          <t>µL</t>
        </is>
      </c>
      <c r="K29" s="215" t="inlineStr">
        <is>
          <t>+800 µL IPA</t>
        </is>
      </c>
    </row>
    <row r="30" ht="15" customHeight="1" s="118">
      <c r="A30" s="195" t="inlineStr">
        <is>
          <t>terpene + Water  |  DF=5  |  Split 20:1  |  1.0 µL  |  DB-WAX</t>
        </is>
      </c>
      <c r="I30" s="216" t="inlineStr">
        <is>
          <t>■ KF routine</t>
        </is>
      </c>
      <c r="J30" s="217" t="inlineStr">
        <is>
          <t>□ KF if fishy</t>
        </is>
      </c>
    </row>
    <row r="31" ht="15" customHeight="1" s="118">
      <c r="A31" s="204" t="inlineStr">
        <is>
          <t>System</t>
        </is>
      </c>
      <c r="B31" s="204" t="inlineStr">
        <is>
          <t>Phase</t>
        </is>
      </c>
      <c r="C31" s="204" t="inlineStr">
        <is>
          <t>Rep</t>
        </is>
      </c>
      <c r="D31" s="204" t="inlineStr">
        <is>
          <t>GC Vial ID</t>
        </is>
      </c>
      <c r="E31" s="204" t="inlineStr">
        <is>
          <t>W_vial
(g)</t>
        </is>
      </c>
      <c r="F31" s="204" t="inlineStr">
        <is>
          <t>W +sample
(g)</t>
        </is>
      </c>
      <c r="G31" s="204" t="inlineStr">
        <is>
          <t>W +solvent
(g)</t>
        </is>
      </c>
      <c r="H31" s="204" t="inlineStr">
        <is>
          <t>m_sample
(g)</t>
        </is>
      </c>
      <c r="I31" s="204" t="inlineStr">
        <is>
          <t>m_solvent
(g)</t>
        </is>
      </c>
      <c r="J31" s="204" t="inlineStr">
        <is>
          <t>DF</t>
        </is>
      </c>
      <c r="K31" s="204" t="inlineStr">
        <is>
          <t>KF w_water
(%)</t>
        </is>
      </c>
      <c r="L31" s="204" t="inlineStr">
        <is>
          <t>Notes</t>
        </is>
      </c>
    </row>
    <row r="32" ht="15" customHeight="1" s="118">
      <c r="A32" s="218" t="inlineStr">
        <is>
          <t>E1</t>
        </is>
      </c>
      <c r="B32" s="219" t="inlineStr">
        <is>
          <t>Top</t>
        </is>
      </c>
      <c r="C32" s="220" t="n">
        <v>1</v>
      </c>
      <c r="D32" s="221" t="inlineStr">
        <is>
          <t>E1-T1</t>
        </is>
      </c>
      <c r="E32" s="222" t="n"/>
      <c r="F32" s="222" t="n"/>
      <c r="G32" s="222" t="n"/>
      <c r="H32" s="223">
        <f>IF(OR(E96="",F96=""),"",F96-E96)</f>
        <v/>
      </c>
      <c r="I32" s="223">
        <f>IF(OR(F96="",G96=""),"",G96-F96)</f>
        <v/>
      </c>
      <c r="J32" s="224">
        <f>IF(OR(H96="",I96=""),"",(H96+I96)/H96)</f>
        <v/>
      </c>
      <c r="K32" s="225" t="n"/>
      <c r="L32" s="226" t="n"/>
    </row>
    <row r="33" ht="15" customHeight="1" s="118">
      <c r="A33" s="227" t="n"/>
      <c r="B33" s="227" t="n"/>
      <c r="C33" s="227" t="n">
        <v>2</v>
      </c>
      <c r="D33" s="228" t="inlineStr">
        <is>
          <t>E1-T2</t>
        </is>
      </c>
      <c r="E33" s="209" t="n"/>
      <c r="F33" s="209" t="n"/>
      <c r="G33" s="209" t="n"/>
      <c r="H33" s="207">
        <f>IF(OR(E97="",F97=""),"",F97-E97)</f>
        <v/>
      </c>
      <c r="I33" s="207">
        <f>IF(OR(F97="",G97=""),"",G97-F97)</f>
        <v/>
      </c>
      <c r="J33" s="229">
        <f>IF(OR(H97="",I97=""),"",(H97+I97)/H97)</f>
        <v/>
      </c>
      <c r="K33" s="230" t="n"/>
      <c r="L33" s="210" t="n"/>
    </row>
    <row r="34" ht="15" customHeight="1" s="118">
      <c r="A34" s="231" t="n"/>
      <c r="B34" s="232" t="inlineStr">
        <is>
          <t>Bot</t>
        </is>
      </c>
      <c r="C34" s="231" t="n">
        <v>1</v>
      </c>
      <c r="D34" s="228" t="inlineStr">
        <is>
          <t>E1-B1</t>
        </is>
      </c>
      <c r="E34" s="209" t="n"/>
      <c r="F34" s="209" t="n"/>
      <c r="G34" s="209" t="n"/>
      <c r="H34" s="207">
        <f>IF(OR(E98="",F98=""),"",F98-E98)</f>
        <v/>
      </c>
      <c r="I34" s="207">
        <f>IF(OR(F98="",G98=""),"",G98-F98)</f>
        <v/>
      </c>
      <c r="J34" s="229">
        <f>IF(OR(H98="",I98=""),"",(H98+I98)/H98)</f>
        <v/>
      </c>
      <c r="K34" s="233" t="n"/>
      <c r="L34" s="210" t="n"/>
    </row>
    <row r="35" ht="15" customHeight="1" s="118">
      <c r="A35" s="231" t="n"/>
      <c r="B35" s="231" t="n"/>
      <c r="C35" s="231" t="n">
        <v>2</v>
      </c>
      <c r="D35" s="228" t="inlineStr">
        <is>
          <t>E1-B2</t>
        </is>
      </c>
      <c r="E35" s="209" t="n"/>
      <c r="F35" s="209" t="n"/>
      <c r="G35" s="209" t="n"/>
      <c r="H35" s="207">
        <f>IF(OR(E99="",F99=""),"",F99-E99)</f>
        <v/>
      </c>
      <c r="I35" s="207">
        <f>IF(OR(F99="",G99=""),"",G99-F99)</f>
        <v/>
      </c>
      <c r="J35" s="229">
        <f>IF(OR(H99="",I99=""),"",(H99+I99)/H99)</f>
        <v/>
      </c>
      <c r="K35" s="230" t="n"/>
      <c r="L35" s="210" t="n"/>
    </row>
    <row r="36" ht="15" customHeight="1" s="118">
      <c r="A36" s="211" t="inlineStr">
        <is>
          <t>F — Carvacrol</t>
        </is>
      </c>
      <c r="H36" s="212" t="inlineStr">
        <is>
          <t>V_sample:</t>
        </is>
      </c>
      <c r="I36" s="213" t="inlineStr">
        <is>
          <t>200</t>
        </is>
      </c>
      <c r="J36" s="214" t="inlineStr">
        <is>
          <t>µL</t>
        </is>
      </c>
      <c r="K36" s="215" t="inlineStr">
        <is>
          <t>+800 µL IPA</t>
        </is>
      </c>
    </row>
    <row r="37" ht="15" customHeight="1" s="118">
      <c r="A37" s="195" t="inlineStr">
        <is>
          <t>terpene + Water  |  DF=5  |  Split 20:1  |  1.0 µL  |  DB-WAX</t>
        </is>
      </c>
      <c r="I37" s="216" t="inlineStr">
        <is>
          <t>■ KF routine</t>
        </is>
      </c>
      <c r="J37" s="217" t="inlineStr">
        <is>
          <t>□ KF if fishy</t>
        </is>
      </c>
    </row>
    <row r="38" ht="15" customHeight="1" s="118">
      <c r="A38" s="204" t="inlineStr">
        <is>
          <t>System</t>
        </is>
      </c>
      <c r="B38" s="204" t="inlineStr">
        <is>
          <t>Phase</t>
        </is>
      </c>
      <c r="C38" s="204" t="inlineStr">
        <is>
          <t>Rep</t>
        </is>
      </c>
      <c r="D38" s="204" t="inlineStr">
        <is>
          <t>GC Vial ID</t>
        </is>
      </c>
      <c r="E38" s="204" t="inlineStr">
        <is>
          <t>W_vial
(g)</t>
        </is>
      </c>
      <c r="F38" s="204" t="inlineStr">
        <is>
          <t>W +sample
(g)</t>
        </is>
      </c>
      <c r="G38" s="204" t="inlineStr">
        <is>
          <t>W +solvent
(g)</t>
        </is>
      </c>
      <c r="H38" s="204" t="inlineStr">
        <is>
          <t>m_sample
(g)</t>
        </is>
      </c>
      <c r="I38" s="204" t="inlineStr">
        <is>
          <t>m_solvent
(g)</t>
        </is>
      </c>
      <c r="J38" s="204" t="inlineStr">
        <is>
          <t>DF</t>
        </is>
      </c>
      <c r="K38" s="204" t="inlineStr">
        <is>
          <t>KF w_water
(%)</t>
        </is>
      </c>
      <c r="L38" s="204" t="inlineStr">
        <is>
          <t>Notes</t>
        </is>
      </c>
    </row>
    <row r="39" ht="15" customHeight="1" s="118">
      <c r="A39" s="218" t="inlineStr">
        <is>
          <t>F1</t>
        </is>
      </c>
      <c r="B39" s="219" t="inlineStr">
        <is>
          <t>Top</t>
        </is>
      </c>
      <c r="C39" s="220" t="n">
        <v>1</v>
      </c>
      <c r="D39" s="221" t="inlineStr">
        <is>
          <t>F1-T1</t>
        </is>
      </c>
      <c r="E39" s="222" t="n"/>
      <c r="F39" s="222" t="n"/>
      <c r="G39" s="222" t="n"/>
      <c r="H39" s="223">
        <f>IF(OR(E119="",F119=""),"",F119-E119)</f>
        <v/>
      </c>
      <c r="I39" s="223">
        <f>IF(OR(F119="",G119=""),"",G119-F119)</f>
        <v/>
      </c>
      <c r="J39" s="224">
        <f>IF(OR(H119="",I119=""),"",(H119+I119)/H119)</f>
        <v/>
      </c>
      <c r="K39" s="225" t="n"/>
      <c r="L39" s="226" t="n"/>
    </row>
    <row r="40" ht="15" customHeight="1" s="118">
      <c r="A40" s="227" t="n"/>
      <c r="B40" s="227" t="n"/>
      <c r="C40" s="227" t="n">
        <v>2</v>
      </c>
      <c r="D40" s="228" t="inlineStr">
        <is>
          <t>F1-T2</t>
        </is>
      </c>
      <c r="E40" s="209" t="n"/>
      <c r="F40" s="209" t="n"/>
      <c r="G40" s="209" t="n"/>
      <c r="H40" s="207">
        <f>IF(OR(E120="",F120=""),"",F120-E120)</f>
        <v/>
      </c>
      <c r="I40" s="207">
        <f>IF(OR(F120="",G120=""),"",G120-F120)</f>
        <v/>
      </c>
      <c r="J40" s="229">
        <f>IF(OR(H120="",I120=""),"",(H120+I120)/H120)</f>
        <v/>
      </c>
      <c r="K40" s="230" t="n"/>
      <c r="L40" s="210" t="n"/>
    </row>
    <row r="41" ht="15" customHeight="1" s="118">
      <c r="A41" s="231" t="n"/>
      <c r="B41" s="232" t="inlineStr">
        <is>
          <t>Bot</t>
        </is>
      </c>
      <c r="C41" s="231" t="n">
        <v>1</v>
      </c>
      <c r="D41" s="228" t="inlineStr">
        <is>
          <t>F1-B1</t>
        </is>
      </c>
      <c r="E41" s="209" t="n"/>
      <c r="F41" s="209" t="n"/>
      <c r="G41" s="209" t="n"/>
      <c r="H41" s="207">
        <f>IF(OR(E121="",F121=""),"",F121-E121)</f>
        <v/>
      </c>
      <c r="I41" s="207">
        <f>IF(OR(F121="",G121=""),"",G121-F121)</f>
        <v/>
      </c>
      <c r="J41" s="229">
        <f>IF(OR(H121="",I121=""),"",(H121+I121)/H121)</f>
        <v/>
      </c>
      <c r="K41" s="233" t="n"/>
      <c r="L41" s="210" t="n"/>
    </row>
    <row r="42" ht="15" customHeight="1" s="118">
      <c r="A42" s="231" t="n"/>
      <c r="B42" s="231" t="n"/>
      <c r="C42" s="231" t="n">
        <v>2</v>
      </c>
      <c r="D42" s="228" t="inlineStr">
        <is>
          <t>F1-B2</t>
        </is>
      </c>
      <c r="E42" s="209" t="n"/>
      <c r="F42" s="209" t="n"/>
      <c r="G42" s="209" t="n"/>
      <c r="H42" s="207">
        <f>IF(OR(E122="",F122=""),"",F122-E122)</f>
        <v/>
      </c>
      <c r="I42" s="207">
        <f>IF(OR(F122="",G122=""),"",G122-F122)</f>
        <v/>
      </c>
      <c r="J42" s="229">
        <f>IF(OR(H122="",I122=""),"",(H122+I122)/H122)</f>
        <v/>
      </c>
      <c r="K42" s="230" t="n"/>
      <c r="L42" s="210" t="n"/>
    </row>
    <row r="43" ht="15" customHeight="1" s="118"/>
    <row r="44" ht="15" customHeight="1" s="118"/>
    <row r="45" ht="15" customHeight="1" s="118"/>
    <row r="46" ht="15" customHeight="1" s="118"/>
    <row r="47" ht="17.25" customHeight="1" s="118"/>
    <row r="48" ht="15" customHeight="1" s="118"/>
    <row r="49" ht="23.25" customHeight="1" s="118"/>
    <row r="50" ht="15" customHeight="1" s="118"/>
    <row r="51" ht="15" customHeight="1" s="118"/>
    <row r="52" ht="15" customHeight="1" s="118"/>
    <row r="53" ht="15" customHeight="1" s="118"/>
    <row r="54" ht="15" customHeight="1" s="118"/>
    <row r="55" ht="15" customHeight="1" s="118"/>
    <row r="56" ht="15" customHeight="1" s="118"/>
    <row r="57" ht="15" customHeight="1" s="118"/>
    <row r="58" ht="15" customHeight="1" s="118"/>
    <row r="59" ht="15" customHeight="1" s="118"/>
    <row r="60" ht="15" customHeight="1" s="118"/>
    <row r="61" ht="15" customHeight="1" s="118"/>
    <row r="62" ht="15" customHeight="1" s="118"/>
    <row r="63" ht="15" customHeight="1" s="118"/>
    <row r="64" ht="15" customHeight="1" s="118"/>
    <row r="65" ht="15" customHeight="1" s="118"/>
    <row r="66" ht="15" customHeight="1" s="118"/>
    <row r="67" ht="15" customHeight="1" s="118"/>
    <row r="68" ht="15" customHeight="1" s="118"/>
    <row r="69" ht="15" customHeight="1" s="118"/>
    <row r="70" ht="17.25" customHeight="1" s="118"/>
    <row r="71" ht="15" customHeight="1" s="118"/>
    <row r="72" ht="23.25" customHeight="1" s="118"/>
    <row r="73" ht="15" customHeight="1" s="118"/>
    <row r="74" ht="15" customHeight="1" s="118"/>
    <row r="75" ht="15" customHeight="1" s="118"/>
    <row r="76" ht="15" customHeight="1" s="118"/>
    <row r="77" ht="15" customHeight="1" s="118"/>
    <row r="78" ht="15" customHeight="1" s="118"/>
    <row r="79" ht="15" customHeight="1" s="118"/>
    <row r="80" ht="15" customHeight="1" s="118"/>
    <row r="81" ht="15" customHeight="1" s="118"/>
    <row r="82" ht="15" customHeight="1" s="118"/>
    <row r="83" ht="15" customHeight="1" s="118"/>
    <row r="84" ht="15" customHeight="1" s="118"/>
    <row r="85" ht="15" customHeight="1" s="118"/>
    <row r="86" ht="15" customHeight="1" s="118"/>
    <row r="87" ht="15" customHeight="1" s="118"/>
    <row r="88" ht="15" customHeight="1" s="118"/>
    <row r="89" ht="15" customHeight="1" s="118"/>
    <row r="90" ht="15" customHeight="1" s="118"/>
    <row r="91" ht="15" customHeight="1" s="118"/>
    <row r="92" ht="15" customHeight="1" s="118"/>
    <row r="93" ht="17.25" customHeight="1" s="118"/>
    <row r="94" ht="15" customHeight="1" s="118"/>
    <row r="95" ht="23.25" customHeight="1" s="118"/>
    <row r="96" ht="15" customHeight="1" s="118"/>
    <row r="97" ht="15" customHeight="1" s="118"/>
    <row r="98" ht="15" customHeight="1" s="118"/>
    <row r="99" ht="15" customHeight="1" s="118"/>
    <row r="100" ht="15" customHeight="1" s="118"/>
    <row r="101" ht="15" customHeight="1" s="118"/>
    <row r="102" ht="15" customHeight="1" s="118"/>
    <row r="103" ht="15" customHeight="1" s="118"/>
    <row r="104" ht="15" customHeight="1" s="118"/>
    <row r="105" ht="15" customHeight="1" s="118"/>
    <row r="106" ht="15" customHeight="1" s="118"/>
    <row r="107" ht="15" customHeight="1" s="118"/>
    <row r="108" ht="15" customHeight="1" s="118"/>
    <row r="109" ht="15" customHeight="1" s="118"/>
    <row r="110" ht="15" customHeight="1" s="118"/>
    <row r="111" ht="15" customHeight="1" s="118"/>
    <row r="112" ht="15" customHeight="1" s="118"/>
    <row r="113" ht="15" customHeight="1" s="118"/>
    <row r="114" ht="15" customHeight="1" s="118"/>
    <row r="115" ht="15" customHeight="1" s="118"/>
    <row r="116" ht="17.25" customHeight="1" s="118"/>
    <row r="117" ht="15" customHeight="1" s="118"/>
    <row r="118" ht="23.25" customHeight="1" s="118"/>
    <row r="119" ht="15" customHeight="1" s="118"/>
    <row r="120" ht="15" customHeight="1" s="118"/>
    <row r="121" ht="15" customHeight="1" s="118"/>
    <row r="122" ht="15" customHeight="1" s="118"/>
    <row r="123" ht="15" customHeight="1" s="118"/>
    <row r="124" ht="15" customHeight="1" s="118"/>
    <row r="125" ht="15" customHeight="1" s="118"/>
    <row r="126" ht="15" customHeight="1" s="118"/>
    <row r="127" ht="15" customHeight="1" s="118"/>
    <row r="128" ht="15" customHeight="1" s="118"/>
    <row r="129" ht="15" customHeight="1" s="118"/>
    <row r="130" ht="15" customHeight="1" s="118"/>
    <row r="131" ht="15" customHeight="1" s="118"/>
    <row r="132" ht="15" customHeight="1" s="118"/>
    <row r="133" ht="15" customHeight="1" s="118"/>
    <row r="134" ht="15" customHeight="1" s="118"/>
    <row r="135" ht="15" customHeight="1" s="118"/>
    <row r="136" ht="15" customHeight="1" s="118"/>
    <row r="137" ht="15" customHeight="1" s="118"/>
    <row r="138" ht="15" customHeight="1" s="118"/>
    <row r="139" ht="17.25" customHeight="1" s="118"/>
    <row r="140" ht="15" customHeight="1" s="118"/>
    <row r="141" ht="23.25" customHeight="1" s="118"/>
    <row r="142" ht="15" customHeight="1" s="118"/>
    <row r="143" ht="15" customHeight="1" s="118"/>
    <row r="144" ht="15" customHeight="1" s="118"/>
    <row r="145" ht="15" customHeight="1" s="118"/>
    <row r="146" ht="15" customHeight="1" s="118"/>
    <row r="147" ht="15" customHeight="1" s="118"/>
    <row r="148" ht="15" customHeight="1" s="118"/>
    <row r="149" ht="15" customHeight="1" s="118"/>
    <row r="150" ht="15" customHeight="1" s="118"/>
    <row r="151" ht="15" customHeight="1" s="118"/>
    <row r="152" ht="15" customHeight="1" s="118"/>
    <row r="153" ht="15" customHeight="1" s="118"/>
    <row r="154" ht="15" customHeight="1" s="118"/>
    <row r="155" ht="15" customHeight="1" s="118"/>
    <row r="156" ht="15" customHeight="1" s="118"/>
    <row r="157" ht="15" customHeight="1" s="118"/>
    <row r="158" ht="15" customHeight="1" s="118"/>
    <row r="159" ht="15" customHeight="1" s="118"/>
    <row r="160" ht="15" customHeight="1" s="118"/>
    <row r="161" ht="15" customHeight="1" s="118"/>
    <row r="162" ht="17.25" customHeight="1" s="118"/>
    <row r="163" ht="15" customHeight="1" s="118"/>
    <row r="164" ht="23.25" customHeight="1" s="118"/>
    <row r="165" ht="15" customHeight="1" s="118"/>
    <row r="166" ht="15" customHeight="1" s="118"/>
    <row r="167" ht="15" customHeight="1" s="118"/>
    <row r="168" ht="15" customHeight="1" s="118"/>
    <row r="169" ht="15" customHeight="1" s="118"/>
    <row r="170" ht="15" customHeight="1" s="118"/>
    <row r="171" ht="15" customHeight="1" s="118"/>
    <row r="172" ht="15" customHeight="1" s="118"/>
    <row r="173" ht="15" customHeight="1" s="118"/>
    <row r="174" ht="15" customHeight="1" s="118"/>
    <row r="175" ht="15" customHeight="1" s="118"/>
    <row r="176" ht="15" customHeight="1" s="118"/>
    <row r="177" ht="15" customHeight="1" s="118"/>
    <row r="178" ht="15" customHeight="1" s="118"/>
    <row r="179" ht="15" customHeight="1" s="118"/>
    <row r="180" ht="15" customHeight="1" s="118"/>
    <row r="181" ht="15" customHeight="1" s="118"/>
    <row r="182" ht="15" customHeight="1" s="118"/>
    <row r="183" ht="15" customHeight="1" s="118"/>
    <row r="184" ht="15" customHeight="1" s="118"/>
    <row r="185" ht="17.25" customHeight="1" s="118"/>
    <row r="186" ht="15" customHeight="1" s="118"/>
    <row r="187" ht="70.5" customHeight="1" s="118"/>
    <row r="188" ht="70.5" customHeight="1" s="118"/>
    <row r="189" ht="70.5" customHeight="1" s="118"/>
    <row r="190" ht="70.5" customHeight="1" s="118"/>
    <row r="191" ht="70.5" customHeight="1" s="118"/>
    <row r="192" ht="70.5" customHeight="1" s="118"/>
    <row r="193" ht="70.5" customHeight="1" s="118"/>
    <row r="194" ht="70.5" customHeight="1" s="118"/>
    <row r="195" ht="70.5" customHeight="1" s="118"/>
    <row r="196" ht="70.5" customHeight="1" s="118"/>
    <row r="197" ht="70.5" customHeight="1" s="118"/>
    <row r="198" ht="70.5" customHeight="1" s="118"/>
    <row r="199" ht="70.5" customHeight="1" s="118"/>
    <row r="200" ht="70.5" customHeight="1" s="118"/>
    <row r="201" ht="70.5" customHeight="1" s="118"/>
    <row r="202" ht="70.5" customHeight="1" s="118"/>
    <row r="203" ht="70.5" customHeight="1" s="118"/>
    <row r="204" ht="70.5" customHeight="1" s="118"/>
    <row r="205" ht="70.5" customHeight="1" s="118"/>
    <row r="206" ht="70.5" customHeight="1" s="118"/>
    <row r="207" ht="70.5" customHeight="1" s="118"/>
    <row r="208" ht="70.5" customHeight="1" s="118"/>
    <row r="209" ht="70.5" customHeight="1" s="118"/>
    <row r="210" ht="70.5" customHeight="1" s="118"/>
    <row r="211" ht="70.5" customHeight="1" s="118"/>
    <row r="212" ht="70.5" customHeight="1" s="118"/>
    <row r="213" ht="70.5" customHeight="1" s="118"/>
    <row r="214" ht="70.5" customHeight="1" s="118"/>
    <row r="215" ht="70.5" customHeight="1" s="118"/>
    <row r="216" ht="70.5" customHeight="1" s="118"/>
    <row r="217" ht="70.5" customHeight="1" s="118"/>
    <row r="218" ht="70.5" customHeight="1" s="118"/>
    <row r="219" ht="70.5" customHeight="1" s="118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rowBreaks count="6" manualBreakCount="6">
    <brk id="7" min="0" max="16383" man="1"/>
    <brk id="14" min="0" max="16383" man="1"/>
    <brk id="21" min="0" max="16383" man="1"/>
    <brk id="28" min="0" max="16383" man="1"/>
    <brk id="35" min="0" max="16383" man="1"/>
    <brk id="4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Roberto Canales</dc:creator>
  <dc:language>en-US</dc:language>
  <dcterms:created xsi:type="dcterms:W3CDTF">2025-11-17T19:03:08Z</dcterms:created>
  <dcterms:modified xsi:type="dcterms:W3CDTF">2026-07-09T15:28:20Z</dcterms:modified>
  <cp:revision>15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0x010100994AF09D86BE3C498753070DF359B656</vt:lpwstr>
  </property>
</Properties>
</file>