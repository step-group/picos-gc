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y" sheetId="1" state="visible" r:id="rId3"/>
  </sheets>
  <definedNames>
    <definedName function="false" hidden="false" localSheetId="0" name="_xlnm.Print_Titles" vbProcedure="false">Entry!$6:$7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<sst xmlns="http://schemas.openxmlformats.org/spreadsheetml/2006/main" count="75" uniqueCount="50">
  <si>
    <t xml:space="preserve">Repeat campaign: vial gravimetry and preliminary Karl-Fischer</t>
  </si>
  <si>
    <t xml:space="preserve">Type here (the only editable cells)</t>
  </si>
  <si>
    <t xml:space="preserve">Campaign-1 KF reused, locked</t>
  </si>
  <si>
    <t xml:space="preserve">Aqueous phase: water by difference, no KF</t>
  </si>
  <si>
    <t xml:space="preserve">Sheet protected without password (Review &gt; Unprotect sheet). Row 7 names the column of Sistemas ternarios_MF.xlsx each value goes to.</t>
  </si>
  <si>
    <t xml:space="preserve">Tube</t>
  </si>
  <si>
    <t xml:space="preserve">Vial code</t>
  </si>
  <si>
    <t xml:space="preserve">Phase</t>
  </si>
  <si>
    <t xml:space="preserve">Role</t>
  </si>
  <si>
    <t xml:space="preserve">Vial, g</t>
  </si>
  <si>
    <t xml:space="preserve">Sample, µL</t>
  </si>
  <si>
    <t xml:space="preserve">Vial + sample, g</t>
  </si>
  <si>
    <t xml:space="preserve">IPA, µL</t>
  </si>
  <si>
    <t xml:space="preserve">Vial + sample + IPA, g</t>
  </si>
  <si>
    <t xml:space="preserve">Sample, g</t>
  </si>
  <si>
    <t xml:space="preserve">IPA, g</t>
  </si>
  <si>
    <t xml:space="preserve">Dilution factor</t>
  </si>
  <si>
    <t xml:space="preserve">KF 1, % m/m</t>
  </si>
  <si>
    <t xml:space="preserve">KF 2, % m/m</t>
  </si>
  <si>
    <t xml:space="preserve">KF status</t>
  </si>
  <si>
    <t xml:space="preserve">Notes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</si>
  <si>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</si>
  <si>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</si>
  <si>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</si>
  <si>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</si>
  <si>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</si>
  <si>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</si>
  <si>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</si>
  <si>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U</t>
  </si>
  <si>
    <t xml:space="preserve">V</t>
  </si>
  <si>
    <t xml:space="preserve">example</t>
  </si>
  <si>
    <t xml:space="preserve">A1-T1</t>
  </si>
  <si>
    <t xml:space="preserve">Superior</t>
  </si>
  <si>
    <t xml:space="preserve">organic</t>
  </si>
  <si>
    <t xml:space="preserve">fresh (example)</t>
  </si>
  <si>
    <t xml:space="preserve">BIN5</t>
  </si>
  <si>
    <t xml:space="preserve">BIN5-B1</t>
  </si>
  <si>
    <t xml:space="preserve">Inferior</t>
  </si>
  <si>
    <t xml:space="preserve">aqueous</t>
  </si>
  <si>
    <t xml:space="preserve">n/a: by difference</t>
  </si>
  <si>
    <t xml:space="preserve">BIN5-B2</t>
  </si>
  <si>
    <t xml:space="preserve">H2</t>
  </si>
  <si>
    <t xml:space="preserve">H2-T1</t>
  </si>
  <si>
    <t xml:space="preserve">H2-T2</t>
  </si>
  <si>
    <t xml:space="preserve">H5</t>
  </si>
  <si>
    <t xml:space="preserve">H5-B1</t>
  </si>
  <si>
    <t xml:space="preserve">H5-B2</t>
  </si>
  <si>
    <t xml:space="preserve">I4</t>
  </si>
  <si>
    <t xml:space="preserve">I4-T1</t>
  </si>
  <si>
    <t xml:space="preserve">I4-T2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</si>
</sst>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E9" activeCellId="0" sqref="E9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true" outlineLevel="0" max="3" min="3" style="0" width="10"/>
    <col collapsed="false" customWidth="true" hidden="true" outlineLevel="0" max="4" min="4" style="0" width="9"/>
    <col collapsed="false" customWidth="true" hidden="false" outlineLevel="0" max="5" min="5" style="0" width="9"/>
    <col collapsed="false" customWidth="true" hidden="true" outlineLevel="0" max="6" min="6" style="0" width="9"/>
    <col collapsed="false" customWidth="true" hidden="false" outlineLevel="0" max="7" min="7" style="0" width="12"/>
    <col collapsed="false" customWidth="true" hidden="true" outlineLevel="0" max="8" min="8" style="0" width="8"/>
    <col collapsed="false" customWidth="true" hidden="false" outlineLevel="0" max="9" min="9" style="0" width="13"/>
    <col collapsed="false" customWidth="true" hidden="true" outlineLevel="0" max="12" min="10" style="0" width="9"/>
    <col collapsed="false" customWidth="true" hidden="true" outlineLevel="0" max="14" min="13" style="0" width="10"/>
    <col collapsed="false" customWidth="true" hidden="true" outlineLevel="0" max="15" min="15" style="0" width="22"/>
    <col collapsed="false" customWidth="true" hidden="true" outlineLevel="0" max="16" min="16" style="0" width="2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4"/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5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3"/>
      <c r="B5" s="3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39.75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</row>
    <row r="7" customFormat="false" ht="15" hidden="false" customHeight="false" outlineLevel="0" collapsed="false">
      <c r="A7" s="7"/>
      <c r="B7" s="7"/>
      <c r="C7" s="7"/>
      <c r="D7" s="7"/>
      <c r="E7" s="7" t="s">
        <v>21</v>
      </c>
      <c r="F7" s="7" t="s">
        <v>22</v>
      </c>
      <c r="G7" s="7" t="s">
        <v>23</v>
      </c>
      <c r="H7" s="7" t="s">
        <v>24</v>
      </c>
      <c r="I7" s="7" t="s">
        <v>25</v>
      </c>
      <c r="J7" s="7" t="s">
        <v>26</v>
      </c>
      <c r="K7" s="7" t="s">
        <v>27</v>
      </c>
      <c r="L7" s="7"/>
      <c r="M7" s="7" t="s">
        <v>28</v>
      </c>
      <c r="N7" s="7" t="s">
        <v>29</v>
      </c>
      <c r="O7" s="7"/>
      <c r="P7" s="7"/>
    </row>
    <row r="8" customFormat="false" ht="15" hidden="false" customHeight="false" outlineLevel="0" collapsed="false">
      <c r="A8" s="8" t="s">
        <v>30</v>
      </c>
      <c r="B8" s="8" t="s">
        <v>31</v>
      </c>
      <c r="C8" s="8" t="s">
        <v>32</v>
      </c>
      <c r="D8" s="8" t="s">
        <v>33</v>
      </c>
      <c r="E8" s="9" t="n">
        <v>2.7385</v>
      </c>
      <c r="F8" s="8" t="n">
        <v>300</v>
      </c>
      <c r="G8" s="9" t="n">
        <v>2.9211</v>
      </c>
      <c r="H8" s="8" t="n">
        <f aca="false">1000-F8</f>
        <v>700</v>
      </c>
      <c r="I8" s="9" t="n">
        <v>3.4876</v>
      </c>
      <c r="J8" s="9" t="n">
        <f aca="false">IF(AND(ISNUMBER(E8),ISNUMBER(G8)),G8-E8,"")</f>
        <v>0.1826</v>
      </c>
      <c r="K8" s="9" t="n">
        <f aca="false">IF(AND(ISNUMBER(G8),ISNUMBER(I8)),I8-G8,"")</f>
        <v>0.5665</v>
      </c>
      <c r="L8" s="10" t="n">
        <f aca="false">IF(AND(ISNUMBER(J8),ISNUMBER(K8)),IF(J8&gt;0,(J8+K8)/J8,""),"")</f>
        <v>4.10240963855422</v>
      </c>
      <c r="M8" s="8" t="n">
        <v>1.93</v>
      </c>
      <c r="N8" s="8"/>
      <c r="O8" s="8" t="s">
        <v>34</v>
      </c>
      <c r="P8" s="8"/>
    </row>
    <row r="9" customFormat="false" ht="15" hidden="false" customHeight="false" outlineLevel="0" collapsed="false">
      <c r="A9" s="11" t="s">
        <v>35</v>
      </c>
      <c r="B9" s="11" t="s">
        <v>36</v>
      </c>
      <c r="C9" s="11" t="s">
        <v>37</v>
      </c>
      <c r="D9" s="11" t="s">
        <v>38</v>
      </c>
      <c r="E9" s="12" t="n">
        <v>2.7371</v>
      </c>
      <c r="F9" s="13" t="n">
        <v>300</v>
      </c>
      <c r="G9" s="12" t="n">
        <v>3.0796</v>
      </c>
      <c r="H9" s="11" t="n">
        <f aca="false">1000-F9</f>
        <v>700</v>
      </c>
      <c r="I9" s="12" t="n">
        <v>3.5454</v>
      </c>
      <c r="J9" s="14" t="n">
        <f aca="false">IF(AND(ISNUMBER(E9),ISNUMBER(G9)),G9-E9,"")</f>
        <v>0.3425</v>
      </c>
      <c r="K9" s="14" t="n">
        <f aca="false">IF(AND(ISNUMBER(G9),ISNUMBER(I9)),I9-G9,"")</f>
        <v>0.4658</v>
      </c>
      <c r="L9" s="15" t="n">
        <f aca="false">IF(AND(ISNUMBER(J9),ISNUMBER(K9)),IF(J9&gt;0,(J9+K9)/J9,""),"")</f>
        <v>2.36</v>
      </c>
      <c r="M9" s="16"/>
      <c r="N9" s="16"/>
      <c r="O9" s="11" t="s">
        <v>39</v>
      </c>
      <c r="P9" s="13"/>
    </row>
    <row r="10" customFormat="false" ht="15" hidden="false" customHeight="false" outlineLevel="0" collapsed="false">
      <c r="A10" s="3" t="s">
        <v>35</v>
      </c>
      <c r="B10" s="3" t="s">
        <v>40</v>
      </c>
      <c r="C10" s="3" t="s">
        <v>37</v>
      </c>
      <c r="D10" s="3" t="s">
        <v>38</v>
      </c>
      <c r="E10" s="17" t="n">
        <v>2.8321</v>
      </c>
      <c r="F10" s="18" t="n">
        <v>300</v>
      </c>
      <c r="G10" s="17" t="n">
        <v>3.1141</v>
      </c>
      <c r="H10" s="3" t="n">
        <f aca="false">1000-F10</f>
        <v>700</v>
      </c>
      <c r="I10" s="17" t="n">
        <v>3.5868</v>
      </c>
      <c r="J10" s="19" t="n">
        <f aca="false">IF(AND(ISNUMBER(E10),ISNUMBER(G10)),G10-E10,"")</f>
        <v>0.282</v>
      </c>
      <c r="K10" s="19" t="n">
        <f aca="false">IF(AND(ISNUMBER(G10),ISNUMBER(I10)),I10-G10,"")</f>
        <v>0.4727</v>
      </c>
      <c r="L10" s="20" t="n">
        <f aca="false">IF(AND(ISNUMBER(J10),ISNUMBER(K10)),IF(J10&gt;0,(J10+K10)/J10,""),"")</f>
        <v>2.67624113475177</v>
      </c>
      <c r="M10" s="5"/>
      <c r="N10" s="5"/>
      <c r="O10" s="3" t="s">
        <v>39</v>
      </c>
      <c r="P10" s="18"/>
    </row>
    <row r="11" customFormat="false" ht="15" hidden="false" customHeight="false" outlineLevel="0" collapsed="false">
      <c r="A11" s="11" t="s">
        <v>41</v>
      </c>
      <c r="B11" s="11" t="s">
        <v>42</v>
      </c>
      <c r="C11" s="11" t="s">
        <v>32</v>
      </c>
      <c r="D11" s="11" t="s">
        <v>38</v>
      </c>
      <c r="E11" s="12" t="n">
        <v>2.764</v>
      </c>
      <c r="F11" s="13" t="n">
        <v>300</v>
      </c>
      <c r="G11" s="12" t="n">
        <v>3.0637</v>
      </c>
      <c r="H11" s="11" t="n">
        <f aca="false">1000-F11</f>
        <v>700</v>
      </c>
      <c r="I11" s="12" t="n">
        <v>3.5256</v>
      </c>
      <c r="J11" s="14" t="n">
        <f aca="false">IF(AND(ISNUMBER(E11),ISNUMBER(G11)),G11-E11,"")</f>
        <v>0.2997</v>
      </c>
      <c r="K11" s="14" t="n">
        <f aca="false">IF(AND(ISNUMBER(G11),ISNUMBER(I11)),I11-G11,"")</f>
        <v>0.4619</v>
      </c>
      <c r="L11" s="15" t="n">
        <f aca="false">IF(AND(ISNUMBER(J11),ISNUMBER(K11)),IF(J11&gt;0,(J11+K11)/J11,""),"")</f>
        <v>2.54120787454121</v>
      </c>
      <c r="M11" s="16"/>
      <c r="N11" s="16"/>
      <c r="O11" s="11" t="s">
        <v>39</v>
      </c>
      <c r="P11" s="13"/>
    </row>
    <row r="12" customFormat="false" ht="15" hidden="false" customHeight="false" outlineLevel="0" collapsed="false">
      <c r="A12" s="3" t="s">
        <v>41</v>
      </c>
      <c r="B12" s="3" t="s">
        <v>43</v>
      </c>
      <c r="C12" s="3" t="s">
        <v>32</v>
      </c>
      <c r="D12" s="3" t="s">
        <v>38</v>
      </c>
      <c r="E12" s="17" t="n">
        <v>2.6994</v>
      </c>
      <c r="F12" s="18" t="n">
        <v>300</v>
      </c>
      <c r="G12" s="17" t="n">
        <v>2.9674</v>
      </c>
      <c r="H12" s="3" t="n">
        <f aca="false">1000-F12</f>
        <v>700</v>
      </c>
      <c r="I12" s="17" t="n">
        <v>3.4404</v>
      </c>
      <c r="J12" s="19" t="n">
        <f aca="false">IF(AND(ISNUMBER(E12),ISNUMBER(G12)),G12-E12,"")</f>
        <v>0.268</v>
      </c>
      <c r="K12" s="19" t="n">
        <f aca="false">IF(AND(ISNUMBER(G12),ISNUMBER(I12)),I12-G12,"")</f>
        <v>0.473</v>
      </c>
      <c r="L12" s="20" t="n">
        <f aca="false">IF(AND(ISNUMBER(J12),ISNUMBER(K12)),IF(J12&gt;0,(J12+K12)/J12,""),"")</f>
        <v>2.76492537313433</v>
      </c>
      <c r="M12" s="5"/>
      <c r="N12" s="5"/>
      <c r="O12" s="3" t="s">
        <v>39</v>
      </c>
      <c r="P12" s="18"/>
    </row>
    <row r="13" customFormat="false" ht="15" hidden="false" customHeight="false" outlineLevel="0" collapsed="false">
      <c r="A13" s="11" t="s">
        <v>44</v>
      </c>
      <c r="B13" s="11" t="s">
        <v>45</v>
      </c>
      <c r="C13" s="11" t="s">
        <v>37</v>
      </c>
      <c r="D13" s="11" t="s">
        <v>38</v>
      </c>
      <c r="E13" s="12" t="n">
        <v>2.8142</v>
      </c>
      <c r="F13" s="13" t="n">
        <v>300</v>
      </c>
      <c r="G13" s="12" t="n">
        <v>3.1489</v>
      </c>
      <c r="H13" s="11" t="n">
        <f aca="false">1000-F13</f>
        <v>700</v>
      </c>
      <c r="I13" s="12" t="n">
        <v>3.6248</v>
      </c>
      <c r="J13" s="14" t="n">
        <f aca="false">IF(AND(ISNUMBER(E13),ISNUMBER(G13)),G13-E13,"")</f>
        <v>0.3347</v>
      </c>
      <c r="K13" s="14" t="n">
        <f aca="false">IF(AND(ISNUMBER(G13),ISNUMBER(I13)),I13-G13,"")</f>
        <v>0.4759</v>
      </c>
      <c r="L13" s="15" t="n">
        <f aca="false">IF(AND(ISNUMBER(J13),ISNUMBER(K13)),IF(J13&gt;0,(J13+K13)/J13,""),"")</f>
        <v>2.42187033164028</v>
      </c>
      <c r="M13" s="16"/>
      <c r="N13" s="16"/>
      <c r="O13" s="11" t="s">
        <v>39</v>
      </c>
      <c r="P13" s="13"/>
    </row>
    <row r="14" customFormat="false" ht="15" hidden="false" customHeight="false" outlineLevel="0" collapsed="false">
      <c r="A14" s="3" t="s">
        <v>44</v>
      </c>
      <c r="B14" s="3" t="s">
        <v>46</v>
      </c>
      <c r="C14" s="3" t="s">
        <v>37</v>
      </c>
      <c r="D14" s="3" t="s">
        <v>38</v>
      </c>
      <c r="E14" s="17" t="n">
        <v>2.8402</v>
      </c>
      <c r="F14" s="18" t="n">
        <v>300</v>
      </c>
      <c r="G14" s="17" t="n">
        <v>3.1798</v>
      </c>
      <c r="H14" s="3" t="n">
        <f aca="false">1000-F14</f>
        <v>700</v>
      </c>
      <c r="I14" s="17" t="n">
        <v>3.6534</v>
      </c>
      <c r="J14" s="19" t="n">
        <f aca="false">IF(AND(ISNUMBER(E14),ISNUMBER(G14)),G14-E14,"")</f>
        <v>0.3396</v>
      </c>
      <c r="K14" s="19" t="n">
        <f aca="false">IF(AND(ISNUMBER(G14),ISNUMBER(I14)),I14-G14,"")</f>
        <v>0.4736</v>
      </c>
      <c r="L14" s="20" t="n">
        <f aca="false">IF(AND(ISNUMBER(J14),ISNUMBER(K14)),IF(J14&gt;0,(J14+K14)/J14,""),"")</f>
        <v>2.39458186101295</v>
      </c>
      <c r="M14" s="5"/>
      <c r="N14" s="5"/>
      <c r="O14" s="3" t="s">
        <v>39</v>
      </c>
      <c r="P14" s="18"/>
    </row>
    <row r="15" customFormat="false" ht="15" hidden="false" customHeight="false" outlineLevel="0" collapsed="false">
      <c r="A15" s="11" t="s">
        <v>47</v>
      </c>
      <c r="B15" s="11" t="s">
        <v>48</v>
      </c>
      <c r="C15" s="11" t="s">
        <v>32</v>
      </c>
      <c r="D15" s="11" t="s">
        <v>38</v>
      </c>
      <c r="E15" s="12" t="n">
        <v>2.7154</v>
      </c>
      <c r="F15" s="13" t="n">
        <v>300</v>
      </c>
      <c r="G15" s="12" t="n">
        <v>2.9841</v>
      </c>
      <c r="H15" s="11" t="n">
        <f aca="false">1000-F15</f>
        <v>700</v>
      </c>
      <c r="I15" s="12" t="n">
        <v>3.4539</v>
      </c>
      <c r="J15" s="14" t="n">
        <f aca="false">IF(AND(ISNUMBER(E15),ISNUMBER(G15)),G15-E15,"")</f>
        <v>0.2687</v>
      </c>
      <c r="K15" s="14" t="n">
        <f aca="false">IF(AND(ISNUMBER(G15),ISNUMBER(I15)),I15-G15,"")</f>
        <v>0.4698</v>
      </c>
      <c r="L15" s="15" t="n">
        <f aca="false">IF(AND(ISNUMBER(J15),ISNUMBER(K15)),IF(J15&gt;0,(J15+K15)/J15,""),"")</f>
        <v>2.74841831038332</v>
      </c>
      <c r="M15" s="16"/>
      <c r="N15" s="16"/>
      <c r="O15" s="11" t="s">
        <v>39</v>
      </c>
      <c r="P15" s="13"/>
    </row>
    <row r="16" customFormat="false" ht="15" hidden="false" customHeight="false" outlineLevel="0" collapsed="false">
      <c r="A16" s="3" t="s">
        <v>47</v>
      </c>
      <c r="B16" s="3" t="s">
        <v>49</v>
      </c>
      <c r="C16" s="3" t="s">
        <v>32</v>
      </c>
      <c r="D16" s="3" t="s">
        <v>38</v>
      </c>
      <c r="E16" s="17" t="n">
        <v>2.7848</v>
      </c>
      <c r="F16" s="18" t="n">
        <v>300</v>
      </c>
      <c r="G16" s="17" t="n">
        <v>3.0708</v>
      </c>
      <c r="H16" s="3" t="n">
        <f aca="false">1000-F16</f>
        <v>700</v>
      </c>
      <c r="I16" s="17" t="n">
        <v>3.5327</v>
      </c>
      <c r="J16" s="19" t="n">
        <f aca="false">IF(AND(ISNUMBER(E16),ISNUMBER(G16)),G16-E16,"")</f>
        <v>0.286</v>
      </c>
      <c r="K16" s="19" t="n">
        <f aca="false">IF(AND(ISNUMBER(G16),ISNUMBER(I16)),I16-G16,"")</f>
        <v>0.4619</v>
      </c>
      <c r="L16" s="20" t="n">
        <f aca="false">IF(AND(ISNUMBER(J16),ISNUMBER(K16)),IF(J16&gt;0,(J16+K16)/J16,""),"")</f>
        <v>2.61503496503497</v>
      </c>
      <c r="M16" s="5"/>
      <c r="N16" s="5"/>
      <c r="O16" s="3" t="s">
        <v>39</v>
      </c>
      <c r="P16" s="18"/>
    </row>
  </sheetData>
  <sheetProtection sheet="true"/>
  <dataValidations count="1">
    <dataValidation allowBlank="false" error="A number between 0 and 100" errorStyle="stop" operator="between" showDropDown="false" showErrorMessage="true" showInputMessage="false" sqref="E9:G16 I9:I16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2026-09-29T00:10:51Z</dcterms:created>
  <dc:creator>openpyxl</dc:creator>
  <dc:description/>
  <dc:language>es-CL</dc:language>
  <cp:lastModifiedBy/>
  <dcterms:modified xsi:type="dcterms:W3CDTF">2026-10-12T13:07:42Z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