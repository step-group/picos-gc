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y" sheetId="1" state="visible" r:id="rId3"/>
  </sheets>
  <definedNames>
    <definedName function="false" hidden="false" localSheetId="0" name="_xlnm.Print_Titles" vbProcedure="false">Entry!$6:$7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make_entry_workbook</author>
  </authors>
  <commentList>
    <comment ref="M13" authorId="0">
      <text>
        <r>
          <rPr>
            <sz val="10"/>
            <rFont val="Arial"/>
            <family val="2"/>
          </rPr>
          <t xml:space="preserve">Campaign 1: 3.5476 %</t>
        </r>
      </text>
    </comment>
    <comment ref="M14" authorId="0">
      <text>
        <r>
          <rPr>
            <sz val="10"/>
            <rFont val="Arial"/>
            <family val="2"/>
          </rPr>
          <t xml:space="preserve">Campaign 1: 3.6057 %</t>
        </r>
      </text>
    </comment>
    <comment ref="M19" authorId="0">
      <text>
        <r>
          <rPr>
            <sz val="10"/>
            <rFont val="Arial"/>
            <family val="2"/>
          </rPr>
          <t xml:space="preserve">Campaign 1: 5.7 %</t>
        </r>
      </text>
    </comment>
    <comment ref="M20" authorId="0">
      <text>
        <r>
          <rPr>
            <sz val="10"/>
            <rFont val="Arial"/>
            <family val="2"/>
          </rPr>
          <t xml:space="preserve">Campaign 1: 5.632 %</t>
        </r>
      </text>
    </comment>
    <comment ref="M27" authorId="0">
      <text>
        <r>
          <rPr>
            <sz val="10"/>
            <rFont val="Arial"/>
            <family val="2"/>
          </rPr>
          <t xml:space="preserve">Campaign 1: 7.7273 %</t>
        </r>
      </text>
    </comment>
    <comment ref="M28" authorId="0">
      <text>
        <r>
          <rPr>
            <sz val="10"/>
            <rFont val="Arial"/>
            <family val="2"/>
          </rPr>
          <t xml:space="preserve">Campaign 1: 8.0242 %</t>
        </r>
      </text>
    </comment>
    <comment ref="M41" authorId="0">
      <text>
        <r>
          <rPr>
            <sz val="10"/>
            <rFont val="Arial"/>
            <family val="2"/>
          </rPr>
          <t xml:space="preserve">Campaign 1: 1.6603 %</t>
        </r>
      </text>
    </comment>
    <comment ref="M42" authorId="0">
      <text>
        <r>
          <rPr>
            <sz val="10"/>
            <rFont val="Arial"/>
            <family val="2"/>
          </rPr>
          <t xml:space="preserve">Campaign 1: 1.6197 %</t>
        </r>
      </text>
    </comment>
    <comment ref="M55" authorId="0">
      <text>
        <r>
          <rPr>
            <sz val="10"/>
            <rFont val="Arial"/>
            <family val="2"/>
          </rPr>
          <t xml:space="preserve">Campaign 1: 7.505 %</t>
        </r>
      </text>
    </comment>
    <comment ref="M56" authorId="0">
      <text>
        <r>
          <rPr>
            <sz val="10"/>
            <rFont val="Arial"/>
            <family val="2"/>
          </rPr>
          <t xml:space="preserve">Campaign 1: 7.6871 %</t>
        </r>
      </text>
    </comment>
    <comment ref="N41" authorId="0">
      <text>
        <r>
          <rPr>
            <sz val="10"/>
            <rFont val="Arial"/>
            <family val="2"/>
          </rPr>
          <t xml:space="preserve">Campaign 1: 1.7084 %</t>
        </r>
      </text>
    </comment>
  </commentList>
</comments>
</file>

<file path=xl/sharedStrings.xml><?xml version="1.0" encoding="utf-8"?>
<sst xmlns="http://schemas.openxmlformats.org/spreadsheetml/2006/main" count="297" uniqueCount="107">
  <si>
    <t xml:space="preserve">Repeat campaign: vial gravimetry and preliminary Karl-Fischer</t>
  </si>
  <si>
    <t xml:space="preserve">Type here (the only editable cells)</t>
  </si>
  <si>
    <t xml:space="preserve">Campaign-1 KF reused, locked</t>
  </si>
  <si>
    <t xml:space="preserve">Aqueous phase: water by difference, no KF</t>
  </si>
  <si>
    <t xml:space="preserve">Sheet protected without password (Review &gt; Unprotect sheet). Row 7 names the column of Sistemas ternarios_MF.xlsx each value goes to.</t>
  </si>
  <si>
    <t xml:space="preserve">Tube</t>
  </si>
  <si>
    <t xml:space="preserve">Vial code</t>
  </si>
  <si>
    <t xml:space="preserve">Phase</t>
  </si>
  <si>
    <t xml:space="preserve">Role</t>
  </si>
  <si>
    <t xml:space="preserve">Vial, g</t>
  </si>
  <si>
    <t xml:space="preserve">Sample, µL</t>
  </si>
  <si>
    <t xml:space="preserve">Vial + sample, g</t>
  </si>
  <si>
    <t xml:space="preserve">IPA, µL</t>
  </si>
  <si>
    <t xml:space="preserve">Vial + sample + IPA, g</t>
  </si>
  <si>
    <t xml:space="preserve">Sample, g</t>
  </si>
  <si>
    <t xml:space="preserve">IPA, g</t>
  </si>
  <si>
    <t xml:space="preserve">Dilution factor</t>
  </si>
  <si>
    <t xml:space="preserve">KF 1, % m/m</t>
  </si>
  <si>
    <t xml:space="preserve">KF 2, % m/m</t>
  </si>
  <si>
    <t xml:space="preserve">KF status</t>
  </si>
  <si>
    <t xml:space="preserve">Notes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</si>
  <si>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</si>
  <si>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</si>
  <si>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</si>
  <si>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</si>
  <si>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</si>
  <si>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</si>
  <si>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</si>
  <si>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U</t>
  </si>
  <si>
    <t xml:space="preserve">V</t>
  </si>
  <si>
    <t xml:space="preserve">example</t>
  </si>
  <si>
    <t xml:space="preserve">A1-T1</t>
  </si>
  <si>
    <t xml:space="preserve">Superior</t>
  </si>
  <si>
    <t xml:space="preserve">organic</t>
  </si>
  <si>
    <t xml:space="preserve">fresh (example)</t>
  </si>
  <si>
    <t xml:space="preserve">BIN1</t>
  </si>
  <si>
    <t xml:space="preserve">BIN1-T1</t>
  </si>
  <si>
    <t xml:space="preserve">reused: campaign 1</t>
  </si>
  <si>
    <t xml:space="preserve">BIN1-T2</t>
  </si>
  <si>
    <t xml:space="preserve">BIN1-B1</t>
  </si>
  <si>
    <t xml:space="preserve">Inferior</t>
  </si>
  <si>
    <t xml:space="preserve">aqueous</t>
  </si>
  <si>
    <t xml:space="preserve">n/a: by difference</t>
  </si>
  <si>
    <t xml:space="preserve">BIN1-B2</t>
  </si>
  <si>
    <t xml:space="preserve">C4</t>
  </si>
  <si>
    <t xml:space="preserve">C4-T1</t>
  </si>
  <si>
    <t xml:space="preserve">fresh: type the new KF</t>
  </si>
  <si>
    <t xml:space="preserve">C4-T2</t>
  </si>
  <si>
    <t xml:space="preserve">C4-B1</t>
  </si>
  <si>
    <t xml:space="preserve">C4-B2</t>
  </si>
  <si>
    <t xml:space="preserve">C5</t>
  </si>
  <si>
    <t xml:space="preserve">C5-T1</t>
  </si>
  <si>
    <t xml:space="preserve">C5-T2</t>
  </si>
  <si>
    <t xml:space="preserve">C5-B1</t>
  </si>
  <si>
    <t xml:space="preserve">C5-B2</t>
  </si>
  <si>
    <t xml:space="preserve">BIN3</t>
  </si>
  <si>
    <t xml:space="preserve">BIN3-T1</t>
  </si>
  <si>
    <t xml:space="preserve">BIN3-T2</t>
  </si>
  <si>
    <t xml:space="preserve">BIN3-B1</t>
  </si>
  <si>
    <t xml:space="preserve">BIN3-B2</t>
  </si>
  <si>
    <t xml:space="preserve">D1</t>
  </si>
  <si>
    <t xml:space="preserve">D1-T1</t>
  </si>
  <si>
    <t xml:space="preserve">D1-T2</t>
  </si>
  <si>
    <t xml:space="preserve">D1-B1</t>
  </si>
  <si>
    <t xml:space="preserve">D1-B2</t>
  </si>
  <si>
    <t xml:space="preserve">D2</t>
  </si>
  <si>
    <t xml:space="preserve">D2-T1</t>
  </si>
  <si>
    <t xml:space="preserve">D2-T2</t>
  </si>
  <si>
    <t xml:space="preserve">D2-B1</t>
  </si>
  <si>
    <t xml:space="preserve">D2-B2</t>
  </si>
  <si>
    <t xml:space="preserve">D3</t>
  </si>
  <si>
    <t xml:space="preserve">D3-T1</t>
  </si>
  <si>
    <t xml:space="preserve">D3-T2</t>
  </si>
  <si>
    <t xml:space="preserve">D3-B1</t>
  </si>
  <si>
    <t xml:space="preserve">D3-B2</t>
  </si>
  <si>
    <t xml:space="preserve">D5</t>
  </si>
  <si>
    <t xml:space="preserve">D5-T1</t>
  </si>
  <si>
    <t xml:space="preserve">D5-T2</t>
  </si>
  <si>
    <t xml:space="preserve">D5-B1</t>
  </si>
  <si>
    <t xml:space="preserve">KF typed 2026-09-22: 3.0982 % (D5 switched to campaign-1 KF)</t>
  </si>
  <si>
    <t xml:space="preserve">D5-B2</t>
  </si>
  <si>
    <t xml:space="preserve">KF typed 2026-09-22: 3.0909 % (D5 switched to campaign-1 KF)</t>
  </si>
  <si>
    <t xml:space="preserve">E1</t>
  </si>
  <si>
    <t xml:space="preserve">E1-T1</t>
  </si>
  <si>
    <t xml:space="preserve">E1-T2</t>
  </si>
  <si>
    <t xml:space="preserve">E1-B1</t>
  </si>
  <si>
    <t xml:space="preserve">E1-B2</t>
  </si>
  <si>
    <t xml:space="preserve">F2</t>
  </si>
  <si>
    <t xml:space="preserve">F2-T1</t>
  </si>
  <si>
    <t xml:space="preserve">F2-T2</t>
  </si>
  <si>
    <t xml:space="preserve">F2-B1</t>
  </si>
  <si>
    <t xml:space="preserve">F2-B2</t>
  </si>
  <si>
    <t xml:space="preserve">H1</t>
  </si>
  <si>
    <t xml:space="preserve">H1-T1</t>
  </si>
  <si>
    <t xml:space="preserve">H1-T2</t>
  </si>
  <si>
    <t xml:space="preserve">H1-B1</t>
  </si>
  <si>
    <t xml:space="preserve">H1-B2</t>
  </si>
  <si>
    <t xml:space="preserve">I1</t>
  </si>
  <si>
    <t xml:space="preserve">I1-T1</t>
  </si>
  <si>
    <t xml:space="preserve">I1-T2</t>
  </si>
  <si>
    <t xml:space="preserve">I1-B1</t>
  </si>
  <si>
    <t xml:space="preserve">I1-B2</t>
  </si>
  <si>
    <t xml:space="preserve">2PE</t>
  </si>
  <si>
    <t xml:space="preserve">2PE-T1</t>
  </si>
  <si>
    <t xml:space="preserve">2PE-T2</t>
  </si>
  <si>
    <t xml:space="preserve">2PE-B1</t>
  </si>
  <si>
    <t xml:space="preserve">2PE-B2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</si>
</sst>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I59" activeCellId="0" sqref="I59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2" min="10" style="0" width="9"/>
    <col collapsed="false" customWidth="true" hidden="false" outlineLevel="0" max="14" min="13" style="0" width="10"/>
    <col collapsed="false" customWidth="true" hidden="false" outlineLevel="0" max="15" min="15" style="0" width="22"/>
    <col collapsed="false" customWidth="true" hidden="false" outlineLevel="0" max="16" min="16" style="0" width="2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4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5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3"/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39.7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</row>
    <row r="7" customFormat="false" ht="15" hidden="false" customHeight="false" outlineLevel="0" collapsed="false">
      <c r="A7" s="7"/>
      <c r="B7" s="7"/>
      <c r="C7" s="7"/>
      <c r="D7" s="7"/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7" t="s">
        <v>26</v>
      </c>
      <c r="K7" s="7" t="s">
        <v>27</v>
      </c>
      <c r="L7" s="7"/>
      <c r="M7" s="7" t="s">
        <v>28</v>
      </c>
      <c r="N7" s="7" t="s">
        <v>29</v>
      </c>
      <c r="O7" s="7"/>
      <c r="P7" s="7"/>
    </row>
    <row r="8" customFormat="false" ht="15" hidden="false" customHeight="false" outlineLevel="0" collapsed="false">
      <c r="A8" s="8" t="s">
        <v>30</v>
      </c>
      <c r="B8" s="8" t="s">
        <v>31</v>
      </c>
      <c r="C8" s="8" t="s">
        <v>32</v>
      </c>
      <c r="D8" s="8" t="s">
        <v>33</v>
      </c>
      <c r="E8" s="9" t="n">
        <v>2.7385</v>
      </c>
      <c r="F8" s="8" t="n">
        <v>300</v>
      </c>
      <c r="G8" s="9" t="n">
        <v>2.9211</v>
      </c>
      <c r="H8" s="8" t="n">
        <f aca="false">1000-F8</f>
        <v>700</v>
      </c>
      <c r="I8" s="9" t="n">
        <v>3.4876</v>
      </c>
      <c r="J8" s="9" t="n">
        <f aca="false">IF(AND(ISNUMBER(E8),ISNUMBER(G8)),G8-E8,"")</f>
        <v>0.1826</v>
      </c>
      <c r="K8" s="9" t="n">
        <f aca="false">IF(AND(ISNUMBER(G8),ISNUMBER(I8)),I8-G8,"")</f>
        <v>0.5665</v>
      </c>
      <c r="L8" s="10" t="n">
        <f aca="false">IF(AND(ISNUMBER(J8),ISNUMBER(K8)),IF(J8&gt;0,(J8+K8)/J8,""),"")</f>
        <v>4.10240963855422</v>
      </c>
      <c r="M8" s="8" t="n">
        <v>1.93</v>
      </c>
      <c r="N8" s="8"/>
      <c r="O8" s="8" t="s">
        <v>34</v>
      </c>
      <c r="P8" s="8"/>
    </row>
    <row r="9" customFormat="false" ht="15" hidden="false" customHeight="false" outlineLevel="0" collapsed="false">
      <c r="A9" s="11" t="s">
        <v>35</v>
      </c>
      <c r="B9" s="11" t="s">
        <v>36</v>
      </c>
      <c r="C9" s="11" t="s">
        <v>32</v>
      </c>
      <c r="D9" s="11" t="s">
        <v>33</v>
      </c>
      <c r="E9" s="12" t="n">
        <v>2.7415</v>
      </c>
      <c r="F9" s="13" t="n">
        <v>300</v>
      </c>
      <c r="G9" s="12" t="n">
        <v>3.0134</v>
      </c>
      <c r="H9" s="11" t="n">
        <f aca="false">1000-F9</f>
        <v>700</v>
      </c>
      <c r="I9" s="12" t="n">
        <v>3.5451</v>
      </c>
      <c r="J9" s="14" t="n">
        <f aca="false">IF(AND(ISNUMBER(E9),ISNUMBER(G9)),G9-E9,"")</f>
        <v>0.2719</v>
      </c>
      <c r="K9" s="14" t="n">
        <f aca="false">IF(AND(ISNUMBER(G9),ISNUMBER(I9)),I9-G9,"")</f>
        <v>0.5317</v>
      </c>
      <c r="L9" s="15" t="n">
        <f aca="false">IF(AND(ISNUMBER(J9),ISNUMBER(K9)),IF(J9&gt;0,(J9+K9)/J9,""),"")</f>
        <v>2.95549834497977</v>
      </c>
      <c r="M9" s="16" t="n">
        <v>1.5599</v>
      </c>
      <c r="N9" s="16" t="n">
        <v>1.6021</v>
      </c>
      <c r="O9" s="11" t="s">
        <v>37</v>
      </c>
      <c r="P9" s="13"/>
    </row>
    <row r="10" customFormat="false" ht="15" hidden="false" customHeight="false" outlineLevel="0" collapsed="false">
      <c r="A10" s="3" t="s">
        <v>35</v>
      </c>
      <c r="B10" s="3" t="s">
        <v>38</v>
      </c>
      <c r="C10" s="3" t="s">
        <v>32</v>
      </c>
      <c r="D10" s="3" t="s">
        <v>33</v>
      </c>
      <c r="E10" s="17" t="n">
        <v>2.7706</v>
      </c>
      <c r="F10" s="18" t="n">
        <v>300</v>
      </c>
      <c r="G10" s="17" t="n">
        <v>3.0384</v>
      </c>
      <c r="H10" s="3" t="n">
        <f aca="false">1000-F10</f>
        <v>700</v>
      </c>
      <c r="I10" s="17" t="n">
        <v>3.5564</v>
      </c>
      <c r="J10" s="19" t="n">
        <f aca="false">IF(AND(ISNUMBER(E10),ISNUMBER(G10)),G10-E10,"")</f>
        <v>0.2678</v>
      </c>
      <c r="K10" s="19" t="n">
        <f aca="false">IF(AND(ISNUMBER(G10),ISNUMBER(I10)),I10-G10,"")</f>
        <v>0.518</v>
      </c>
      <c r="L10" s="20" t="n">
        <f aca="false">IF(AND(ISNUMBER(J10),ISNUMBER(K10)),IF(J10&gt;0,(J10+K10)/J10,""),"")</f>
        <v>2.93427931292009</v>
      </c>
      <c r="M10" s="4" t="n">
        <v>1.4736</v>
      </c>
      <c r="N10" s="4"/>
      <c r="O10" s="3" t="s">
        <v>37</v>
      </c>
      <c r="P10" s="18"/>
    </row>
    <row r="11" customFormat="false" ht="15" hidden="false" customHeight="false" outlineLevel="0" collapsed="false">
      <c r="A11" s="3" t="s">
        <v>35</v>
      </c>
      <c r="B11" s="3" t="s">
        <v>39</v>
      </c>
      <c r="C11" s="3" t="s">
        <v>40</v>
      </c>
      <c r="D11" s="3" t="s">
        <v>41</v>
      </c>
      <c r="E11" s="17" t="n">
        <v>2.7576</v>
      </c>
      <c r="F11" s="18" t="n">
        <v>300</v>
      </c>
      <c r="G11" s="17" t="n">
        <v>3.0173</v>
      </c>
      <c r="H11" s="3" t="n">
        <f aca="false">1000-F11</f>
        <v>700</v>
      </c>
      <c r="I11" s="17" t="n">
        <v>3.5471</v>
      </c>
      <c r="J11" s="19" t="n">
        <f aca="false">IF(AND(ISNUMBER(E11),ISNUMBER(G11)),G11-E11,"")</f>
        <v>0.2597</v>
      </c>
      <c r="K11" s="19" t="n">
        <f aca="false">IF(AND(ISNUMBER(G11),ISNUMBER(I11)),I11-G11,"")</f>
        <v>0.5298</v>
      </c>
      <c r="L11" s="20" t="n">
        <f aca="false">IF(AND(ISNUMBER(J11),ISNUMBER(K11)),IF(J11&gt;0,(J11+K11)/J11,""),"")</f>
        <v>3.04004620716211</v>
      </c>
      <c r="M11" s="5"/>
      <c r="N11" s="5"/>
      <c r="O11" s="3" t="s">
        <v>42</v>
      </c>
      <c r="P11" s="18"/>
    </row>
    <row r="12" customFormat="false" ht="15" hidden="false" customHeight="false" outlineLevel="0" collapsed="false">
      <c r="A12" s="3" t="s">
        <v>35</v>
      </c>
      <c r="B12" s="3" t="s">
        <v>43</v>
      </c>
      <c r="C12" s="3" t="s">
        <v>40</v>
      </c>
      <c r="D12" s="3" t="s">
        <v>41</v>
      </c>
      <c r="E12" s="17" t="n">
        <v>2.7398</v>
      </c>
      <c r="F12" s="18" t="n">
        <v>300</v>
      </c>
      <c r="G12" s="17" t="n">
        <v>2.9745</v>
      </c>
      <c r="H12" s="3" t="n">
        <f aca="false">1000-F12</f>
        <v>700</v>
      </c>
      <c r="I12" s="17" t="n">
        <v>3.4873</v>
      </c>
      <c r="J12" s="19" t="n">
        <f aca="false">IF(AND(ISNUMBER(E12),ISNUMBER(G12)),G12-E12,"")</f>
        <v>0.2347</v>
      </c>
      <c r="K12" s="19" t="n">
        <f aca="false">IF(AND(ISNUMBER(G12),ISNUMBER(I12)),I12-G12,"")</f>
        <v>0.5128</v>
      </c>
      <c r="L12" s="20" t="n">
        <f aca="false">IF(AND(ISNUMBER(J12),ISNUMBER(K12)),IF(J12&gt;0,(J12+K12)/J12,""),"")</f>
        <v>3.18491691521091</v>
      </c>
      <c r="M12" s="5"/>
      <c r="N12" s="5"/>
      <c r="O12" s="3" t="s">
        <v>42</v>
      </c>
      <c r="P12" s="18"/>
    </row>
    <row r="13" customFormat="false" ht="15" hidden="false" customHeight="false" outlineLevel="0" collapsed="false">
      <c r="A13" s="11" t="s">
        <v>44</v>
      </c>
      <c r="B13" s="11" t="s">
        <v>45</v>
      </c>
      <c r="C13" s="11" t="s">
        <v>32</v>
      </c>
      <c r="D13" s="11" t="s">
        <v>33</v>
      </c>
      <c r="E13" s="12" t="n">
        <v>2.768</v>
      </c>
      <c r="F13" s="13" t="n">
        <v>300</v>
      </c>
      <c r="G13" s="12" t="n">
        <v>3.0381</v>
      </c>
      <c r="H13" s="11" t="n">
        <f aca="false">1000-F13</f>
        <v>700</v>
      </c>
      <c r="I13" s="12" t="n">
        <v>3.5894</v>
      </c>
      <c r="J13" s="14" t="n">
        <f aca="false">IF(AND(ISNUMBER(E13),ISNUMBER(G13)),G13-E13,"")</f>
        <v>0.2701</v>
      </c>
      <c r="K13" s="14" t="n">
        <f aca="false">IF(AND(ISNUMBER(G13),ISNUMBER(I13)),I13-G13,"")</f>
        <v>0.5513</v>
      </c>
      <c r="L13" s="15" t="n">
        <f aca="false">IF(AND(ISNUMBER(J13),ISNUMBER(K13)),IF(J13&gt;0,(J13+K13)/J13,""),"")</f>
        <v>3.04109589041096</v>
      </c>
      <c r="M13" s="13" t="n">
        <v>3.5531</v>
      </c>
      <c r="N13" s="13"/>
      <c r="O13" s="11" t="s">
        <v>46</v>
      </c>
      <c r="P13" s="13"/>
    </row>
    <row r="14" customFormat="false" ht="15" hidden="false" customHeight="false" outlineLevel="0" collapsed="false">
      <c r="A14" s="3" t="s">
        <v>44</v>
      </c>
      <c r="B14" s="3" t="s">
        <v>47</v>
      </c>
      <c r="C14" s="3" t="s">
        <v>32</v>
      </c>
      <c r="D14" s="3" t="s">
        <v>33</v>
      </c>
      <c r="E14" s="17" t="n">
        <v>2.7858</v>
      </c>
      <c r="F14" s="18" t="n">
        <v>300</v>
      </c>
      <c r="G14" s="17" t="n">
        <v>3.0597</v>
      </c>
      <c r="H14" s="3" t="n">
        <f aca="false">1000-F14</f>
        <v>700</v>
      </c>
      <c r="I14" s="17" t="n">
        <v>3.6131</v>
      </c>
      <c r="J14" s="19" t="n">
        <f aca="false">IF(AND(ISNUMBER(E14),ISNUMBER(G14)),G14-E14,"")</f>
        <v>0.2739</v>
      </c>
      <c r="K14" s="19" t="n">
        <f aca="false">IF(AND(ISNUMBER(G14),ISNUMBER(I14)),I14-G14,"")</f>
        <v>0.5534</v>
      </c>
      <c r="L14" s="20" t="n">
        <f aca="false">IF(AND(ISNUMBER(J14),ISNUMBER(K14)),IF(J14&gt;0,(J14+K14)/J14,""),"")</f>
        <v>3.02044541803578</v>
      </c>
      <c r="M14" s="18" t="n">
        <v>3.4885</v>
      </c>
      <c r="N14" s="18"/>
      <c r="O14" s="3" t="s">
        <v>46</v>
      </c>
      <c r="P14" s="18"/>
    </row>
    <row r="15" customFormat="false" ht="15" hidden="false" customHeight="false" outlineLevel="0" collapsed="false">
      <c r="A15" s="3" t="s">
        <v>44</v>
      </c>
      <c r="B15" s="3" t="s">
        <v>48</v>
      </c>
      <c r="C15" s="3" t="s">
        <v>40</v>
      </c>
      <c r="D15" s="3" t="s">
        <v>41</v>
      </c>
      <c r="E15" s="17" t="n">
        <v>2.7496</v>
      </c>
      <c r="F15" s="18" t="n">
        <v>300</v>
      </c>
      <c r="G15" s="17" t="n">
        <v>2.9932</v>
      </c>
      <c r="H15" s="3" t="n">
        <f aca="false">1000-F15</f>
        <v>700</v>
      </c>
      <c r="I15" s="17" t="n">
        <v>3.5547</v>
      </c>
      <c r="J15" s="19" t="n">
        <f aca="false">IF(AND(ISNUMBER(E15),ISNUMBER(G15)),G15-E15,"")</f>
        <v>0.2436</v>
      </c>
      <c r="K15" s="19" t="n">
        <f aca="false">IF(AND(ISNUMBER(G15),ISNUMBER(I15)),I15-G15,"")</f>
        <v>0.5615</v>
      </c>
      <c r="L15" s="20" t="n">
        <f aca="false">IF(AND(ISNUMBER(J15),ISNUMBER(K15)),IF(J15&gt;0,(J15+K15)/J15,""),"")</f>
        <v>3.30500821018063</v>
      </c>
      <c r="M15" s="5"/>
      <c r="N15" s="5"/>
      <c r="O15" s="3" t="s">
        <v>42</v>
      </c>
      <c r="P15" s="18"/>
    </row>
    <row r="16" customFormat="false" ht="15" hidden="false" customHeight="false" outlineLevel="0" collapsed="false">
      <c r="A16" s="3" t="s">
        <v>44</v>
      </c>
      <c r="B16" s="3" t="s">
        <v>49</v>
      </c>
      <c r="C16" s="3" t="s">
        <v>40</v>
      </c>
      <c r="D16" s="3" t="s">
        <v>41</v>
      </c>
      <c r="E16" s="17" t="n">
        <v>2.8134</v>
      </c>
      <c r="F16" s="18" t="n">
        <v>300</v>
      </c>
      <c r="G16" s="17" t="n">
        <v>3.0772</v>
      </c>
      <c r="H16" s="3" t="n">
        <f aca="false">1000-F16</f>
        <v>700</v>
      </c>
      <c r="I16" s="17" t="n">
        <v>3.6406</v>
      </c>
      <c r="J16" s="19" t="n">
        <f aca="false">IF(AND(ISNUMBER(E16),ISNUMBER(G16)),G16-E16,"")</f>
        <v>0.2638</v>
      </c>
      <c r="K16" s="19" t="n">
        <f aca="false">IF(AND(ISNUMBER(G16),ISNUMBER(I16)),I16-G16,"")</f>
        <v>0.5634</v>
      </c>
      <c r="L16" s="20" t="n">
        <f aca="false">IF(AND(ISNUMBER(J16),ISNUMBER(K16)),IF(J16&gt;0,(J16+K16)/J16,""),"")</f>
        <v>3.13570887035633</v>
      </c>
      <c r="M16" s="5"/>
      <c r="N16" s="5"/>
      <c r="O16" s="3" t="s">
        <v>42</v>
      </c>
      <c r="P16" s="18"/>
    </row>
    <row r="17" customFormat="false" ht="15" hidden="false" customHeight="false" outlineLevel="0" collapsed="false">
      <c r="A17" s="11" t="s">
        <v>50</v>
      </c>
      <c r="B17" s="11" t="s">
        <v>51</v>
      </c>
      <c r="C17" s="11" t="s">
        <v>32</v>
      </c>
      <c r="D17" s="11" t="s">
        <v>41</v>
      </c>
      <c r="E17" s="12" t="n">
        <v>2.7508</v>
      </c>
      <c r="F17" s="13" t="n">
        <v>300</v>
      </c>
      <c r="G17" s="12" t="n">
        <v>3.0507</v>
      </c>
      <c r="H17" s="11" t="n">
        <f aca="false">1000-F17</f>
        <v>700</v>
      </c>
      <c r="I17" s="12" t="n">
        <v>3.5949</v>
      </c>
      <c r="J17" s="14" t="n">
        <f aca="false">IF(AND(ISNUMBER(E17),ISNUMBER(G17)),G17-E17,"")</f>
        <v>0.2999</v>
      </c>
      <c r="K17" s="14" t="n">
        <f aca="false">IF(AND(ISNUMBER(G17),ISNUMBER(I17)),I17-G17,"")</f>
        <v>0.5442</v>
      </c>
      <c r="L17" s="15" t="n">
        <f aca="false">IF(AND(ISNUMBER(J17),ISNUMBER(K17)),IF(J17&gt;0,(J17+K17)/J17,""),"")</f>
        <v>2.81460486828943</v>
      </c>
      <c r="M17" s="21"/>
      <c r="N17" s="21"/>
      <c r="O17" s="11" t="s">
        <v>42</v>
      </c>
      <c r="P17" s="13"/>
    </row>
    <row r="18" customFormat="false" ht="15" hidden="false" customHeight="false" outlineLevel="0" collapsed="false">
      <c r="A18" s="3" t="s">
        <v>50</v>
      </c>
      <c r="B18" s="3" t="s">
        <v>52</v>
      </c>
      <c r="C18" s="3" t="s">
        <v>32</v>
      </c>
      <c r="D18" s="3" t="s">
        <v>41</v>
      </c>
      <c r="E18" s="17" t="n">
        <v>2.7373</v>
      </c>
      <c r="F18" s="18" t="n">
        <v>300</v>
      </c>
      <c r="G18" s="17" t="n">
        <v>3.0393</v>
      </c>
      <c r="H18" s="3" t="n">
        <f aca="false">1000-F18</f>
        <v>700</v>
      </c>
      <c r="I18" s="17" t="n">
        <v>3.5727</v>
      </c>
      <c r="J18" s="19" t="n">
        <f aca="false">IF(AND(ISNUMBER(E18),ISNUMBER(G18)),G18-E18,"")</f>
        <v>0.302</v>
      </c>
      <c r="K18" s="19" t="n">
        <f aca="false">IF(AND(ISNUMBER(G18),ISNUMBER(I18)),I18-G18,"")</f>
        <v>0.5334</v>
      </c>
      <c r="L18" s="20" t="n">
        <f aca="false">IF(AND(ISNUMBER(J18),ISNUMBER(K18)),IF(J18&gt;0,(J18+K18)/J18,""),"")</f>
        <v>2.76622516556292</v>
      </c>
      <c r="M18" s="5"/>
      <c r="N18" s="5"/>
      <c r="O18" s="3" t="s">
        <v>42</v>
      </c>
      <c r="P18" s="18"/>
    </row>
    <row r="19" customFormat="false" ht="15" hidden="false" customHeight="false" outlineLevel="0" collapsed="false">
      <c r="A19" s="3" t="s">
        <v>50</v>
      </c>
      <c r="B19" s="3" t="s">
        <v>53</v>
      </c>
      <c r="C19" s="3" t="s">
        <v>40</v>
      </c>
      <c r="D19" s="3" t="s">
        <v>33</v>
      </c>
      <c r="E19" s="17" t="n">
        <v>2.7519</v>
      </c>
      <c r="F19" s="18" t="n">
        <v>300</v>
      </c>
      <c r="G19" s="17" t="n">
        <v>3.0815</v>
      </c>
      <c r="H19" s="3" t="n">
        <f aca="false">1000-F19</f>
        <v>700</v>
      </c>
      <c r="I19" s="17" t="n">
        <v>3.6266</v>
      </c>
      <c r="J19" s="19" t="n">
        <f aca="false">IF(AND(ISNUMBER(E19),ISNUMBER(G19)),G19-E19,"")</f>
        <v>0.3296</v>
      </c>
      <c r="K19" s="19" t="n">
        <f aca="false">IF(AND(ISNUMBER(G19),ISNUMBER(I19)),I19-G19,"")</f>
        <v>0.5451</v>
      </c>
      <c r="L19" s="20" t="n">
        <f aca="false">IF(AND(ISNUMBER(J19),ISNUMBER(K19)),IF(J19&gt;0,(J19+K19)/J19,""),"")</f>
        <v>2.65382281553398</v>
      </c>
      <c r="M19" s="18" t="n">
        <v>5.8418</v>
      </c>
      <c r="N19" s="18"/>
      <c r="O19" s="3" t="s">
        <v>46</v>
      </c>
      <c r="P19" s="18"/>
    </row>
    <row r="20" customFormat="false" ht="15" hidden="false" customHeight="false" outlineLevel="0" collapsed="false">
      <c r="A20" s="3" t="s">
        <v>50</v>
      </c>
      <c r="B20" s="3" t="s">
        <v>54</v>
      </c>
      <c r="C20" s="3" t="s">
        <v>40</v>
      </c>
      <c r="D20" s="3" t="s">
        <v>33</v>
      </c>
      <c r="E20" s="17" t="n">
        <v>2.782</v>
      </c>
      <c r="F20" s="18" t="n">
        <v>300</v>
      </c>
      <c r="G20" s="17" t="n">
        <v>3.0706</v>
      </c>
      <c r="H20" s="3" t="n">
        <f aca="false">1000-F20</f>
        <v>700</v>
      </c>
      <c r="I20" s="17" t="n">
        <v>3.6114</v>
      </c>
      <c r="J20" s="19" t="n">
        <f aca="false">IF(AND(ISNUMBER(E20),ISNUMBER(G20)),G20-E20,"")</f>
        <v>0.2886</v>
      </c>
      <c r="K20" s="19" t="n">
        <f aca="false">IF(AND(ISNUMBER(G20),ISNUMBER(I20)),I20-G20,"")</f>
        <v>0.5408</v>
      </c>
      <c r="L20" s="20" t="n">
        <f aca="false">IF(AND(ISNUMBER(J20),ISNUMBER(K20)),IF(J20&gt;0,(J20+K20)/J20,""),"")</f>
        <v>2.87387387387387</v>
      </c>
      <c r="M20" s="18" t="n">
        <v>5.7001</v>
      </c>
      <c r="N20" s="18"/>
      <c r="O20" s="3" t="s">
        <v>46</v>
      </c>
      <c r="P20" s="18"/>
    </row>
    <row r="21" customFormat="false" ht="15" hidden="false" customHeight="false" outlineLevel="0" collapsed="false">
      <c r="A21" s="11" t="s">
        <v>55</v>
      </c>
      <c r="B21" s="11" t="s">
        <v>56</v>
      </c>
      <c r="C21" s="11" t="s">
        <v>32</v>
      </c>
      <c r="D21" s="11" t="s">
        <v>33</v>
      </c>
      <c r="E21" s="12" t="n">
        <v>2.7328</v>
      </c>
      <c r="F21" s="13" t="n">
        <v>300</v>
      </c>
      <c r="G21" s="12" t="n">
        <v>2.9968</v>
      </c>
      <c r="H21" s="11" t="n">
        <f aca="false">1000-F21</f>
        <v>700</v>
      </c>
      <c r="I21" s="12" t="n">
        <v>3.5049</v>
      </c>
      <c r="J21" s="14" t="n">
        <f aca="false">IF(AND(ISNUMBER(E21),ISNUMBER(G21)),G21-E21,"")</f>
        <v>0.264</v>
      </c>
      <c r="K21" s="14" t="n">
        <f aca="false">IF(AND(ISNUMBER(G21),ISNUMBER(I21)),I21-G21,"")</f>
        <v>0.5081</v>
      </c>
      <c r="L21" s="15" t="n">
        <f aca="false">IF(AND(ISNUMBER(J21),ISNUMBER(K21)),IF(J21&gt;0,(J21+K21)/J21,""),"")</f>
        <v>2.92462121212121</v>
      </c>
      <c r="M21" s="16" t="n">
        <v>3.2005</v>
      </c>
      <c r="N21" s="16"/>
      <c r="O21" s="11" t="s">
        <v>37</v>
      </c>
      <c r="P21" s="13"/>
    </row>
    <row r="22" customFormat="false" ht="15" hidden="false" customHeight="false" outlineLevel="0" collapsed="false">
      <c r="A22" s="3" t="s">
        <v>55</v>
      </c>
      <c r="B22" s="3" t="s">
        <v>57</v>
      </c>
      <c r="C22" s="3" t="s">
        <v>32</v>
      </c>
      <c r="D22" s="3" t="s">
        <v>33</v>
      </c>
      <c r="E22" s="17" t="n">
        <v>2.7832</v>
      </c>
      <c r="F22" s="18" t="n">
        <v>300</v>
      </c>
      <c r="G22" s="17" t="n">
        <v>3.0463</v>
      </c>
      <c r="H22" s="3" t="n">
        <f aca="false">1000-F22</f>
        <v>700</v>
      </c>
      <c r="I22" s="17" t="n">
        <v>3.5633</v>
      </c>
      <c r="J22" s="19" t="n">
        <f aca="false">IF(AND(ISNUMBER(E22),ISNUMBER(G22)),G22-E22,"")</f>
        <v>0.2631</v>
      </c>
      <c r="K22" s="19" t="n">
        <f aca="false">IF(AND(ISNUMBER(G22),ISNUMBER(I22)),I22-G22,"")</f>
        <v>0.517</v>
      </c>
      <c r="L22" s="20" t="n">
        <f aca="false">IF(AND(ISNUMBER(J22),ISNUMBER(K22)),IF(J22&gt;0,(J22+K22)/J22,""),"")</f>
        <v>2.96503230710756</v>
      </c>
      <c r="M22" s="4" t="n">
        <v>3.1966</v>
      </c>
      <c r="N22" s="4"/>
      <c r="O22" s="3" t="s">
        <v>37</v>
      </c>
      <c r="P22" s="18"/>
    </row>
    <row r="23" customFormat="false" ht="15" hidden="false" customHeight="false" outlineLevel="0" collapsed="false">
      <c r="A23" s="3" t="s">
        <v>55</v>
      </c>
      <c r="B23" s="3" t="s">
        <v>58</v>
      </c>
      <c r="C23" s="3" t="s">
        <v>40</v>
      </c>
      <c r="D23" s="3" t="s">
        <v>41</v>
      </c>
      <c r="E23" s="17" t="n">
        <v>2.7346</v>
      </c>
      <c r="F23" s="18" t="n">
        <v>300</v>
      </c>
      <c r="G23" s="17" t="n">
        <v>2.9626</v>
      </c>
      <c r="H23" s="3" t="n">
        <f aca="false">1000-F23</f>
        <v>700</v>
      </c>
      <c r="I23" s="17" t="n">
        <v>3.4922</v>
      </c>
      <c r="J23" s="19" t="n">
        <f aca="false">IF(AND(ISNUMBER(E23),ISNUMBER(G23)),G23-E23,"")</f>
        <v>0.228</v>
      </c>
      <c r="K23" s="19" t="n">
        <f aca="false">IF(AND(ISNUMBER(G23),ISNUMBER(I23)),I23-G23,"")</f>
        <v>0.5296</v>
      </c>
      <c r="L23" s="20" t="n">
        <f aca="false">IF(AND(ISNUMBER(J23),ISNUMBER(K23)),IF(J23&gt;0,(J23+K23)/J23,""),"")</f>
        <v>3.32280701754386</v>
      </c>
      <c r="M23" s="5"/>
      <c r="N23" s="5"/>
      <c r="O23" s="3" t="s">
        <v>42</v>
      </c>
      <c r="P23" s="18"/>
    </row>
    <row r="24" customFormat="false" ht="15" hidden="false" customHeight="false" outlineLevel="0" collapsed="false">
      <c r="A24" s="3" t="s">
        <v>55</v>
      </c>
      <c r="B24" s="3" t="s">
        <v>59</v>
      </c>
      <c r="C24" s="3" t="s">
        <v>40</v>
      </c>
      <c r="D24" s="3" t="s">
        <v>41</v>
      </c>
      <c r="E24" s="17" t="n">
        <v>2.7453</v>
      </c>
      <c r="F24" s="18" t="n">
        <v>300</v>
      </c>
      <c r="G24" s="17" t="n">
        <v>3.031</v>
      </c>
      <c r="H24" s="3" t="n">
        <f aca="false">1000-F24</f>
        <v>700</v>
      </c>
      <c r="I24" s="17" t="n">
        <v>3.5588</v>
      </c>
      <c r="J24" s="19" t="n">
        <f aca="false">IF(AND(ISNUMBER(E24),ISNUMBER(G24)),G24-E24,"")</f>
        <v>0.2857</v>
      </c>
      <c r="K24" s="19" t="n">
        <f aca="false">IF(AND(ISNUMBER(G24),ISNUMBER(I24)),I24-G24,"")</f>
        <v>0.5278</v>
      </c>
      <c r="L24" s="20" t="n">
        <f aca="false">IF(AND(ISNUMBER(J24),ISNUMBER(K24)),IF(J24&gt;0,(J24+K24)/J24,""),"")</f>
        <v>2.84739236961848</v>
      </c>
      <c r="M24" s="5"/>
      <c r="N24" s="5"/>
      <c r="O24" s="3" t="s">
        <v>42</v>
      </c>
      <c r="P24" s="18"/>
    </row>
    <row r="25" customFormat="false" ht="15" hidden="false" customHeight="false" outlineLevel="0" collapsed="false">
      <c r="A25" s="11" t="s">
        <v>60</v>
      </c>
      <c r="B25" s="11" t="s">
        <v>61</v>
      </c>
      <c r="C25" s="11" t="s">
        <v>32</v>
      </c>
      <c r="D25" s="11" t="s">
        <v>41</v>
      </c>
      <c r="E25" s="12" t="n">
        <v>2.7991</v>
      </c>
      <c r="F25" s="13" t="n">
        <v>300</v>
      </c>
      <c r="G25" s="12" t="n">
        <v>3.0977</v>
      </c>
      <c r="H25" s="11" t="n">
        <f aca="false">1000-F25</f>
        <v>700</v>
      </c>
      <c r="I25" s="12" t="n">
        <v>3.632</v>
      </c>
      <c r="J25" s="14" t="n">
        <f aca="false">IF(AND(ISNUMBER(E25),ISNUMBER(G25)),G25-E25,"")</f>
        <v>0.2986</v>
      </c>
      <c r="K25" s="14" t="n">
        <f aca="false">IF(AND(ISNUMBER(G25),ISNUMBER(I25)),I25-G25,"")</f>
        <v>0.5343</v>
      </c>
      <c r="L25" s="15" t="n">
        <f aca="false">IF(AND(ISNUMBER(J25),ISNUMBER(K25)),IF(J25&gt;0,(J25+K25)/J25,""),"")</f>
        <v>2.78935030140656</v>
      </c>
      <c r="M25" s="21"/>
      <c r="N25" s="21"/>
      <c r="O25" s="11" t="s">
        <v>42</v>
      </c>
      <c r="P25" s="13"/>
    </row>
    <row r="26" customFormat="false" ht="15" hidden="false" customHeight="false" outlineLevel="0" collapsed="false">
      <c r="A26" s="3" t="s">
        <v>60</v>
      </c>
      <c r="B26" s="3" t="s">
        <v>62</v>
      </c>
      <c r="C26" s="3" t="s">
        <v>32</v>
      </c>
      <c r="D26" s="3" t="s">
        <v>41</v>
      </c>
      <c r="E26" s="17" t="n">
        <v>2.7293</v>
      </c>
      <c r="F26" s="18" t="n">
        <v>300</v>
      </c>
      <c r="G26" s="17" t="n">
        <v>3.0332</v>
      </c>
      <c r="H26" s="3" t="n">
        <f aca="false">1000-F26</f>
        <v>700</v>
      </c>
      <c r="I26" s="17" t="n">
        <v>3.5642</v>
      </c>
      <c r="J26" s="19" t="n">
        <f aca="false">IF(AND(ISNUMBER(E26),ISNUMBER(G26)),G26-E26,"")</f>
        <v>0.3039</v>
      </c>
      <c r="K26" s="19" t="n">
        <f aca="false">IF(AND(ISNUMBER(G26),ISNUMBER(I26)),I26-G26,"")</f>
        <v>0.531</v>
      </c>
      <c r="L26" s="20" t="n">
        <f aca="false">IF(AND(ISNUMBER(J26),ISNUMBER(K26)),IF(J26&gt;0,(J26+K26)/J26,""),"")</f>
        <v>2.74728529121422</v>
      </c>
      <c r="M26" s="5"/>
      <c r="N26" s="5"/>
      <c r="O26" s="3" t="s">
        <v>42</v>
      </c>
      <c r="P26" s="18"/>
    </row>
    <row r="27" customFormat="false" ht="15" hidden="false" customHeight="false" outlineLevel="0" collapsed="false">
      <c r="A27" s="3" t="s">
        <v>60</v>
      </c>
      <c r="B27" s="3" t="s">
        <v>63</v>
      </c>
      <c r="C27" s="3" t="s">
        <v>40</v>
      </c>
      <c r="D27" s="3" t="s">
        <v>33</v>
      </c>
      <c r="E27" s="17" t="n">
        <v>2.7395</v>
      </c>
      <c r="F27" s="18" t="n">
        <v>300</v>
      </c>
      <c r="G27" s="17" t="n">
        <v>2.9683</v>
      </c>
      <c r="H27" s="3" t="n">
        <f aca="false">1000-F27</f>
        <v>700</v>
      </c>
      <c r="I27" s="17" t="n">
        <v>3.5057</v>
      </c>
      <c r="J27" s="19" t="n">
        <f aca="false">IF(AND(ISNUMBER(E27),ISNUMBER(G27)),G27-E27,"")</f>
        <v>0.2288</v>
      </c>
      <c r="K27" s="19" t="n">
        <f aca="false">IF(AND(ISNUMBER(G27),ISNUMBER(I27)),I27-G27,"")</f>
        <v>0.5374</v>
      </c>
      <c r="L27" s="20" t="n">
        <f aca="false">IF(AND(ISNUMBER(J27),ISNUMBER(K27)),IF(J27&gt;0,(J27+K27)/J27,""),"")</f>
        <v>3.34877622377622</v>
      </c>
      <c r="M27" s="18" t="n">
        <v>8.7541</v>
      </c>
      <c r="N27" s="18" t="n">
        <v>8.651</v>
      </c>
      <c r="O27" s="3" t="s">
        <v>46</v>
      </c>
      <c r="P27" s="18"/>
    </row>
    <row r="28" customFormat="false" ht="15" hidden="false" customHeight="false" outlineLevel="0" collapsed="false">
      <c r="A28" s="3" t="s">
        <v>60</v>
      </c>
      <c r="B28" s="3" t="s">
        <v>64</v>
      </c>
      <c r="C28" s="3" t="s">
        <v>40</v>
      </c>
      <c r="D28" s="3" t="s">
        <v>33</v>
      </c>
      <c r="E28" s="17" t="n">
        <v>2.7364</v>
      </c>
      <c r="F28" s="18" t="n">
        <v>300</v>
      </c>
      <c r="G28" s="17" t="n">
        <v>3.0868</v>
      </c>
      <c r="H28" s="3" t="n">
        <f aca="false">1000-F28</f>
        <v>700</v>
      </c>
      <c r="I28" s="17" t="n">
        <v>3.6186</v>
      </c>
      <c r="J28" s="19" t="n">
        <f aca="false">IF(AND(ISNUMBER(E28),ISNUMBER(G28)),G28-E28,"")</f>
        <v>0.3504</v>
      </c>
      <c r="K28" s="19" t="n">
        <f aca="false">IF(AND(ISNUMBER(G28),ISNUMBER(I28)),I28-G28,"")</f>
        <v>0.5318</v>
      </c>
      <c r="L28" s="20" t="n">
        <f aca="false">IF(AND(ISNUMBER(J28),ISNUMBER(K28)),IF(J28&gt;0,(J28+K28)/J28,""),"")</f>
        <v>2.51769406392694</v>
      </c>
      <c r="M28" s="18" t="n">
        <v>8.7413</v>
      </c>
      <c r="N28" s="18"/>
      <c r="O28" s="3" t="s">
        <v>46</v>
      </c>
      <c r="P28" s="18"/>
    </row>
    <row r="29" customFormat="false" ht="15" hidden="false" customHeight="false" outlineLevel="0" collapsed="false">
      <c r="A29" s="11" t="s">
        <v>65</v>
      </c>
      <c r="B29" s="11" t="s">
        <v>66</v>
      </c>
      <c r="C29" s="11" t="s">
        <v>32</v>
      </c>
      <c r="D29" s="11" t="s">
        <v>41</v>
      </c>
      <c r="E29" s="12" t="n">
        <v>2.7491</v>
      </c>
      <c r="F29" s="13" t="n">
        <v>300</v>
      </c>
      <c r="G29" s="12" t="n">
        <v>3.0502</v>
      </c>
      <c r="H29" s="11" t="n">
        <f aca="false">1000-F29</f>
        <v>700</v>
      </c>
      <c r="I29" s="12" t="n">
        <v>3.5943</v>
      </c>
      <c r="J29" s="14" t="n">
        <f aca="false">IF(AND(ISNUMBER(E29),ISNUMBER(G29)),G29-E29,"")</f>
        <v>0.3011</v>
      </c>
      <c r="K29" s="14" t="n">
        <f aca="false">IF(AND(ISNUMBER(G29),ISNUMBER(I29)),I29-G29,"")</f>
        <v>0.5441</v>
      </c>
      <c r="L29" s="15" t="n">
        <f aca="false">IF(AND(ISNUMBER(J29),ISNUMBER(K29)),IF(J29&gt;0,(J29+K29)/J29,""),"")</f>
        <v>2.80704085021588</v>
      </c>
      <c r="M29" s="21"/>
      <c r="N29" s="21"/>
      <c r="O29" s="11" t="s">
        <v>42</v>
      </c>
      <c r="P29" s="13"/>
    </row>
    <row r="30" customFormat="false" ht="15" hidden="false" customHeight="false" outlineLevel="0" collapsed="false">
      <c r="A30" s="3" t="s">
        <v>65</v>
      </c>
      <c r="B30" s="3" t="s">
        <v>67</v>
      </c>
      <c r="C30" s="3" t="s">
        <v>32</v>
      </c>
      <c r="D30" s="3" t="s">
        <v>41</v>
      </c>
      <c r="E30" s="17" t="n">
        <v>2.7955</v>
      </c>
      <c r="F30" s="18" t="n">
        <v>300</v>
      </c>
      <c r="G30" s="17" t="n">
        <v>3.0991</v>
      </c>
      <c r="H30" s="3" t="n">
        <f aca="false">1000-F30</f>
        <v>700</v>
      </c>
      <c r="I30" s="17" t="n">
        <v>3.6295</v>
      </c>
      <c r="J30" s="19" t="n">
        <f aca="false">IF(AND(ISNUMBER(E30),ISNUMBER(G30)),G30-E30,"")</f>
        <v>0.3036</v>
      </c>
      <c r="K30" s="19" t="n">
        <f aca="false">IF(AND(ISNUMBER(G30),ISNUMBER(I30)),I30-G30,"")</f>
        <v>0.5304</v>
      </c>
      <c r="L30" s="20" t="n">
        <f aca="false">IF(AND(ISNUMBER(J30),ISNUMBER(K30)),IF(J30&gt;0,(J30+K30)/J30,""),"")</f>
        <v>2.74703557312253</v>
      </c>
      <c r="M30" s="5"/>
      <c r="N30" s="5"/>
      <c r="O30" s="3" t="s">
        <v>42</v>
      </c>
      <c r="P30" s="18"/>
    </row>
    <row r="31" customFormat="false" ht="15" hidden="false" customHeight="false" outlineLevel="0" collapsed="false">
      <c r="A31" s="3" t="s">
        <v>65</v>
      </c>
      <c r="B31" s="3" t="s">
        <v>68</v>
      </c>
      <c r="C31" s="3" t="s">
        <v>40</v>
      </c>
      <c r="D31" s="3" t="s">
        <v>33</v>
      </c>
      <c r="E31" s="17" t="n">
        <v>2.7678</v>
      </c>
      <c r="F31" s="18" t="n">
        <v>300</v>
      </c>
      <c r="G31" s="17" t="n">
        <v>3.0705</v>
      </c>
      <c r="H31" s="3" t="n">
        <f aca="false">1000-F31</f>
        <v>700</v>
      </c>
      <c r="I31" s="17" t="n">
        <v>3.6085</v>
      </c>
      <c r="J31" s="19" t="n">
        <f aca="false">IF(AND(ISNUMBER(E31),ISNUMBER(G31)),G31-E31,"")</f>
        <v>0.3027</v>
      </c>
      <c r="K31" s="19" t="n">
        <f aca="false">IF(AND(ISNUMBER(G31),ISNUMBER(I31)),I31-G31,"")</f>
        <v>0.538</v>
      </c>
      <c r="L31" s="20" t="n">
        <f aca="false">IF(AND(ISNUMBER(J31),ISNUMBER(K31)),IF(J31&gt;0,(J31+K31)/J31,""),"")</f>
        <v>2.77733729765444</v>
      </c>
      <c r="M31" s="4" t="n">
        <v>2.9293</v>
      </c>
      <c r="N31" s="4"/>
      <c r="O31" s="3" t="s">
        <v>37</v>
      </c>
      <c r="P31" s="18"/>
    </row>
    <row r="32" customFormat="false" ht="15" hidden="false" customHeight="false" outlineLevel="0" collapsed="false">
      <c r="A32" s="3" t="s">
        <v>65</v>
      </c>
      <c r="B32" s="3" t="s">
        <v>69</v>
      </c>
      <c r="C32" s="3" t="s">
        <v>40</v>
      </c>
      <c r="D32" s="3" t="s">
        <v>33</v>
      </c>
      <c r="E32" s="17" t="n">
        <v>2.8043</v>
      </c>
      <c r="F32" s="18" t="n">
        <v>300</v>
      </c>
      <c r="G32" s="17" t="n">
        <v>3.0994</v>
      </c>
      <c r="H32" s="3" t="n">
        <f aca="false">1000-F32</f>
        <v>700</v>
      </c>
      <c r="I32" s="17" t="n">
        <v>3.6367</v>
      </c>
      <c r="J32" s="19" t="n">
        <f aca="false">IF(AND(ISNUMBER(E32),ISNUMBER(G32)),G32-E32,"")</f>
        <v>0.2951</v>
      </c>
      <c r="K32" s="19" t="n">
        <f aca="false">IF(AND(ISNUMBER(G32),ISNUMBER(I32)),I32-G32,"")</f>
        <v>0.5373</v>
      </c>
      <c r="L32" s="20" t="n">
        <f aca="false">IF(AND(ISNUMBER(J32),ISNUMBER(K32)),IF(J32&gt;0,(J32+K32)/J32,""),"")</f>
        <v>2.820738732633</v>
      </c>
      <c r="M32" s="4" t="n">
        <v>2.9187</v>
      </c>
      <c r="N32" s="4"/>
      <c r="O32" s="3" t="s">
        <v>37</v>
      </c>
      <c r="P32" s="18"/>
    </row>
    <row r="33" customFormat="false" ht="15" hidden="false" customHeight="false" outlineLevel="0" collapsed="false">
      <c r="A33" s="11" t="s">
        <v>70</v>
      </c>
      <c r="B33" s="11" t="s">
        <v>71</v>
      </c>
      <c r="C33" s="11" t="s">
        <v>32</v>
      </c>
      <c r="D33" s="11" t="s">
        <v>41</v>
      </c>
      <c r="E33" s="12" t="n">
        <v>2.8176</v>
      </c>
      <c r="F33" s="13" t="n">
        <v>300</v>
      </c>
      <c r="G33" s="12" t="n">
        <v>3.119</v>
      </c>
      <c r="H33" s="11" t="n">
        <f aca="false">1000-F33</f>
        <v>700</v>
      </c>
      <c r="I33" s="12" t="n">
        <v>3.6571</v>
      </c>
      <c r="J33" s="14" t="n">
        <f aca="false">IF(AND(ISNUMBER(E33),ISNUMBER(G33)),G33-E33,"")</f>
        <v>0.3014</v>
      </c>
      <c r="K33" s="14" t="n">
        <f aca="false">IF(AND(ISNUMBER(G33),ISNUMBER(I33)),I33-G33,"")</f>
        <v>0.5381</v>
      </c>
      <c r="L33" s="15" t="n">
        <f aca="false">IF(AND(ISNUMBER(J33),ISNUMBER(K33)),IF(J33&gt;0,(J33+K33)/J33,""),"")</f>
        <v>2.78533510285335</v>
      </c>
      <c r="M33" s="21"/>
      <c r="N33" s="21"/>
      <c r="O33" s="11" t="s">
        <v>42</v>
      </c>
      <c r="P33" s="13"/>
    </row>
    <row r="34" customFormat="false" ht="15" hidden="false" customHeight="false" outlineLevel="0" collapsed="false">
      <c r="A34" s="3" t="s">
        <v>70</v>
      </c>
      <c r="B34" s="3" t="s">
        <v>72</v>
      </c>
      <c r="C34" s="3" t="s">
        <v>32</v>
      </c>
      <c r="D34" s="3" t="s">
        <v>41</v>
      </c>
      <c r="E34" s="17" t="n">
        <v>2.802</v>
      </c>
      <c r="F34" s="18" t="n">
        <v>300</v>
      </c>
      <c r="G34" s="17" t="n">
        <v>3.1046</v>
      </c>
      <c r="H34" s="3" t="n">
        <f aca="false">1000-F34</f>
        <v>700</v>
      </c>
      <c r="I34" s="17" t="n">
        <v>3.6365</v>
      </c>
      <c r="J34" s="19" t="n">
        <f aca="false">IF(AND(ISNUMBER(E34),ISNUMBER(G34)),G34-E34,"")</f>
        <v>0.3026</v>
      </c>
      <c r="K34" s="19" t="n">
        <f aca="false">IF(AND(ISNUMBER(G34),ISNUMBER(I34)),I34-G34,"")</f>
        <v>0.5319</v>
      </c>
      <c r="L34" s="20" t="n">
        <f aca="false">IF(AND(ISNUMBER(J34),ISNUMBER(K34)),IF(J34&gt;0,(J34+K34)/J34,""),"")</f>
        <v>2.75776602775942</v>
      </c>
      <c r="M34" s="5"/>
      <c r="N34" s="5"/>
      <c r="O34" s="3" t="s">
        <v>42</v>
      </c>
      <c r="P34" s="18"/>
    </row>
    <row r="35" customFormat="false" ht="15" hidden="false" customHeight="false" outlineLevel="0" collapsed="false">
      <c r="A35" s="3" t="s">
        <v>70</v>
      </c>
      <c r="B35" s="3" t="s">
        <v>73</v>
      </c>
      <c r="C35" s="3" t="s">
        <v>40</v>
      </c>
      <c r="D35" s="3" t="s">
        <v>33</v>
      </c>
      <c r="E35" s="17" t="n">
        <v>2.7873</v>
      </c>
      <c r="F35" s="18" t="n">
        <v>300</v>
      </c>
      <c r="G35" s="17" t="n">
        <v>3.0945</v>
      </c>
      <c r="H35" s="3" t="n">
        <f aca="false">1000-F35</f>
        <v>700</v>
      </c>
      <c r="I35" s="17" t="n">
        <v>3.6192</v>
      </c>
      <c r="J35" s="19" t="n">
        <f aca="false">IF(AND(ISNUMBER(E35),ISNUMBER(G35)),G35-E35,"")</f>
        <v>0.3072</v>
      </c>
      <c r="K35" s="19" t="n">
        <f aca="false">IF(AND(ISNUMBER(G35),ISNUMBER(I35)),I35-G35,"")</f>
        <v>0.5247</v>
      </c>
      <c r="L35" s="20" t="n">
        <f aca="false">IF(AND(ISNUMBER(J35),ISNUMBER(K35)),IF(J35&gt;0,(J35+K35)/J35,""),"")</f>
        <v>2.7080078125</v>
      </c>
      <c r="M35" s="4" t="n">
        <v>4.1294</v>
      </c>
      <c r="N35" s="4"/>
      <c r="O35" s="3" t="s">
        <v>37</v>
      </c>
      <c r="P35" s="18"/>
    </row>
    <row r="36" customFormat="false" ht="15" hidden="false" customHeight="false" outlineLevel="0" collapsed="false">
      <c r="A36" s="3" t="s">
        <v>70</v>
      </c>
      <c r="B36" s="3" t="s">
        <v>74</v>
      </c>
      <c r="C36" s="3" t="s">
        <v>40</v>
      </c>
      <c r="D36" s="3" t="s">
        <v>33</v>
      </c>
      <c r="E36" s="17" t="n">
        <v>2.7583</v>
      </c>
      <c r="F36" s="18" t="n">
        <v>300</v>
      </c>
      <c r="G36" s="17" t="n">
        <v>3.0519</v>
      </c>
      <c r="H36" s="3" t="n">
        <f aca="false">1000-F36</f>
        <v>700</v>
      </c>
      <c r="I36" s="17" t="n">
        <v>3.5852</v>
      </c>
      <c r="J36" s="19" t="n">
        <f aca="false">IF(AND(ISNUMBER(E36),ISNUMBER(G36)),G36-E36,"")</f>
        <v>0.2936</v>
      </c>
      <c r="K36" s="19" t="n">
        <f aca="false">IF(AND(ISNUMBER(G36),ISNUMBER(I36)),I36-G36,"")</f>
        <v>0.5333</v>
      </c>
      <c r="L36" s="20" t="n">
        <f aca="false">IF(AND(ISNUMBER(J36),ISNUMBER(K36)),IF(J36&gt;0,(J36+K36)/J36,""),"")</f>
        <v>2.81641689373297</v>
      </c>
      <c r="M36" s="4" t="n">
        <v>4.2546</v>
      </c>
      <c r="N36" s="4"/>
      <c r="O36" s="3" t="s">
        <v>37</v>
      </c>
      <c r="P36" s="18"/>
    </row>
    <row r="37" customFormat="false" ht="15" hidden="false" customHeight="false" outlineLevel="0" collapsed="false">
      <c r="A37" s="11" t="s">
        <v>75</v>
      </c>
      <c r="B37" s="11" t="s">
        <v>76</v>
      </c>
      <c r="C37" s="11" t="s">
        <v>32</v>
      </c>
      <c r="D37" s="11" t="s">
        <v>41</v>
      </c>
      <c r="E37" s="12" t="n">
        <v>2.7596</v>
      </c>
      <c r="F37" s="13" t="n">
        <v>300</v>
      </c>
      <c r="G37" s="12" t="n">
        <v>3.0616</v>
      </c>
      <c r="H37" s="11" t="n">
        <f aca="false">1000-F37</f>
        <v>700</v>
      </c>
      <c r="I37" s="12" t="n">
        <v>3.5821</v>
      </c>
      <c r="J37" s="14" t="n">
        <f aca="false">IF(AND(ISNUMBER(E37),ISNUMBER(G37)),G37-E37,"")</f>
        <v>0.302</v>
      </c>
      <c r="K37" s="14" t="n">
        <f aca="false">IF(AND(ISNUMBER(G37),ISNUMBER(I37)),I37-G37,"")</f>
        <v>0.5205</v>
      </c>
      <c r="L37" s="15" t="n">
        <f aca="false">IF(AND(ISNUMBER(J37),ISNUMBER(K37)),IF(J37&gt;0,(J37+K37)/J37,""),"")</f>
        <v>2.72350993377483</v>
      </c>
      <c r="M37" s="21"/>
      <c r="N37" s="21"/>
      <c r="O37" s="11" t="s">
        <v>42</v>
      </c>
      <c r="P37" s="13"/>
    </row>
    <row r="38" customFormat="false" ht="15" hidden="false" customHeight="false" outlineLevel="0" collapsed="false">
      <c r="A38" s="3" t="s">
        <v>75</v>
      </c>
      <c r="B38" s="3" t="s">
        <v>77</v>
      </c>
      <c r="C38" s="3" t="s">
        <v>32</v>
      </c>
      <c r="D38" s="3" t="s">
        <v>41</v>
      </c>
      <c r="E38" s="17" t="n">
        <v>2.8114</v>
      </c>
      <c r="F38" s="18" t="n">
        <v>300</v>
      </c>
      <c r="G38" s="17" t="n">
        <v>3.1157</v>
      </c>
      <c r="H38" s="3" t="n">
        <f aca="false">1000-F38</f>
        <v>700</v>
      </c>
      <c r="I38" s="17" t="n">
        <v>3.6272</v>
      </c>
      <c r="J38" s="19" t="n">
        <f aca="false">IF(AND(ISNUMBER(E38),ISNUMBER(G38)),G38-E38,"")</f>
        <v>0.3043</v>
      </c>
      <c r="K38" s="19" t="n">
        <f aca="false">IF(AND(ISNUMBER(G38),ISNUMBER(I38)),I38-G38,"")</f>
        <v>0.5115</v>
      </c>
      <c r="L38" s="20" t="n">
        <f aca="false">IF(AND(ISNUMBER(J38),ISNUMBER(K38)),IF(J38&gt;0,(J38+K38)/J38,""),"")</f>
        <v>2.68090699967138</v>
      </c>
      <c r="M38" s="5"/>
      <c r="N38" s="5"/>
      <c r="O38" s="3" t="s">
        <v>42</v>
      </c>
      <c r="P38" s="18"/>
    </row>
    <row r="39" customFormat="false" ht="15" hidden="false" customHeight="false" outlineLevel="0" collapsed="false">
      <c r="A39" s="3" t="s">
        <v>75</v>
      </c>
      <c r="B39" s="3" t="s">
        <v>78</v>
      </c>
      <c r="C39" s="3" t="s">
        <v>40</v>
      </c>
      <c r="D39" s="3" t="s">
        <v>33</v>
      </c>
      <c r="E39" s="17" t="n">
        <v>2.808</v>
      </c>
      <c r="F39" s="18" t="n">
        <v>300</v>
      </c>
      <c r="G39" s="17" t="n">
        <v>3.0982</v>
      </c>
      <c r="H39" s="3" t="n">
        <f aca="false">1000-F39</f>
        <v>700</v>
      </c>
      <c r="I39" s="17" t="n">
        <v>3.635</v>
      </c>
      <c r="J39" s="19" t="n">
        <f aca="false">IF(AND(ISNUMBER(E39),ISNUMBER(G39)),G39-E39,"")</f>
        <v>0.2902</v>
      </c>
      <c r="K39" s="19" t="n">
        <f aca="false">IF(AND(ISNUMBER(G39),ISNUMBER(I39)),I39-G39,"")</f>
        <v>0.5368</v>
      </c>
      <c r="L39" s="20" t="n">
        <f aca="false">IF(AND(ISNUMBER(J39),ISNUMBER(K39)),IF(J39&gt;0,(J39+K39)/J39,""),"")</f>
        <v>2.84975878704342</v>
      </c>
      <c r="M39" s="4" t="n">
        <v>3.5236</v>
      </c>
      <c r="N39" s="4"/>
      <c r="O39" s="3" t="s">
        <v>37</v>
      </c>
      <c r="P39" s="18" t="s">
        <v>79</v>
      </c>
    </row>
    <row r="40" customFormat="false" ht="15" hidden="false" customHeight="false" outlineLevel="0" collapsed="false">
      <c r="A40" s="3" t="s">
        <v>75</v>
      </c>
      <c r="B40" s="3" t="s">
        <v>80</v>
      </c>
      <c r="C40" s="3" t="s">
        <v>40</v>
      </c>
      <c r="D40" s="3" t="s">
        <v>33</v>
      </c>
      <c r="E40" s="17" t="n">
        <v>2.7798</v>
      </c>
      <c r="F40" s="18" t="n">
        <v>300</v>
      </c>
      <c r="G40" s="17" t="n">
        <v>3.0909</v>
      </c>
      <c r="H40" s="3" t="n">
        <f aca="false">1000-F40</f>
        <v>700</v>
      </c>
      <c r="I40" s="17" t="n">
        <v>3.6103</v>
      </c>
      <c r="J40" s="19" t="n">
        <f aca="false">IF(AND(ISNUMBER(E40),ISNUMBER(G40)),G40-E40,"")</f>
        <v>0.3111</v>
      </c>
      <c r="K40" s="19" t="n">
        <f aca="false">IF(AND(ISNUMBER(G40),ISNUMBER(I40)),I40-G40,"")</f>
        <v>0.5194</v>
      </c>
      <c r="L40" s="20" t="n">
        <f aca="false">IF(AND(ISNUMBER(J40),ISNUMBER(K40)),IF(J40&gt;0,(J40+K40)/J40,""),"")</f>
        <v>2.66955962712954</v>
      </c>
      <c r="M40" s="4" t="n">
        <v>3.5085</v>
      </c>
      <c r="N40" s="4"/>
      <c r="O40" s="3" t="s">
        <v>37</v>
      </c>
      <c r="P40" s="18" t="s">
        <v>81</v>
      </c>
    </row>
    <row r="41" customFormat="false" ht="15" hidden="false" customHeight="false" outlineLevel="0" collapsed="false">
      <c r="A41" s="11" t="s">
        <v>82</v>
      </c>
      <c r="B41" s="11" t="s">
        <v>83</v>
      </c>
      <c r="C41" s="11" t="s">
        <v>32</v>
      </c>
      <c r="D41" s="11" t="s">
        <v>33</v>
      </c>
      <c r="E41" s="12" t="n">
        <v>2.7434</v>
      </c>
      <c r="F41" s="13" t="n">
        <v>300</v>
      </c>
      <c r="G41" s="12" t="n">
        <v>2.9949</v>
      </c>
      <c r="H41" s="11" t="n">
        <f aca="false">1000-F41</f>
        <v>700</v>
      </c>
      <c r="I41" s="12" t="n">
        <v>3.5194</v>
      </c>
      <c r="J41" s="14" t="n">
        <f aca="false">IF(AND(ISNUMBER(E41),ISNUMBER(G41)),G41-E41,"")</f>
        <v>0.2515</v>
      </c>
      <c r="K41" s="14" t="n">
        <f aca="false">IF(AND(ISNUMBER(G41),ISNUMBER(I41)),I41-G41,"")</f>
        <v>0.5245</v>
      </c>
      <c r="L41" s="15" t="n">
        <f aca="false">IF(AND(ISNUMBER(J41),ISNUMBER(K41)),IF(J41&gt;0,(J41+K41)/J41,""),"")</f>
        <v>3.08548707753479</v>
      </c>
      <c r="M41" s="13" t="n">
        <v>1.7516</v>
      </c>
      <c r="N41" s="13"/>
      <c r="O41" s="11" t="s">
        <v>46</v>
      </c>
      <c r="P41" s="13"/>
    </row>
    <row r="42" customFormat="false" ht="15" hidden="false" customHeight="false" outlineLevel="0" collapsed="false">
      <c r="A42" s="3" t="s">
        <v>82</v>
      </c>
      <c r="B42" s="3" t="s">
        <v>84</v>
      </c>
      <c r="C42" s="3" t="s">
        <v>32</v>
      </c>
      <c r="D42" s="3" t="s">
        <v>33</v>
      </c>
      <c r="E42" s="17" t="n">
        <v>2.717</v>
      </c>
      <c r="F42" s="18" t="n">
        <v>300</v>
      </c>
      <c r="G42" s="17" t="n">
        <v>2.967</v>
      </c>
      <c r="H42" s="3" t="n">
        <f aca="false">1000-F42</f>
        <v>700</v>
      </c>
      <c r="I42" s="17" t="n">
        <v>3.4935</v>
      </c>
      <c r="J42" s="19" t="n">
        <f aca="false">IF(AND(ISNUMBER(E42),ISNUMBER(G42)),G42-E42,"")</f>
        <v>0.25</v>
      </c>
      <c r="K42" s="19" t="n">
        <f aca="false">IF(AND(ISNUMBER(G42),ISNUMBER(I42)),I42-G42,"")</f>
        <v>0.5265</v>
      </c>
      <c r="L42" s="20" t="n">
        <f aca="false">IF(AND(ISNUMBER(J42),ISNUMBER(K42)),IF(J42&gt;0,(J42+K42)/J42,""),"")</f>
        <v>3.106</v>
      </c>
      <c r="M42" s="18" t="n">
        <v>1.7941</v>
      </c>
      <c r="N42" s="18"/>
      <c r="O42" s="3" t="s">
        <v>46</v>
      </c>
      <c r="P42" s="18"/>
    </row>
    <row r="43" customFormat="false" ht="15" hidden="false" customHeight="false" outlineLevel="0" collapsed="false">
      <c r="A43" s="3" t="s">
        <v>82</v>
      </c>
      <c r="B43" s="3" t="s">
        <v>85</v>
      </c>
      <c r="C43" s="3" t="s">
        <v>40</v>
      </c>
      <c r="D43" s="3" t="s">
        <v>41</v>
      </c>
      <c r="E43" s="17" t="n">
        <v>2.7308</v>
      </c>
      <c r="F43" s="18" t="n">
        <v>300</v>
      </c>
      <c r="G43" s="17" t="n">
        <v>2.9645</v>
      </c>
      <c r="H43" s="3" t="n">
        <f aca="false">1000-F43</f>
        <v>700</v>
      </c>
      <c r="I43" s="17" t="n">
        <v>3.4817</v>
      </c>
      <c r="J43" s="19" t="n">
        <f aca="false">IF(AND(ISNUMBER(E43),ISNUMBER(G43)),G43-E43,"")</f>
        <v>0.2337</v>
      </c>
      <c r="K43" s="19" t="n">
        <f aca="false">IF(AND(ISNUMBER(G43),ISNUMBER(I43)),I43-G43,"")</f>
        <v>0.5172</v>
      </c>
      <c r="L43" s="20" t="n">
        <f aca="false">IF(AND(ISNUMBER(J43),ISNUMBER(K43)),IF(J43&gt;0,(J43+K43)/J43,""),"")</f>
        <v>3.21309370988446</v>
      </c>
      <c r="M43" s="5"/>
      <c r="N43" s="5"/>
      <c r="O43" s="3" t="s">
        <v>42</v>
      </c>
      <c r="P43" s="18"/>
    </row>
    <row r="44" customFormat="false" ht="15" hidden="false" customHeight="false" outlineLevel="0" collapsed="false">
      <c r="A44" s="3" t="s">
        <v>82</v>
      </c>
      <c r="B44" s="3" t="s">
        <v>86</v>
      </c>
      <c r="C44" s="3" t="s">
        <v>40</v>
      </c>
      <c r="D44" s="3" t="s">
        <v>41</v>
      </c>
      <c r="E44" s="17" t="n">
        <v>2.7036</v>
      </c>
      <c r="F44" s="18" t="n">
        <v>300</v>
      </c>
      <c r="G44" s="17" t="n">
        <v>3.0221</v>
      </c>
      <c r="H44" s="3" t="n">
        <f aca="false">1000-F44</f>
        <v>700</v>
      </c>
      <c r="I44" s="17" t="n">
        <v>3.541</v>
      </c>
      <c r="J44" s="19" t="n">
        <f aca="false">IF(AND(ISNUMBER(E44),ISNUMBER(G44)),G44-E44,"")</f>
        <v>0.3185</v>
      </c>
      <c r="K44" s="19" t="n">
        <f aca="false">IF(AND(ISNUMBER(G44),ISNUMBER(I44)),I44-G44,"")</f>
        <v>0.5189</v>
      </c>
      <c r="L44" s="20" t="n">
        <f aca="false">IF(AND(ISNUMBER(J44),ISNUMBER(K44)),IF(J44&gt;0,(J44+K44)/J44,""),"")</f>
        <v>2.62919937205651</v>
      </c>
      <c r="M44" s="5"/>
      <c r="N44" s="5"/>
      <c r="O44" s="3" t="s">
        <v>42</v>
      </c>
      <c r="P44" s="18"/>
    </row>
    <row r="45" customFormat="false" ht="15" hidden="false" customHeight="false" outlineLevel="0" collapsed="false">
      <c r="A45" s="11" t="s">
        <v>87</v>
      </c>
      <c r="B45" s="11" t="s">
        <v>88</v>
      </c>
      <c r="C45" s="11" t="s">
        <v>32</v>
      </c>
      <c r="D45" s="11" t="s">
        <v>41</v>
      </c>
      <c r="E45" s="12" t="n">
        <v>2.7643</v>
      </c>
      <c r="F45" s="13" t="n">
        <v>300</v>
      </c>
      <c r="G45" s="12" t="n">
        <v>3.0539</v>
      </c>
      <c r="H45" s="11" t="n">
        <f aca="false">1000-F45</f>
        <v>700</v>
      </c>
      <c r="I45" s="12" t="n">
        <v>3.601</v>
      </c>
      <c r="J45" s="14" t="n">
        <f aca="false">IF(AND(ISNUMBER(E45),ISNUMBER(G45)),G45-E45,"")</f>
        <v>0.2896</v>
      </c>
      <c r="K45" s="14" t="n">
        <f aca="false">IF(AND(ISNUMBER(G45),ISNUMBER(I45)),I45-G45,"")</f>
        <v>0.5471</v>
      </c>
      <c r="L45" s="15" t="n">
        <f aca="false">IF(AND(ISNUMBER(J45),ISNUMBER(K45)),IF(J45&gt;0,(J45+K45)/J45,""),"")</f>
        <v>2.88915745856354</v>
      </c>
      <c r="M45" s="21"/>
      <c r="N45" s="21"/>
      <c r="O45" s="11" t="s">
        <v>42</v>
      </c>
      <c r="P45" s="13"/>
    </row>
    <row r="46" customFormat="false" ht="15" hidden="false" customHeight="false" outlineLevel="0" collapsed="false">
      <c r="A46" s="3" t="s">
        <v>87</v>
      </c>
      <c r="B46" s="3" t="s">
        <v>89</v>
      </c>
      <c r="C46" s="3" t="s">
        <v>32</v>
      </c>
      <c r="D46" s="3" t="s">
        <v>41</v>
      </c>
      <c r="E46" s="17" t="n">
        <v>2.7754</v>
      </c>
      <c r="F46" s="18" t="n">
        <v>300</v>
      </c>
      <c r="G46" s="17" t="n">
        <v>3.0785</v>
      </c>
      <c r="H46" s="3" t="n">
        <f aca="false">1000-F46</f>
        <v>700</v>
      </c>
      <c r="I46" s="17" t="n">
        <v>3.6206</v>
      </c>
      <c r="J46" s="19" t="n">
        <f aca="false">IF(AND(ISNUMBER(E46),ISNUMBER(G46)),G46-E46,"")</f>
        <v>0.3031</v>
      </c>
      <c r="K46" s="19" t="n">
        <f aca="false">IF(AND(ISNUMBER(G46),ISNUMBER(I46)),I46-G46,"")</f>
        <v>0.5421</v>
      </c>
      <c r="L46" s="20" t="n">
        <f aca="false">IF(AND(ISNUMBER(J46),ISNUMBER(K46)),IF(J46&gt;0,(J46+K46)/J46,""),"")</f>
        <v>2.78851864071264</v>
      </c>
      <c r="M46" s="5"/>
      <c r="N46" s="5"/>
      <c r="O46" s="3" t="s">
        <v>42</v>
      </c>
      <c r="P46" s="18"/>
    </row>
    <row r="47" customFormat="false" ht="15" hidden="false" customHeight="false" outlineLevel="0" collapsed="false">
      <c r="A47" s="3" t="s">
        <v>87</v>
      </c>
      <c r="B47" s="3" t="s">
        <v>90</v>
      </c>
      <c r="C47" s="3" t="s">
        <v>40</v>
      </c>
      <c r="D47" s="3" t="s">
        <v>33</v>
      </c>
      <c r="E47" s="17" t="n">
        <v>2.735</v>
      </c>
      <c r="F47" s="18" t="n">
        <v>300</v>
      </c>
      <c r="G47" s="17" t="n">
        <v>2.9604</v>
      </c>
      <c r="H47" s="3" t="n">
        <f aca="false">1000-F47</f>
        <v>700</v>
      </c>
      <c r="I47" s="17" t="n">
        <v>3.4754</v>
      </c>
      <c r="J47" s="19" t="n">
        <f aca="false">IF(AND(ISNUMBER(E47),ISNUMBER(G47)),G47-E47,"")</f>
        <v>0.2254</v>
      </c>
      <c r="K47" s="19" t="n">
        <f aca="false">IF(AND(ISNUMBER(G47),ISNUMBER(I47)),I47-G47,"")</f>
        <v>0.515</v>
      </c>
      <c r="L47" s="20" t="n">
        <f aca="false">IF(AND(ISNUMBER(J47),ISNUMBER(K47)),IF(J47&gt;0,(J47+K47)/J47,""),"")</f>
        <v>3.28482697426797</v>
      </c>
      <c r="M47" s="4" t="n">
        <v>7.8468</v>
      </c>
      <c r="N47" s="4"/>
      <c r="O47" s="3" t="s">
        <v>37</v>
      </c>
      <c r="P47" s="18"/>
    </row>
    <row r="48" customFormat="false" ht="15" hidden="false" customHeight="false" outlineLevel="0" collapsed="false">
      <c r="A48" s="3" t="s">
        <v>87</v>
      </c>
      <c r="B48" s="3" t="s">
        <v>91</v>
      </c>
      <c r="C48" s="3" t="s">
        <v>40</v>
      </c>
      <c r="D48" s="3" t="s">
        <v>33</v>
      </c>
      <c r="E48" s="17" t="n">
        <v>2.7382</v>
      </c>
      <c r="F48" s="18" t="n">
        <v>300</v>
      </c>
      <c r="G48" s="17" t="n">
        <v>3.0398</v>
      </c>
      <c r="H48" s="3" t="n">
        <f aca="false">1000-F48</f>
        <v>700</v>
      </c>
      <c r="I48" s="17" t="n">
        <v>3.6181</v>
      </c>
      <c r="J48" s="19" t="n">
        <f aca="false">IF(AND(ISNUMBER(E48),ISNUMBER(G48)),G48-E48,"")</f>
        <v>0.3016</v>
      </c>
      <c r="K48" s="19" t="n">
        <f aca="false">IF(AND(ISNUMBER(G48),ISNUMBER(I48)),I48-G48,"")</f>
        <v>0.5783</v>
      </c>
      <c r="L48" s="20" t="n">
        <f aca="false">IF(AND(ISNUMBER(J48),ISNUMBER(K48)),IF(J48&gt;0,(J48+K48)/J48,""),"")</f>
        <v>2.91744031830239</v>
      </c>
      <c r="M48" s="4" t="n">
        <v>7.9933</v>
      </c>
      <c r="N48" s="4"/>
      <c r="O48" s="3" t="s">
        <v>37</v>
      </c>
      <c r="P48" s="18"/>
    </row>
    <row r="49" customFormat="false" ht="15" hidden="false" customHeight="false" outlineLevel="0" collapsed="false">
      <c r="A49" s="11" t="s">
        <v>92</v>
      </c>
      <c r="B49" s="11" t="s">
        <v>93</v>
      </c>
      <c r="C49" s="11" t="s">
        <v>32</v>
      </c>
      <c r="D49" s="11" t="s">
        <v>33</v>
      </c>
      <c r="E49" s="12" t="n">
        <v>2.7346</v>
      </c>
      <c r="F49" s="13" t="n">
        <v>300</v>
      </c>
      <c r="G49" s="12" t="n">
        <v>2.9953</v>
      </c>
      <c r="H49" s="11" t="n">
        <f aca="false">1000-F49</f>
        <v>700</v>
      </c>
      <c r="I49" s="12" t="n">
        <v>3.5283</v>
      </c>
      <c r="J49" s="14" t="n">
        <f aca="false">IF(AND(ISNUMBER(E49),ISNUMBER(G49)),G49-E49,"")</f>
        <v>0.2607</v>
      </c>
      <c r="K49" s="14" t="n">
        <f aca="false">IF(AND(ISNUMBER(G49),ISNUMBER(I49)),I49-G49,"")</f>
        <v>0.533</v>
      </c>
      <c r="L49" s="15" t="n">
        <f aca="false">IF(AND(ISNUMBER(J49),ISNUMBER(K49)),IF(J49&gt;0,(J49+K49)/J49,""),"")</f>
        <v>3.04449558879939</v>
      </c>
      <c r="M49" s="16" t="n">
        <v>1.9283</v>
      </c>
      <c r="N49" s="16"/>
      <c r="O49" s="11" t="s">
        <v>37</v>
      </c>
      <c r="P49" s="13"/>
    </row>
    <row r="50" customFormat="false" ht="15" hidden="false" customHeight="false" outlineLevel="0" collapsed="false">
      <c r="A50" s="3" t="s">
        <v>92</v>
      </c>
      <c r="B50" s="3" t="s">
        <v>94</v>
      </c>
      <c r="C50" s="3" t="s">
        <v>32</v>
      </c>
      <c r="D50" s="3" t="s">
        <v>33</v>
      </c>
      <c r="E50" s="17" t="n">
        <v>2.7475</v>
      </c>
      <c r="F50" s="18" t="n">
        <v>300</v>
      </c>
      <c r="G50" s="17" t="n">
        <v>3.0121</v>
      </c>
      <c r="H50" s="3" t="n">
        <f aca="false">1000-F50</f>
        <v>700</v>
      </c>
      <c r="I50" s="17" t="n">
        <v>3.5411</v>
      </c>
      <c r="J50" s="19" t="n">
        <f aca="false">IF(AND(ISNUMBER(E50),ISNUMBER(G50)),G50-E50,"")</f>
        <v>0.2646</v>
      </c>
      <c r="K50" s="19" t="n">
        <f aca="false">IF(AND(ISNUMBER(G50),ISNUMBER(I50)),I50-G50,"")</f>
        <v>0.529</v>
      </c>
      <c r="L50" s="20" t="n">
        <f aca="false">IF(AND(ISNUMBER(J50),ISNUMBER(K50)),IF(J50&gt;0,(J50+K50)/J50,""),"")</f>
        <v>2.99924414210128</v>
      </c>
      <c r="M50" s="4" t="n">
        <v>1.8536</v>
      </c>
      <c r="N50" s="4"/>
      <c r="O50" s="3" t="s">
        <v>37</v>
      </c>
      <c r="P50" s="18"/>
    </row>
    <row r="51" customFormat="false" ht="15" hidden="false" customHeight="false" outlineLevel="0" collapsed="false">
      <c r="A51" s="3" t="s">
        <v>92</v>
      </c>
      <c r="B51" s="3" t="s">
        <v>95</v>
      </c>
      <c r="C51" s="3" t="s">
        <v>40</v>
      </c>
      <c r="D51" s="3" t="s">
        <v>41</v>
      </c>
      <c r="E51" s="17" t="n">
        <v>2.766</v>
      </c>
      <c r="F51" s="18" t="n">
        <v>300</v>
      </c>
      <c r="G51" s="17" t="n">
        <v>3.0512</v>
      </c>
      <c r="H51" s="3" t="n">
        <f aca="false">1000-F51</f>
        <v>700</v>
      </c>
      <c r="I51" s="17" t="n">
        <v>3.5693</v>
      </c>
      <c r="J51" s="19" t="n">
        <f aca="false">IF(AND(ISNUMBER(E51),ISNUMBER(G51)),G51-E51,"")</f>
        <v>0.2852</v>
      </c>
      <c r="K51" s="19" t="n">
        <f aca="false">IF(AND(ISNUMBER(G51),ISNUMBER(I51)),I51-G51,"")</f>
        <v>0.5181</v>
      </c>
      <c r="L51" s="20" t="n">
        <f aca="false">IF(AND(ISNUMBER(J51),ISNUMBER(K51)),IF(J51&gt;0,(J51+K51)/J51,""),"")</f>
        <v>2.81661991584853</v>
      </c>
      <c r="M51" s="5"/>
      <c r="N51" s="5"/>
      <c r="O51" s="3" t="s">
        <v>42</v>
      </c>
      <c r="P51" s="18"/>
    </row>
    <row r="52" customFormat="false" ht="15" hidden="false" customHeight="false" outlineLevel="0" collapsed="false">
      <c r="A52" s="3" t="s">
        <v>92</v>
      </c>
      <c r="B52" s="3" t="s">
        <v>96</v>
      </c>
      <c r="C52" s="3" t="s">
        <v>40</v>
      </c>
      <c r="D52" s="3" t="s">
        <v>41</v>
      </c>
      <c r="E52" s="17" t="n">
        <v>2.777</v>
      </c>
      <c r="F52" s="18" t="n">
        <v>300</v>
      </c>
      <c r="G52" s="17" t="n">
        <v>3.1587</v>
      </c>
      <c r="H52" s="3" t="n">
        <f aca="false">1000-F52</f>
        <v>700</v>
      </c>
      <c r="I52" s="17" t="n">
        <v>3.6894</v>
      </c>
      <c r="J52" s="19" t="n">
        <f aca="false">IF(AND(ISNUMBER(E52),ISNUMBER(G52)),G52-E52,"")</f>
        <v>0.3817</v>
      </c>
      <c r="K52" s="19" t="n">
        <f aca="false">IF(AND(ISNUMBER(G52),ISNUMBER(I52)),I52-G52,"")</f>
        <v>0.5307</v>
      </c>
      <c r="L52" s="20" t="n">
        <f aca="false">IF(AND(ISNUMBER(J52),ISNUMBER(K52)),IF(J52&gt;0,(J52+K52)/J52,""),"")</f>
        <v>2.39035892061829</v>
      </c>
      <c r="M52" s="5"/>
      <c r="N52" s="5"/>
      <c r="O52" s="3" t="s">
        <v>42</v>
      </c>
      <c r="P52" s="18"/>
    </row>
    <row r="53" customFormat="false" ht="15" hidden="false" customHeight="false" outlineLevel="0" collapsed="false">
      <c r="A53" s="11" t="s">
        <v>97</v>
      </c>
      <c r="B53" s="11" t="s">
        <v>98</v>
      </c>
      <c r="C53" s="11" t="s">
        <v>32</v>
      </c>
      <c r="D53" s="11" t="s">
        <v>41</v>
      </c>
      <c r="E53" s="12" t="n">
        <v>2.7247</v>
      </c>
      <c r="F53" s="13" t="n">
        <v>300</v>
      </c>
      <c r="G53" s="12" t="n">
        <v>3.0216</v>
      </c>
      <c r="H53" s="11" t="n">
        <f aca="false">1000-F53</f>
        <v>700</v>
      </c>
      <c r="I53" s="12" t="n">
        <v>3.5574</v>
      </c>
      <c r="J53" s="14" t="n">
        <f aca="false">IF(AND(ISNUMBER(E53),ISNUMBER(G53)),G53-E53,"")</f>
        <v>0.2969</v>
      </c>
      <c r="K53" s="14" t="n">
        <f aca="false">IF(AND(ISNUMBER(G53),ISNUMBER(I53)),I53-G53,"")</f>
        <v>0.5358</v>
      </c>
      <c r="L53" s="15" t="n">
        <f aca="false">IF(AND(ISNUMBER(J53),ISNUMBER(K53)),IF(J53&gt;0,(J53+K53)/J53,""),"")</f>
        <v>2.80464802963961</v>
      </c>
      <c r="M53" s="21"/>
      <c r="N53" s="21"/>
      <c r="O53" s="11" t="s">
        <v>42</v>
      </c>
      <c r="P53" s="13"/>
    </row>
    <row r="54" customFormat="false" ht="15" hidden="false" customHeight="false" outlineLevel="0" collapsed="false">
      <c r="A54" s="3" t="s">
        <v>97</v>
      </c>
      <c r="B54" s="3" t="s">
        <v>99</v>
      </c>
      <c r="C54" s="3" t="s">
        <v>32</v>
      </c>
      <c r="D54" s="3" t="s">
        <v>41</v>
      </c>
      <c r="E54" s="17" t="n">
        <v>2.7406</v>
      </c>
      <c r="F54" s="18" t="n">
        <v>300</v>
      </c>
      <c r="G54" s="17" t="n">
        <v>3.0487</v>
      </c>
      <c r="H54" s="3" t="n">
        <f aca="false">1000-F54</f>
        <v>700</v>
      </c>
      <c r="I54" s="17" t="n">
        <v>3.5826</v>
      </c>
      <c r="J54" s="19" t="n">
        <f aca="false">IF(AND(ISNUMBER(E54),ISNUMBER(G54)),G54-E54,"")</f>
        <v>0.3081</v>
      </c>
      <c r="K54" s="19" t="n">
        <f aca="false">IF(AND(ISNUMBER(G54),ISNUMBER(I54)),I54-G54,"")</f>
        <v>0.5339</v>
      </c>
      <c r="L54" s="20" t="n">
        <f aca="false">IF(AND(ISNUMBER(J54),ISNUMBER(K54)),IF(J54&gt;0,(J54+K54)/J54,""),"")</f>
        <v>2.73287893541058</v>
      </c>
      <c r="M54" s="5"/>
      <c r="N54" s="5"/>
      <c r="O54" s="3" t="s">
        <v>42</v>
      </c>
      <c r="P54" s="18"/>
    </row>
    <row r="55" customFormat="false" ht="15" hidden="false" customHeight="false" outlineLevel="0" collapsed="false">
      <c r="A55" s="3" t="s">
        <v>97</v>
      </c>
      <c r="B55" s="3" t="s">
        <v>100</v>
      </c>
      <c r="C55" s="3" t="s">
        <v>40</v>
      </c>
      <c r="D55" s="3" t="s">
        <v>33</v>
      </c>
      <c r="E55" s="17" t="n">
        <v>2.7826</v>
      </c>
      <c r="F55" s="18" t="n">
        <v>300</v>
      </c>
      <c r="G55" s="17" t="n">
        <v>3.0455</v>
      </c>
      <c r="H55" s="3" t="n">
        <f aca="false">1000-F55</f>
        <v>700</v>
      </c>
      <c r="I55" s="17" t="n">
        <v>3.5336</v>
      </c>
      <c r="J55" s="19" t="n">
        <f aca="false">IF(AND(ISNUMBER(E55),ISNUMBER(G55)),G55-E55,"")</f>
        <v>0.2629</v>
      </c>
      <c r="K55" s="19" t="n">
        <f aca="false">IF(AND(ISNUMBER(G55),ISNUMBER(I55)),I55-G55,"")</f>
        <v>0.4881</v>
      </c>
      <c r="L55" s="20" t="n">
        <f aca="false">IF(AND(ISNUMBER(J55),ISNUMBER(K55)),IF(J55&gt;0,(J55+K55)/J55,""),"")</f>
        <v>2.85659946747813</v>
      </c>
      <c r="M55" s="18" t="n">
        <v>8.9498</v>
      </c>
      <c r="N55" s="18"/>
      <c r="O55" s="3" t="s">
        <v>46</v>
      </c>
      <c r="P55" s="18"/>
    </row>
    <row r="56" customFormat="false" ht="15" hidden="false" customHeight="false" outlineLevel="0" collapsed="false">
      <c r="A56" s="3" t="s">
        <v>97</v>
      </c>
      <c r="B56" s="3" t="s">
        <v>101</v>
      </c>
      <c r="C56" s="3" t="s">
        <v>40</v>
      </c>
      <c r="D56" s="3" t="s">
        <v>33</v>
      </c>
      <c r="E56" s="17" t="n">
        <v>2.7379</v>
      </c>
      <c r="F56" s="18" t="n">
        <v>300</v>
      </c>
      <c r="G56" s="17" t="n">
        <v>2.9786</v>
      </c>
      <c r="H56" s="3" t="n">
        <f aca="false">1000-F56</f>
        <v>700</v>
      </c>
      <c r="I56" s="17" t="n">
        <v>3.5152</v>
      </c>
      <c r="J56" s="19" t="n">
        <f aca="false">IF(AND(ISNUMBER(E56),ISNUMBER(G56)),G56-E56,"")</f>
        <v>0.2407</v>
      </c>
      <c r="K56" s="19" t="n">
        <f aca="false">IF(AND(ISNUMBER(G56),ISNUMBER(I56)),I56-G56,"")</f>
        <v>0.5366</v>
      </c>
      <c r="L56" s="20" t="n">
        <f aca="false">IF(AND(ISNUMBER(J56),ISNUMBER(K56)),IF(J56&gt;0,(J56+K56)/J56,""),"")</f>
        <v>3.22933111757374</v>
      </c>
      <c r="M56" s="18" t="n">
        <v>8.945</v>
      </c>
      <c r="N56" s="18" t="n">
        <v>8.9635</v>
      </c>
      <c r="O56" s="3" t="s">
        <v>46</v>
      </c>
      <c r="P56" s="18"/>
    </row>
    <row r="57" customFormat="false" ht="15" hidden="false" customHeight="false" outlineLevel="0" collapsed="false">
      <c r="A57" s="11" t="s">
        <v>102</v>
      </c>
      <c r="B57" s="11" t="s">
        <v>103</v>
      </c>
      <c r="C57" s="11" t="s">
        <v>32</v>
      </c>
      <c r="D57" s="11" t="s">
        <v>41</v>
      </c>
      <c r="E57" s="12" t="n">
        <v>2.7329</v>
      </c>
      <c r="F57" s="13" t="n">
        <v>300</v>
      </c>
      <c r="G57" s="12" t="n">
        <v>3.0289</v>
      </c>
      <c r="H57" s="11" t="n">
        <f aca="false">1000-F57</f>
        <v>700</v>
      </c>
      <c r="I57" s="12" t="n">
        <v>3.5641</v>
      </c>
      <c r="J57" s="14" t="n">
        <f aca="false">IF(AND(ISNUMBER(E57),ISNUMBER(G57)),G57-E57,"")</f>
        <v>0.296</v>
      </c>
      <c r="K57" s="14" t="n">
        <f aca="false">IF(AND(ISNUMBER(G57),ISNUMBER(I57)),I57-G57,"")</f>
        <v>0.5352</v>
      </c>
      <c r="L57" s="15" t="n">
        <f aca="false">IF(AND(ISNUMBER(J57),ISNUMBER(K57)),IF(J57&gt;0,(J57+K57)/J57,""),"")</f>
        <v>2.80810810810811</v>
      </c>
      <c r="M57" s="21"/>
      <c r="N57" s="21"/>
      <c r="O57" s="11" t="s">
        <v>42</v>
      </c>
      <c r="P57" s="13"/>
    </row>
    <row r="58" customFormat="false" ht="15" hidden="false" customHeight="false" outlineLevel="0" collapsed="false">
      <c r="A58" s="3" t="s">
        <v>102</v>
      </c>
      <c r="B58" s="3" t="s">
        <v>104</v>
      </c>
      <c r="C58" s="3" t="s">
        <v>32</v>
      </c>
      <c r="D58" s="3" t="s">
        <v>41</v>
      </c>
      <c r="E58" s="17" t="n">
        <v>2.7911</v>
      </c>
      <c r="F58" s="18" t="n">
        <v>300</v>
      </c>
      <c r="G58" s="17" t="n">
        <v>3.0889</v>
      </c>
      <c r="H58" s="3" t="n">
        <f aca="false">1000-F58</f>
        <v>700</v>
      </c>
      <c r="I58" s="17" t="n">
        <v>3.6035</v>
      </c>
      <c r="J58" s="19" t="n">
        <f aca="false">IF(AND(ISNUMBER(E58),ISNUMBER(G58)),G58-E58,"")</f>
        <v>0.2978</v>
      </c>
      <c r="K58" s="19" t="n">
        <f aca="false">IF(AND(ISNUMBER(G58),ISNUMBER(I58)),I58-G58,"")</f>
        <v>0.5146</v>
      </c>
      <c r="L58" s="20" t="n">
        <f aca="false">IF(AND(ISNUMBER(J58),ISNUMBER(K58)),IF(J58&gt;0,(J58+K58)/J58,""),"")</f>
        <v>2.72800537273338</v>
      </c>
      <c r="M58" s="5"/>
      <c r="N58" s="5"/>
      <c r="O58" s="3" t="s">
        <v>42</v>
      </c>
      <c r="P58" s="18"/>
    </row>
    <row r="59" customFormat="false" ht="15" hidden="false" customHeight="false" outlineLevel="0" collapsed="false">
      <c r="A59" s="3" t="s">
        <v>102</v>
      </c>
      <c r="B59" s="3" t="s">
        <v>105</v>
      </c>
      <c r="C59" s="3" t="s">
        <v>40</v>
      </c>
      <c r="D59" s="3" t="s">
        <v>33</v>
      </c>
      <c r="E59" s="17" t="n">
        <v>0</v>
      </c>
      <c r="F59" s="18" t="n">
        <v>300</v>
      </c>
      <c r="G59" s="17" t="n">
        <v>0</v>
      </c>
      <c r="H59" s="3" t="n">
        <f aca="false">1000-F59</f>
        <v>700</v>
      </c>
      <c r="I59" s="17" t="n">
        <v>0</v>
      </c>
      <c r="J59" s="19" t="n">
        <f aca="false">IF(AND(ISNUMBER(E59),ISNUMBER(G59)),G59-E59,"")</f>
        <v>0</v>
      </c>
      <c r="K59" s="19" t="n">
        <f aca="false">IF(AND(ISNUMBER(G59),ISNUMBER(I59)),I59-G59,"")</f>
        <v>0</v>
      </c>
      <c r="L59" s="20" t="str">
        <f aca="false">IF(AND(ISNUMBER(J59),ISNUMBER(K59)),IF(J59&gt;0,(J59+K59)/J59,""),"")</f>
        <v/>
      </c>
      <c r="M59" s="18" t="n">
        <v>9.0209</v>
      </c>
      <c r="N59" s="18" t="n">
        <v>9.1673</v>
      </c>
      <c r="O59" s="3" t="s">
        <v>46</v>
      </c>
      <c r="P59" s="18"/>
    </row>
    <row r="60" customFormat="false" ht="15" hidden="false" customHeight="false" outlineLevel="0" collapsed="false">
      <c r="A60" s="3" t="s">
        <v>102</v>
      </c>
      <c r="B60" s="3" t="s">
        <v>106</v>
      </c>
      <c r="C60" s="3" t="s">
        <v>40</v>
      </c>
      <c r="D60" s="3" t="s">
        <v>33</v>
      </c>
      <c r="E60" s="17" t="n">
        <v>0</v>
      </c>
      <c r="F60" s="18" t="n">
        <v>300</v>
      </c>
      <c r="G60" s="17" t="n">
        <v>0</v>
      </c>
      <c r="H60" s="3" t="n">
        <f aca="false">1000-F60</f>
        <v>700</v>
      </c>
      <c r="I60" s="17" t="n">
        <v>0</v>
      </c>
      <c r="J60" s="19" t="n">
        <f aca="false">IF(AND(ISNUMBER(E60),ISNUMBER(G60)),G60-E60,"")</f>
        <v>0</v>
      </c>
      <c r="K60" s="19" t="n">
        <f aca="false">IF(AND(ISNUMBER(G60),ISNUMBER(I60)),I60-G60,"")</f>
        <v>0</v>
      </c>
      <c r="L60" s="20" t="str">
        <f aca="false">IF(AND(ISNUMBER(J60),ISNUMBER(K60)),IF(J60&gt;0,(J60+K60)/J60,""),"")</f>
        <v/>
      </c>
      <c r="M60" s="18" t="n">
        <v>9.2039</v>
      </c>
      <c r="N60" s="18"/>
      <c r="O60" s="3" t="s">
        <v>46</v>
      </c>
      <c r="P60" s="18"/>
    </row>
  </sheetData>
  <sheetProtection sheet="true"/>
  <dataValidations count="2">
    <dataValidation allowBlank="false" error="A number between 0 and 100" errorStyle="stop" operator="between" showDropDown="false" showErrorMessage="true" showInputMessage="false" sqref="E9:G60 I9:I60" type="decimal">
      <formula1>0</formula1>
      <formula2>100</formula2>
    </dataValidation>
    <dataValidation allowBlank="false" error="A number between 0 and 100" errorStyle="stop" operator="between" showDropDown="false" showErrorMessage="true" showInputMessage="false" sqref="M13:N14 M19:N20 M27:N28 M41:N42 M55:N56 M59:N60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2026-09-22T20:05:40Z</dcterms:created>
  <dc:creator>openpyxl</dc:creator>
  <dc:description/>
  <dc:language>es-CL</dc:language>
  <cp:lastModifiedBy/>
  <dcterms:modified xsi:type="dcterms:W3CDTF">2026-09-22T17:19:30Z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