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6"/>
    <sheet name="Componentes" sheetId="2" state="visible" r:id="rId7"/>
    <sheet name="datos_des" sheetId="3" state="visible" r:id="rId8"/>
    <sheet name="Sheet1" sheetId="4" state="visible" r:id="rId9"/>
    <sheet name="2-phenylethanol_DES" sheetId="5" state="visible" r:id="rId10"/>
    <sheet name="Lab_DES" sheetId="6" state="visible" r:id="rId11"/>
    <sheet name="Sheet2" sheetId="7" state="visible" r:id="rId12"/>
  </sheets>
  <definedNames>
    <definedName function="false" hidden="false" name="LookupTable" vbProcedure="false">Componentes!$AA$3:$AC$11</definedName>
    <definedName function="false" hidden="false" name="MW_2m2boh" vbProcedure="false">Componentes!$AB$7</definedName>
    <definedName function="false" hidden="false" name="MW_2m3b2oh" vbProcedure="false">Componentes!$AB$6</definedName>
    <definedName function="false" hidden="false" name="MW_2octanone" vbProcedure="false">Componentes!$AB$11</definedName>
    <definedName function="false" hidden="false" name="MW_2pe" vbProcedure="false">Componentes!$AB$4</definedName>
    <definedName function="false" hidden="false" name="MW_beta" vbProcedure="false">Componentes!$AB$3</definedName>
    <definedName function="false" hidden="false" name="MW_gamma" vbProcedure="false">Componentes!$AB$5</definedName>
    <definedName function="false" hidden="false" name="MW_hexoh" vbProcedure="false">Componentes!$AB$8</definedName>
    <definedName function="false" hidden="false" name="MW_mibk" vbProcedure="false">Componentes!$AB$10</definedName>
    <definedName function="false" hidden="false" name="MW_octoh" vbProcedure="false">Componentes!$AB$9</definedName>
    <definedName function="false" hidden="false" name="purity_2m2boh" vbProcedure="false">Componentes!$AC$7</definedName>
    <definedName function="false" hidden="false" name="purity_2m3b2oh" vbProcedure="false">Componentes!$AC$6</definedName>
    <definedName function="false" hidden="false" name="purity_2octanone" vbProcedure="false">Componentes!$AC$11</definedName>
    <definedName function="false" hidden="false" name="purity_2pe" vbProcedure="false">Componentes!$AC$4</definedName>
    <definedName function="false" hidden="false" name="purity_beta" vbProcedure="false">Componentes!$AC$3</definedName>
    <definedName function="false" hidden="false" name="purity_gamma" vbProcedure="false">Componentes!$AC$5</definedName>
    <definedName function="false" hidden="false" name="purity_hexoh" vbProcedure="false">Componentes!$AC$8</definedName>
    <definedName function="false" hidden="false" name="purity_mibk" vbProcedure="false">Componentes!$AC$10</definedName>
    <definedName function="false" hidden="false" name="purity_octoh" vbProcedure="false">Componentes!$AC$9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<sst xmlns="http://schemas.openxmlformats.org/spreadsheetml/2006/main" count="893" uniqueCount="361">
  <si>
    <t xml:space="preserve">LLE Experiments Dashboard</t>
  </si>
  <si>
    <t xml:space="preserve">DES Systems</t>
  </si>
  <si>
    <t xml:space="preserve">Aroma</t>
  </si>
  <si>
    <t xml:space="preserve">Solvents</t>
  </si>
  <si>
    <t xml:space="preserve">Tie Lines</t>
  </si>
  <si>
    <t xml:space="preserve">Status</t>
  </si>
  <si>
    <t xml:space="preserve">2-phenylethanol</t>
  </si>
  <si>
    <t xml:space="preserve">9 DES</t>
  </si>
  <si>
    <t xml:space="preserve">TODO: Ratio</t>
  </si>
  <si>
    <t xml:space="preserve">Data Sources:</t>
  </si>
  <si>
    <t xml:space="preserve">• Componentes: Densities (col P), MW (col M), Purity (col I)</t>
  </si>
  <si>
    <t xml:space="preserve">IDENTIFICADOR</t>
  </si>
  <si>
    <t xml:space="preserve">INVENTARIO</t>
  </si>
  <si>
    <t xml:space="preserve">PROPIEDADES</t>
  </si>
  <si>
    <t xml:space="preserve">SEGURIDAD</t>
  </si>
  <si>
    <t xml:space="preserve">METADATA</t>
  </si>
  <si>
    <t xml:space="preserve">ID</t>
  </si>
  <si>
    <t xml:space="preserve">Chemical Name</t>
  </si>
  <si>
    <t xml:space="preserve">Common Name(s)</t>
  </si>
  <si>
    <t xml:space="preserve">CAS Number</t>
  </si>
  <si>
    <t xml:space="preserve">Formula</t>
  </si>
  <si>
    <t xml:space="preserve">Canonical SMILES</t>
  </si>
  <si>
    <t xml:space="preserve">Location</t>
  </si>
  <si>
    <t xml:space="preserve">Supplier</t>
  </si>
  <si>
    <t xml:space="preserve">Grade/Purity</t>
  </si>
  <si>
    <t xml:space="preserve">Lot Number</t>
  </si>
  <si>
    <t xml:space="preserve">Quantity</t>
  </si>
  <si>
    <t xml:space="preserve">Unit</t>
  </si>
  <si>
    <t xml:space="preserve">MW</t>
  </si>
  <si>
    <t xml:space="preserve">Tb</t>
  </si>
  <si>
    <t xml:space="preserve">Tm</t>
  </si>
  <si>
    <t xml:space="preserve">ρ (25°C)</t>
  </si>
  <si>
    <t xml:space="preserve">η (25°C)</t>
  </si>
  <si>
    <t xml:space="preserve">Pᵛᵃᵖ (25°C)</t>
  </si>
  <si>
    <t xml:space="preserve">Flash Point</t>
  </si>
  <si>
    <t xml:space="preserve">Hazard Class</t>
  </si>
  <si>
    <t xml:space="preserve">Storage</t>
  </si>
  <si>
    <t xml:space="preserve">Date Received</t>
  </si>
  <si>
    <t xml:space="preserve">Notes</t>
  </si>
  <si>
    <t xml:space="preserve">comp_id</t>
  </si>
  <si>
    <t xml:space="preserve">purity</t>
  </si>
  <si>
    <t xml:space="preserve">Internal component code</t>
  </si>
  <si>
    <t xml:space="preserve">IUPAC or standard name</t>
  </si>
  <si>
    <t xml:space="preserve">Alternative names</t>
  </si>
  <si>
    <t xml:space="preserve">CAS registry number</t>
  </si>
  <si>
    <t xml:space="preserve">Molecular formula</t>
  </si>
  <si>
    <t xml:space="preserve">For modeling/databases</t>
  </si>
  <si>
    <t xml:space="preserve">Lab position (e.g., 3.1)</t>
  </si>
  <si>
    <t xml:space="preserve">Vendor name</t>
  </si>
  <si>
    <t xml:space="preserve">(Según batch)</t>
  </si>
  <si>
    <t xml:space="preserve">Batch identifier</t>
  </si>
  <si>
    <t xml:space="preserve">Amount available</t>
  </si>
  <si>
    <t xml:space="preserve">mL, g, kg, etc.</t>
  </si>
  <si>
    <t xml:space="preserve">g/mol</t>
  </si>
  <si>
    <t xml:space="preserve">°C (1 atm)</t>
  </si>
  <si>
    <t xml:space="preserve">°C</t>
  </si>
  <si>
    <t xml:space="preserve">g/cm³</t>
  </si>
  <si>
    <t xml:space="preserve">mPa·s</t>
  </si>
  <si>
    <t xml:space="preserve">kPa</t>
  </si>
  <si>
    <t xml:space="preserve">GHS classification</t>
  </si>
  <si>
    <t xml:space="preserve">Requirements</t>
  </si>
  <si>
    <t xml:space="preserve">YYYY-MM-DD</t>
  </si>
  <si>
    <t xml:space="preserve">Active/Depleted</t>
  </si>
  <si>
    <t xml:space="preserve">Additional info</t>
  </si>
  <si>
    <t xml:space="preserve">beta</t>
  </si>
  <si>
    <t xml:space="preserve">b-ionone (trans)</t>
  </si>
  <si>
    <t xml:space="preserve">-</t>
  </si>
  <si>
    <t xml:space="preserve">14901-07-6</t>
  </si>
  <si>
    <t xml:space="preserve">C13H20O</t>
  </si>
  <si>
    <t xml:space="preserve">CC1=C(C(CCC1)(C)C)/C=C/C(=O)C</t>
  </si>
  <si>
    <t xml:space="preserve">REFRIGERADOR</t>
  </si>
  <si>
    <t xml:space="preserve">Sigma-Aldrich</t>
  </si>
  <si>
    <t xml:space="preserve">97.8% (GC)</t>
  </si>
  <si>
    <t xml:space="preserve">SHBL2869</t>
  </si>
  <si>
    <t xml:space="preserve">L</t>
  </si>
  <si>
    <t xml:space="preserve">Active</t>
  </si>
  <si>
    <t xml:space="preserve">2pe</t>
  </si>
  <si>
    <t xml:space="preserve">60-12-8</t>
  </si>
  <si>
    <t xml:space="preserve">C8H10O</t>
  </si>
  <si>
    <t xml:space="preserve">OCCc1ccccc1</t>
  </si>
  <si>
    <t xml:space="preserve">3.x</t>
  </si>
  <si>
    <t xml:space="preserve">&gt; 99.9% (GC)</t>
  </si>
  <si>
    <t xml:space="preserve">SDBB2371</t>
  </si>
  <si>
    <t xml:space="preserve">gamma</t>
  </si>
  <si>
    <t xml:space="preserve">g-decalactone</t>
  </si>
  <si>
    <t xml:space="preserve">706-14-9</t>
  </si>
  <si>
    <t xml:space="preserve">C10H18O2</t>
  </si>
  <si>
    <t xml:space="preserve">CCCCCCC1CCC(=O)O1</t>
  </si>
  <si>
    <t xml:space="preserve">98.7% (GC)</t>
  </si>
  <si>
    <t xml:space="preserve">SHBR4960</t>
  </si>
  <si>
    <t xml:space="preserve">2m3b2oh</t>
  </si>
  <si>
    <t xml:space="preserve">2-methyl-3-buten-2-ol</t>
  </si>
  <si>
    <t xml:space="preserve">2M3B2OH</t>
  </si>
  <si>
    <t xml:space="preserve">115-18-4</t>
  </si>
  <si>
    <t xml:space="preserve">C5H10O</t>
  </si>
  <si>
    <t xml:space="preserve">CC(C)(C=C)O</t>
  </si>
  <si>
    <t xml:space="preserve">Aldrich</t>
  </si>
  <si>
    <t xml:space="preserve">99.6% (GC)</t>
  </si>
  <si>
    <t xml:space="preserve">STBH5331</t>
  </si>
  <si>
    <t xml:space="preserve">2m2boh</t>
  </si>
  <si>
    <t xml:space="preserve">2-methyl-2-butanol</t>
  </si>
  <si>
    <t xml:space="preserve">tert-amyl alcohol</t>
  </si>
  <si>
    <t xml:space="preserve">75-85-4</t>
  </si>
  <si>
    <t xml:space="preserve">C5H12O</t>
  </si>
  <si>
    <t xml:space="preserve">CCC(C)(C)O</t>
  </si>
  <si>
    <t xml:space="preserve">&gt;99.9% (GC)</t>
  </si>
  <si>
    <t xml:space="preserve">SDBB4598</t>
  </si>
  <si>
    <t xml:space="preserve">hexoh</t>
  </si>
  <si>
    <t xml:space="preserve">1-hexanol</t>
  </si>
  <si>
    <t xml:space="preserve">111-27-3</t>
  </si>
  <si>
    <t xml:space="preserve">C6H18O</t>
  </si>
  <si>
    <t xml:space="preserve">CCCCCCO</t>
  </si>
  <si>
    <t xml:space="preserve">1.3.</t>
  </si>
  <si>
    <t xml:space="preserve">99.8% (GC)</t>
  </si>
  <si>
    <t xml:space="preserve">SHBC9189V</t>
  </si>
  <si>
    <t xml:space="preserve">mL</t>
  </si>
  <si>
    <t xml:space="preserve">octoh</t>
  </si>
  <si>
    <t xml:space="preserve">1-octanol</t>
  </si>
  <si>
    <t xml:space="preserve">111-87-5</t>
  </si>
  <si>
    <t xml:space="preserve">C8H18O</t>
  </si>
  <si>
    <t xml:space="preserve">CCCCCCCCO</t>
  </si>
  <si>
    <t xml:space="preserve">99.7% (GC)</t>
  </si>
  <si>
    <t xml:space="preserve">SDBB1117</t>
  </si>
  <si>
    <t xml:space="preserve">200?</t>
  </si>
  <si>
    <t xml:space="preserve">mibk</t>
  </si>
  <si>
    <t xml:space="preserve">methyl isobutyl ketone</t>
  </si>
  <si>
    <t xml:space="preserve">MIBK</t>
  </si>
  <si>
    <t xml:space="preserve">108-10-1</t>
  </si>
  <si>
    <t xml:space="preserve">C6H12O</t>
  </si>
  <si>
    <t xml:space="preserve">CC(C)CC(=O)C</t>
  </si>
  <si>
    <t xml:space="preserve">Merck Millipor</t>
  </si>
  <si>
    <t xml:space="preserve">K51239346927</t>
  </si>
  <si>
    <t xml:space="preserve">300?</t>
  </si>
  <si>
    <t xml:space="preserve">2octanone</t>
  </si>
  <si>
    <t xml:space="preserve">2-octanone</t>
  </si>
  <si>
    <t xml:space="preserve">Hexyl methyl ketone</t>
  </si>
  <si>
    <t xml:space="preserve">111-13-7</t>
  </si>
  <si>
    <t xml:space="preserve">C8H16O</t>
  </si>
  <si>
    <t xml:space="preserve">CCCCCCC(=O)C</t>
  </si>
  <si>
    <t xml:space="preserve">98.8% (GC)</t>
  </si>
  <si>
    <t xml:space="preserve">SHBQ4121</t>
  </si>
  <si>
    <t xml:space="preserve">thymol</t>
  </si>
  <si>
    <t xml:space="preserve">Thymol</t>
  </si>
  <si>
    <t xml:space="preserve">89-83-8</t>
  </si>
  <si>
    <t xml:space="preserve">C10H14O</t>
  </si>
  <si>
    <t xml:space="preserve">Cc1ccc(C(C)C)c(O)c1</t>
  </si>
  <si>
    <t xml:space="preserve">SHBQ5769</t>
  </si>
  <si>
    <t xml:space="preserve">g</t>
  </si>
  <si>
    <t xml:space="preserve">carvone</t>
  </si>
  <si>
    <t xml:space="preserve">L-Carvone</t>
  </si>
  <si>
    <t xml:space="preserve">(-)-Carvone</t>
  </si>
  <si>
    <t xml:space="preserve">6485-40-1</t>
  </si>
  <si>
    <t xml:space="preserve">C=C(C)[C@@H]1CC=C(C)C(=O)C1</t>
  </si>
  <si>
    <t xml:space="preserve">99.2% (GC)</t>
  </si>
  <si>
    <t xml:space="preserve">SHBQ8402</t>
  </si>
  <si>
    <t xml:space="preserve">kg</t>
  </si>
  <si>
    <t xml:space="preserve">camphor</t>
  </si>
  <si>
    <t xml:space="preserve">DL-Camphor</t>
  </si>
  <si>
    <t xml:space="preserve">76-22-2</t>
  </si>
  <si>
    <t xml:space="preserve">C10H16O</t>
  </si>
  <si>
    <t xml:space="preserve">CC1(C)C2CCC1(C)C(=O)C2</t>
  </si>
  <si>
    <t xml:space="preserve">96.9% (GC)</t>
  </si>
  <si>
    <t xml:space="preserve">SDBB0718</t>
  </si>
  <si>
    <t xml:space="preserve">geraniol</t>
  </si>
  <si>
    <t xml:space="preserve">Geraniol</t>
  </si>
  <si>
    <t xml:space="preserve">106-24-1</t>
  </si>
  <si>
    <t xml:space="preserve">C10H18O</t>
  </si>
  <si>
    <t xml:space="preserve">CC(C)=CCC/C(C)=C/CO</t>
  </si>
  <si>
    <t xml:space="preserve">98.9% (GC)</t>
  </si>
  <si>
    <t xml:space="preserve">SHBP7700</t>
  </si>
  <si>
    <t xml:space="preserve">carvacrol</t>
  </si>
  <si>
    <t xml:space="preserve">Carvacrol</t>
  </si>
  <si>
    <t xml:space="preserve">499-75-2</t>
  </si>
  <si>
    <t xml:space="preserve">Cc1ccc(C(C)C)cc1O</t>
  </si>
  <si>
    <t xml:space="preserve">SHBQ9085</t>
  </si>
  <si>
    <t xml:space="preserve">400?</t>
  </si>
  <si>
    <t xml:space="preserve">eugenol</t>
  </si>
  <si>
    <t xml:space="preserve">Eugenol</t>
  </si>
  <si>
    <t xml:space="preserve">97-53-0</t>
  </si>
  <si>
    <t xml:space="preserve">C10H12O2</t>
  </si>
  <si>
    <t xml:space="preserve">C=CCc1ccc(O)c(OC)c1</t>
  </si>
  <si>
    <t xml:space="preserve">SHBM4053</t>
  </si>
  <si>
    <t xml:space="preserve">500?</t>
  </si>
  <si>
    <t xml:space="preserve">h2o</t>
  </si>
  <si>
    <t xml:space="preserve">Water</t>
  </si>
  <si>
    <t xml:space="preserve">HPLC</t>
  </si>
  <si>
    <t xml:space="preserve">Aroma (soluto)</t>
  </si>
  <si>
    <t xml:space="preserve">Solventes</t>
  </si>
  <si>
    <t xml:space="preserve">DESs</t>
  </si>
  <si>
    <t xml:space="preserve">Agua (diluyente)</t>
  </si>
  <si>
    <t xml:space="preserve">LLE con agua</t>
  </si>
  <si>
    <t xml:space="preserve">ThyCar</t>
  </si>
  <si>
    <t xml:space="preserve">ThyGer</t>
  </si>
  <si>
    <t xml:space="preserve">ThyCarvon</t>
  </si>
  <si>
    <t xml:space="preserve">ThyEug</t>
  </si>
  <si>
    <t xml:space="preserve">CamCar</t>
  </si>
  <si>
    <t xml:space="preserve">CamGer</t>
  </si>
  <si>
    <t xml:space="preserve">CamCarvac</t>
  </si>
  <si>
    <t xml:space="preserve">CamEug</t>
  </si>
  <si>
    <t xml:space="preserve">b-ionona</t>
  </si>
  <si>
    <t xml:space="preserve">HBA</t>
  </si>
  <si>
    <t xml:space="preserve">HBD</t>
  </si>
  <si>
    <t xml:space="preserve">Carvone</t>
  </si>
  <si>
    <t xml:space="preserve">Camphor</t>
  </si>
  <si>
    <t xml:space="preserve">VLE</t>
  </si>
  <si>
    <t xml:space="preserve">Falta fleck</t>
  </si>
  <si>
    <t xml:space="preserve">PREPARACIÓN DES 10.00 g (1:1 molar)</t>
  </si>
  <si>
    <t xml:space="preserve">m_total:</t>
  </si>
  <si>
    <t xml:space="preserve">DES</t>
  </si>
  <si>
    <t xml:space="preserve">MW_HBA</t>
  </si>
  <si>
    <t xml:space="preserve">Pureza_HBA</t>
  </si>
  <si>
    <t xml:space="preserve">m_HBA target (g)</t>
  </si>
  <si>
    <t xml:space="preserve">m_HBA exp (g)</t>
  </si>
  <si>
    <t xml:space="preserve">MW_HBD</t>
  </si>
  <si>
    <t xml:space="preserve">Pureza_HBD</t>
  </si>
  <si>
    <t xml:space="preserve">m_HBD target (g)</t>
  </si>
  <si>
    <t xml:space="preserve">m_HBD exp (g)</t>
  </si>
  <si>
    <t xml:space="preserve">n_HBA/n_HBD</t>
  </si>
  <si>
    <t xml:space="preserve">ThyCarvac</t>
  </si>
  <si>
    <t xml:space="preserve">ThyCam</t>
  </si>
  <si>
    <t xml:space="preserve">NO SE FORMA</t>
  </si>
  <si>
    <t xml:space="preserve">Amarillo: ingreso experimental</t>
  </si>
  <si>
    <t xml:space="preserve">Verde: calculado desde Componentes</t>
  </si>
  <si>
    <t xml:space="preserve">PREPARACIÓN DES 5.00 g (1:1 molar)</t>
  </si>
  <si>
    <t xml:space="preserve">LLE Ternario: 2-phenylethanol + DES + Water</t>
  </si>
  <si>
    <t xml:space="preserve">Target mass (g):</t>
  </si>
  <si>
    <t xml:space="preserve">← change here to rescale all masses</t>
  </si>
  <si>
    <t xml:space="preserve">Yellow = paste z (mass fracs) from software  |  Green = auto-calculated</t>
  </si>
  <si>
    <t xml:space="preserve">#</t>
  </si>
  <si>
    <t xml:space="preserve">Ratio</t>
  </si>
  <si>
    <t xml:space="preserve">TL#</t>
  </si>
  <si>
    <t xml:space="preserve">z_aroma</t>
  </si>
  <si>
    <t xml:space="preserve">z_DES</t>
  </si>
  <si>
    <t xml:space="preserve">z_water</t>
  </si>
  <si>
    <t xml:space="preserve">Σz (check)</t>
  </si>
  <si>
    <t xml:space="preserve">m_aroma (g)</t>
  </si>
  <si>
    <t xml:space="preserve">m_DES (g)</t>
  </si>
  <si>
    <t xml:space="preserve">m_water (g)</t>
  </si>
  <si>
    <t xml:space="preserve">m_total (g)</t>
  </si>
  <si>
    <t xml:space="preserve">1:1</t>
  </si>
  <si>
    <t xml:space="preserve">Legend:</t>
  </si>
  <si>
    <t xml:space="preserve">Paste z from software</t>
  </si>
  <si>
    <t xml:space="preserve">Auto-calculated</t>
  </si>
  <si>
    <t xml:space="preserve">2-phenylethanol + DES + Water</t>
  </si>
  <si>
    <t xml:space="preserve">ρ_aroma (g/mL):</t>
  </si>
  <si>
    <t xml:space="preserve">ρ_water (g/mL):</t>
  </si>
  <si>
    <t xml:space="preserve">Guía</t>
  </si>
  <si>
    <t xml:space="preserve">Anotar</t>
  </si>
  <si>
    <t xml:space="preserve">Record on balance</t>
  </si>
  <si>
    <t xml:space="preserve">ρ_DES est
(g/mL)</t>
  </si>
  <si>
    <t xml:space="preserve">V_agua
est (mL)</t>
  </si>
  <si>
    <t xml:space="preserve">V_aroma
est (mL)</t>
  </si>
  <si>
    <t xml:space="preserve">V_DES
est (mL)</t>
  </si>
  <si>
    <t xml:space="preserve">W_tubo
(g)</t>
  </si>
  <si>
    <t xml:space="preserve">W + agua
(g)</t>
  </si>
  <si>
    <t xml:space="preserve">W + aroma
(g)</t>
  </si>
  <si>
    <t xml:space="preserve">W + DES
(g)</t>
  </si>
  <si>
    <t xml:space="preserve">m_water
(g)</t>
  </si>
  <si>
    <t xml:space="preserve">m_aroma
(g)</t>
  </si>
  <si>
    <t xml:space="preserve">m_DES
(g)</t>
  </si>
  <si>
    <t xml:space="preserve">m_total
(g)</t>
  </si>
  <si>
    <t xml:space="preserve">w_water</t>
  </si>
  <si>
    <t xml:space="preserve">w_aroma</t>
  </si>
  <si>
    <t xml:space="preserve">w_DES</t>
  </si>
  <si>
    <t xml:space="preserve">Notas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</si>
  <si>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</si>
  <si>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</si>
  <si>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</si>
  <si>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</si>
  <si>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</si>
  <si>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</si>
  <si>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</si>
  <si>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</si>
  <si>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</si>
  <si>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</si>
  <si>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</si>
  <si>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</si>
  <si>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</si>
  <si>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</si>
  <si>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</si>
  <si>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</si>
  <si>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</si>
  <si>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</si>
  <si>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</si>
  <si>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</si>
  <si>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</si>
  <si>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</si>
  <si>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</si>
  <si>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</si>
  <si>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</si>
  <si>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</si>
  <si>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</si>
  <si>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</si>
  <si>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</si>
  <si>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</si>
  <si>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</si>
  <si>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</si>
  <si>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</si>
  <si>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</si>
  <si>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</si>
  <si>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</si>
  <si>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</si>
  <si>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</si>
  <si>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</si>
  <si>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</si>
  <si>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BIN1</t>
  </si>
  <si>
    <t xml:space="preserve">BIN2</t>
  </si>
  <si>
    <t xml:space="preserve">ThyGe</t>
  </si>
  <si>
    <t xml:space="preserve">BIN3</t>
  </si>
  <si>
    <t xml:space="preserve">BIN4</t>
  </si>
  <si>
    <t xml:space="preserve">BIN5</t>
  </si>
  <si>
    <t xml:space="preserve">BIN6</t>
  </si>
  <si>
    <t xml:space="preserve">BIN7</t>
  </si>
  <si>
    <t xml:space="preserve">BIN8</t>
  </si>
  <si>
    <t xml:space="preserve">BINARIOS TERPENOS CON AGUA</t>
  </si>
  <si>
    <t xml:space="preserve">V_sample:</t>
  </si>
  <si>
    <t xml:space="preserve">µL</t>
  </si>
  <si>
    <t xml:space="preserve">+700 µL IPA</t>
  </si>
  <si>
    <t xml:space="preserve">solo pesar viales GC!!</t>
  </si>
  <si>
    <t xml:space="preserve">System</t>
  </si>
  <si>
    <t xml:space="preserve">Phase</t>
  </si>
  <si>
    <t xml:space="preserve">Rep</t>
  </si>
  <si>
    <t xml:space="preserve">GC Vial ID</t>
  </si>
  <si>
    <t xml:space="preserve">W_vial
(g)</t>
  </si>
  <si>
    <t xml:space="preserve">W + muestra
(g)</t>
  </si>
  <si>
    <t xml:space="preserve">W +solvente (IPA)
(g)</t>
  </si>
  <si>
    <t xml:space="preserve">KF w_water
(%)</t>
  </si>
  <si>
    <t xml:space="preserve">Top</t>
  </si>
  <si>
    <t xml:space="preserve">BIN1-T1</t>
  </si>
  <si>
    <t xml:space="preserve">BIN1-T2</t>
  </si>
  <si>
    <t xml:space="preserve">Bot</t>
  </si>
  <si>
    <t xml:space="preserve">BIN1-B1</t>
  </si>
  <si>
    <t xml:space="preserve">BIN1-B2</t>
  </si>
  <si>
    <t xml:space="preserve">BIN2-T1</t>
  </si>
  <si>
    <t xml:space="preserve">BIN2-T2</t>
  </si>
  <si>
    <t xml:space="preserve">BIN2-B1</t>
  </si>
  <si>
    <t xml:space="preserve">BIN2-B2</t>
  </si>
  <si>
    <t xml:space="preserve">BIN3-T1</t>
  </si>
  <si>
    <t xml:space="preserve">BIN3-T2</t>
  </si>
  <si>
    <t xml:space="preserve">BIN3-B1</t>
  </si>
  <si>
    <t xml:space="preserve">BIN3-B2</t>
  </si>
  <si>
    <t xml:space="preserve">BIN4-T1</t>
  </si>
  <si>
    <t xml:space="preserve">BIN4-T2</t>
  </si>
  <si>
    <t xml:space="preserve">BIN4-B1</t>
  </si>
  <si>
    <t xml:space="preserve">BIN4-B2</t>
  </si>
  <si>
    <t xml:space="preserve">BIN5-T1</t>
  </si>
  <si>
    <t xml:space="preserve">BIN5-T2</t>
  </si>
  <si>
    <t xml:space="preserve">BIN5-B1</t>
  </si>
  <si>
    <t xml:space="preserve">BIN5-B2</t>
  </si>
  <si>
    <t xml:space="preserve">BIN6-T1</t>
  </si>
  <si>
    <t xml:space="preserve">BIN6-T2</t>
  </si>
  <si>
    <t xml:space="preserve">BIN6-B1</t>
  </si>
  <si>
    <t xml:space="preserve">BIN6-B2</t>
  </si>
  <si>
    <t xml:space="preserve">BIN7-T1</t>
  </si>
  <si>
    <t xml:space="preserve">BIN7-T2</t>
  </si>
  <si>
    <t xml:space="preserve">BIN7-B1</t>
  </si>
  <si>
    <t xml:space="preserve">BIN7-B2</t>
  </si>
  <si>
    <t xml:space="preserve">BIN8-T1</t>
  </si>
  <si>
    <t xml:space="preserve">BIN8-T2</t>
  </si>
  <si>
    <t xml:space="preserve">BIN8-B1</t>
  </si>
  <si>
    <t xml:space="preserve">BIN8-B2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</si>
</sst>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\ %"/>
    <numFmt numFmtId="167" formatCode="0\ %"/>
    <numFmt numFmtId="168" formatCode="hh\:mm"/>
    <numFmt numFmtId="169" formatCode="0.00"/>
    <numFmt numFmtId="170" formatCode="0.0000"/>
    <numFmt numFmtId="171" formatCode="0.0"/>
    <numFmt numFmtId="172" formatCode="0.00000"/>
  </numFmts>
  <fonts count="43">
    <font>
      <sz val="11"/>
      <color rgb="FF000000"/>
      <name val="Aptos Narrow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2"/>
      <family val="0"/>
      <charset val="1"/>
    </font>
    <font>
      <b val="true"/>
      <sz val="11"/>
      <color rgb="FF000000"/>
      <name val="Aptos Narrow2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808080"/>
      <name val="Aptos Narrow2"/>
      <family val="0"/>
      <charset val="1"/>
    </font>
    <font>
      <b val="true"/>
      <sz val="24"/>
      <color rgb="FF000000"/>
      <name val="Aptos Narrow2"/>
      <family val="0"/>
      <charset val="1"/>
    </font>
    <font>
      <u val="single"/>
      <sz val="11"/>
      <color rgb="FF0000EE"/>
      <name val="Aptos Narrow2"/>
      <family val="0"/>
      <charset val="1"/>
    </font>
    <font>
      <b val="true"/>
      <i val="true"/>
      <u val="single"/>
      <sz val="11"/>
      <color rgb="FF000000"/>
      <name val="Aptos Narrow2"/>
      <family val="0"/>
      <charset val="1"/>
    </font>
    <font>
      <sz val="11"/>
      <color rgb="FF000000"/>
      <name val="Calibri"/>
      <family val="0"/>
      <charset val="1"/>
    </font>
    <font>
      <sz val="11"/>
      <color rgb="FFCC0000"/>
      <name val="Aptos Narrow2"/>
      <family val="0"/>
      <charset val="1"/>
    </font>
    <font>
      <b val="true"/>
      <sz val="1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7"/>
      <color rgb="FF000000"/>
      <name val="Cambria"/>
      <family val="0"/>
      <charset val="1"/>
    </font>
    <font>
      <sz val="11"/>
      <color rgb="FF000000"/>
      <name val="Aptos Narrow1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1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Aptos Narrow"/>
      <family val="0"/>
      <charset val="1"/>
    </font>
    <font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color rgb="FF000000"/>
      <name val="Aptos Narrow2"/>
      <family val="0"/>
      <charset val="1"/>
    </font>
    <font>
      <b val="true"/>
      <sz val="13.5"/>
      <color rgb="FF1F4E79"/>
      <name val="Arial"/>
      <family val="0"/>
      <charset val="1"/>
    </font>
    <font>
      <sz val="10"/>
      <color rgb="FF000000"/>
      <name val="Aptos Narrow2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.5"/>
      <color rgb="FFC0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Consolas"/>
      <family val="0"/>
      <charset val="1"/>
    </font>
    <font>
      <b val="true"/>
      <sz val="10"/>
      <color rgb="FF833C0B"/>
      <name val="Arial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66"/>
      </patternFill>
    </fill>
    <fill>
      <patternFill patternType="solid">
        <fgColor rgb="FFDDDDDD"/>
        <bgColor rgb="FFD9D9D9"/>
      </patternFill>
    </fill>
    <fill>
      <patternFill patternType="solid">
        <fgColor rgb="FFCC0000"/>
        <bgColor rgb="FFC00000"/>
      </patternFill>
    </fill>
    <fill>
      <patternFill patternType="solid">
        <fgColor rgb="FFD9E1F2"/>
        <bgColor rgb="FFD6E4F0"/>
      </patternFill>
    </fill>
    <fill>
      <patternFill patternType="solid">
        <fgColor rgb="FFFFEB9C"/>
        <bgColor rgb="FFFFF2CC"/>
      </patternFill>
    </fill>
    <fill>
      <patternFill patternType="solid">
        <fgColor rgb="FFFFD966"/>
        <bgColor rgb="FFFFEB9C"/>
      </patternFill>
    </fill>
    <fill>
      <patternFill patternType="solid">
        <fgColor rgb="FFC5E0B4"/>
        <bgColor rgb="FFD1D1D1"/>
      </patternFill>
    </fill>
    <fill>
      <patternFill patternType="solid">
        <fgColor rgb="FFB4C7E7"/>
        <bgColor rgb="FFBDD7EE"/>
      </patternFill>
    </fill>
    <fill>
      <patternFill patternType="solid">
        <fgColor rgb="FFF4B084"/>
        <bgColor rgb="FFFFD966"/>
      </patternFill>
    </fill>
    <fill>
      <patternFill patternType="solid">
        <fgColor rgb="FFD9D9D9"/>
        <bgColor rgb="FFDDDDDD"/>
      </patternFill>
    </fill>
    <fill>
      <patternFill patternType="solid">
        <fgColor rgb="FF2F5496"/>
        <bgColor rgb="FF1F4E79"/>
      </patternFill>
    </fill>
    <fill>
      <patternFill patternType="solid">
        <fgColor rgb="FFF2CFEE"/>
        <bgColor rgb="FFE4DFEC"/>
      </patternFill>
    </fill>
    <fill>
      <patternFill patternType="solid">
        <fgColor rgb="FFC1E5F5"/>
        <bgColor rgb="FFBDD7EE"/>
      </patternFill>
    </fill>
    <fill>
      <patternFill patternType="solid">
        <fgColor theme="8" tint="0.5997"/>
        <bgColor rgb="FFC1E5F5"/>
      </patternFill>
    </fill>
    <fill>
      <patternFill patternType="solid">
        <fgColor rgb="FFD9F2D0"/>
        <bgColor rgb="FFE2EFDA"/>
      </patternFill>
    </fill>
    <fill>
      <patternFill patternType="solid">
        <fgColor rgb="FFD1D1D1"/>
        <bgColor rgb="FFD9D9D9"/>
      </patternFill>
    </fill>
    <fill>
      <patternFill patternType="solid">
        <fgColor rgb="FFDDEBF7"/>
        <bgColor rgb="FFDCE6F1"/>
      </patternFill>
    </fill>
    <fill>
      <patternFill patternType="solid">
        <fgColor rgb="FFE2EFDA"/>
        <bgColor rgb="FFD9F2D0"/>
      </patternFill>
    </fill>
    <fill>
      <patternFill patternType="solid">
        <fgColor rgb="FFFFFFCC"/>
        <bgColor rgb="FFFFF2CC"/>
      </patternFill>
    </fill>
    <fill>
      <patternFill patternType="solid">
        <fgColor rgb="FF92D050"/>
        <bgColor rgb="FFC5E0B4"/>
      </patternFill>
    </fill>
    <fill>
      <patternFill patternType="solid">
        <fgColor rgb="FFFF0000"/>
        <bgColor rgb="FFCC0000"/>
      </patternFill>
    </fill>
    <fill>
      <patternFill patternType="solid">
        <fgColor rgb="FFDCE6F1"/>
        <bgColor rgb="FFD6E4F0"/>
      </patternFill>
    </fill>
    <fill>
      <patternFill patternType="solid">
        <fgColor rgb="FFFFF2CC"/>
        <bgColor rgb="FFFFFFCC"/>
      </patternFill>
    </fill>
    <fill>
      <patternFill patternType="solid">
        <fgColor rgb="FFFCE4D6"/>
        <bgColor rgb="FFF8E4D0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F0EBF5"/>
      </patternFill>
    </fill>
    <fill>
      <patternFill patternType="solid">
        <fgColor rgb="FFE4DFEC"/>
        <bgColor rgb="FFDDDDDD"/>
      </patternFill>
    </fill>
    <fill>
      <patternFill patternType="solid">
        <fgColor rgb="FFF0EBF5"/>
        <bgColor rgb="FFF2F2F2"/>
      </patternFill>
    </fill>
    <fill>
      <patternFill patternType="solid">
        <fgColor rgb="FFF8E4D0"/>
        <bgColor rgb="FFFCE4D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ck"/>
      <diagonal/>
    </border>
    <border diagonalUp="false" diagonalDown="false">
      <left style="thin">
        <color rgb="FFBFBFBF"/>
      </left>
      <right style="thin">
        <color rgb="FFBFBFBF"/>
      </right>
      <top style="thick"/>
      <bottom style="thin">
        <color rgb="FFBFBFBF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1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1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1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7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1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1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9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2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2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2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2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2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2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2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2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2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2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2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2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2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2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2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2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0" fillId="2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2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2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1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2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7" fillId="2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2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2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3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31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31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1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CE6F1"/>
      <rgbColor rgb="FFC00000"/>
      <rgbColor rgb="FF008000"/>
      <rgbColor rgb="FF000080"/>
      <rgbColor rgb="FFD9E1F2"/>
      <rgbColor rgb="FF800080"/>
      <rgbColor rgb="FF008080"/>
      <rgbColor rgb="FFBFBFBF"/>
      <rgbColor rgb="FF808080"/>
      <rgbColor rgb="FFD9D9D9"/>
      <rgbColor rgb="FF993366"/>
      <rgbColor rgb="FFFFFFCC"/>
      <rgbColor rgb="FFDDEBF7"/>
      <rgbColor rgb="FF660066"/>
      <rgbColor rgb="FFF2CFEE"/>
      <rgbColor rgb="FF0066CC"/>
      <rgbColor rgb="FFBDD7EE"/>
      <rgbColor rgb="FF000080"/>
      <rgbColor rgb="FFFF00FF"/>
      <rgbColor rgb="FFFFF2CC"/>
      <rgbColor rgb="FFE2EFDA"/>
      <rgbColor rgb="FF800080"/>
      <rgbColor rgb="FFCC0000"/>
      <rgbColor rgb="FF008080"/>
      <rgbColor rgb="FF0000EE"/>
      <rgbColor rgb="FFE4DFEC"/>
      <rgbColor rgb="FFC1E5F5"/>
      <rgbColor rgb="FFD9F2D0"/>
      <rgbColor rgb="FFFFEB9C"/>
      <rgbColor rgb="FFB4C7E7"/>
      <rgbColor rgb="FFF4B084"/>
      <rgbColor rgb="FFD1D1D1"/>
      <rgbColor rgb="FFFFD966"/>
      <rgbColor rgb="FFF0EBF5"/>
      <rgbColor rgb="FFD6E4F0"/>
      <rgbColor rgb="FF92D050"/>
      <rgbColor rgb="FFFFC000"/>
      <rgbColor rgb="FFF8E4D0"/>
      <rgbColor rgb="FFFCE4D6"/>
      <rgbColor rgb="FF666666"/>
      <rgbColor rgb="FFC5E0B4"/>
      <rgbColor rgb="FF1F4E79"/>
      <rgbColor rgb="FFDDDDDD"/>
      <rgbColor rgb="FF003300"/>
      <rgbColor rgb="FF333300"/>
      <rgbColor rgb="FF833C0B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customXml" Target="../customXml/item2.xml"/><Relationship Id="rId3" Type="http://schemas.openxmlformats.org/officeDocument/2006/relationships/customXml" Target="../customXml/item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14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4" min="3" style="0" width="15"/>
  </cols>
  <sheetData>
    <row r="1" customFormat="false" ht="19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true" outlineLevel="0" collapsed="false">
      <c r="A3" s="2"/>
    </row>
    <row r="4" customFormat="false" ht="15" hidden="false" customHeight="true" outlineLevel="0" collapsed="false">
      <c r="A4" s="2" t="s">
        <v>1</v>
      </c>
    </row>
    <row r="5" customFormat="false" ht="1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15" hidden="false" customHeight="true" outlineLevel="0" collapsed="false">
      <c r="D6" s="4"/>
    </row>
    <row r="7" customFormat="false" ht="15" hidden="false" customHeight="true" outlineLevel="0" collapsed="false">
      <c r="A7" s="0" t="s">
        <v>6</v>
      </c>
      <c r="B7" s="0" t="s">
        <v>7</v>
      </c>
      <c r="C7" s="0" t="n">
        <v>45</v>
      </c>
      <c r="D7" s="4" t="s">
        <v>8</v>
      </c>
    </row>
    <row r="8" customFormat="false" ht="15" hidden="false" customHeight="true" outlineLevel="0" collapsed="false">
      <c r="D8" s="4"/>
    </row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>
      <c r="A11" s="5" t="s">
        <v>9</v>
      </c>
    </row>
    <row r="12" customFormat="false" ht="15" hidden="false" customHeight="true" outlineLevel="0" collapsed="false">
      <c r="A12" s="0" t="s">
        <v>10</v>
      </c>
    </row>
    <row r="13" customFormat="false" ht="1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0" width="17.25"/>
    <col collapsed="false" customWidth="true" hidden="false" outlineLevel="0" max="2" min="2" style="0" width="19"/>
    <col collapsed="false" customWidth="true" hidden="false" outlineLevel="0" max="3" min="3" style="0" width="17.38"/>
    <col collapsed="false" customWidth="true" hidden="false" outlineLevel="0" max="4" min="4" style="0" width="14.38"/>
    <col collapsed="false" customWidth="true" hidden="false" outlineLevel="0" max="5" min="5" style="0" width="12.88"/>
    <col collapsed="false" customWidth="true" hidden="false" outlineLevel="0" max="6" min="6" style="0" width="30"/>
    <col collapsed="false" customWidth="true" hidden="false" outlineLevel="0" max="7" min="7" style="0" width="15.25"/>
    <col collapsed="false" customWidth="true" hidden="false" outlineLevel="0" max="8" min="8" style="0" width="13.13"/>
    <col collapsed="false" customWidth="true" hidden="false" outlineLevel="0" max="9" min="9" style="0" width="13.5"/>
    <col collapsed="false" customWidth="true" hidden="false" outlineLevel="0" max="10" min="10" style="0" width="11.88"/>
    <col collapsed="false" customWidth="true" hidden="false" outlineLevel="0" max="11" min="11" style="0" width="12.25"/>
    <col collapsed="false" customWidth="true" hidden="false" outlineLevel="0" max="12" min="12" style="0" width="9"/>
    <col collapsed="false" customWidth="true" hidden="false" outlineLevel="0" max="13" min="13" style="0" width="14.25"/>
    <col collapsed="false" customWidth="true" hidden="false" outlineLevel="0" max="14" min="14" style="0" width="7.63"/>
    <col collapsed="false" customWidth="true" hidden="false" outlineLevel="0" max="15" min="15" style="0" width="7"/>
    <col collapsed="false" customWidth="true" hidden="false" outlineLevel="0" max="16" min="16" style="0" width="8.75"/>
    <col collapsed="false" customWidth="true" hidden="false" outlineLevel="0" max="18" min="18" style="0" width="11"/>
    <col collapsed="false" customWidth="true" hidden="false" outlineLevel="0" max="19" min="19" style="0" width="11.88"/>
    <col collapsed="false" customWidth="true" hidden="false" outlineLevel="0" max="20" min="20" style="0" width="12.63"/>
    <col collapsed="false" customWidth="true" hidden="false" outlineLevel="0" max="21" min="21" style="0" width="9.88"/>
    <col collapsed="false" customWidth="true" hidden="false" outlineLevel="0" max="22" min="22" style="0" width="14"/>
    <col collapsed="false" customWidth="true" hidden="false" outlineLevel="0" max="23" min="23" style="0" width="11.38"/>
    <col collapsed="false" customWidth="true" hidden="false" outlineLevel="0" max="24" min="24" style="0" width="10.63"/>
    <col collapsed="false" customWidth="true" hidden="false" outlineLevel="0" max="25" min="25" style="0" width="9"/>
  </cols>
  <sheetData>
    <row r="1" customFormat="false" ht="15" hidden="false" customHeight="true" outlineLevel="0" collapsed="false">
      <c r="A1" s="6" t="s">
        <v>11</v>
      </c>
      <c r="B1" s="7"/>
      <c r="C1" s="7"/>
      <c r="D1" s="7"/>
      <c r="E1" s="7"/>
      <c r="F1" s="8"/>
      <c r="G1" s="9" t="s">
        <v>12</v>
      </c>
      <c r="H1" s="10"/>
      <c r="I1" s="10"/>
      <c r="J1" s="10"/>
      <c r="K1" s="10"/>
      <c r="L1" s="11"/>
      <c r="M1" s="12" t="s">
        <v>13</v>
      </c>
      <c r="N1" s="13"/>
      <c r="O1" s="13"/>
      <c r="P1" s="13"/>
      <c r="Q1" s="13"/>
      <c r="R1" s="14"/>
      <c r="S1" s="15" t="s">
        <v>14</v>
      </c>
      <c r="T1" s="16"/>
      <c r="U1" s="17"/>
      <c r="V1" s="18" t="s">
        <v>15</v>
      </c>
      <c r="W1" s="19"/>
      <c r="X1" s="20"/>
    </row>
    <row r="2" customFormat="false" ht="14.25" hidden="false" customHeight="true" outlineLevel="0" collapsed="false">
      <c r="A2" s="21" t="s">
        <v>16</v>
      </c>
      <c r="B2" s="21" t="s">
        <v>17</v>
      </c>
      <c r="C2" s="21" t="s">
        <v>18</v>
      </c>
      <c r="D2" s="21" t="s">
        <v>19</v>
      </c>
      <c r="E2" s="21" t="s">
        <v>20</v>
      </c>
      <c r="F2" s="21" t="s">
        <v>21</v>
      </c>
      <c r="G2" s="21" t="s">
        <v>22</v>
      </c>
      <c r="H2" s="21" t="s">
        <v>23</v>
      </c>
      <c r="I2" s="21" t="s">
        <v>24</v>
      </c>
      <c r="J2" s="21" t="s">
        <v>25</v>
      </c>
      <c r="K2" s="21" t="s">
        <v>26</v>
      </c>
      <c r="L2" s="21" t="s">
        <v>27</v>
      </c>
      <c r="M2" s="21" t="s">
        <v>28</v>
      </c>
      <c r="N2" s="21" t="s">
        <v>29</v>
      </c>
      <c r="O2" s="21" t="s">
        <v>30</v>
      </c>
      <c r="P2" s="21" t="s">
        <v>31</v>
      </c>
      <c r="Q2" s="21" t="s">
        <v>32</v>
      </c>
      <c r="R2" s="21" t="s">
        <v>33</v>
      </c>
      <c r="S2" s="21" t="s">
        <v>34</v>
      </c>
      <c r="T2" s="21" t="s">
        <v>35</v>
      </c>
      <c r="U2" s="21" t="s">
        <v>36</v>
      </c>
      <c r="V2" s="21" t="s">
        <v>37</v>
      </c>
      <c r="W2" s="21" t="s">
        <v>5</v>
      </c>
      <c r="X2" s="21" t="s">
        <v>38</v>
      </c>
      <c r="AA2" s="22" t="s">
        <v>39</v>
      </c>
      <c r="AB2" s="22" t="s">
        <v>28</v>
      </c>
      <c r="AC2" s="22" t="s">
        <v>40</v>
      </c>
    </row>
    <row r="3" customFormat="false" ht="14.25" hidden="false" customHeight="true" outlineLevel="0" collapsed="false">
      <c r="A3" s="23" t="s">
        <v>41</v>
      </c>
      <c r="B3" s="23" t="s">
        <v>42</v>
      </c>
      <c r="C3" s="23" t="s">
        <v>43</v>
      </c>
      <c r="D3" s="23" t="s">
        <v>44</v>
      </c>
      <c r="E3" s="23" t="s">
        <v>45</v>
      </c>
      <c r="F3" s="23" t="s">
        <v>46</v>
      </c>
      <c r="G3" s="23" t="s">
        <v>47</v>
      </c>
      <c r="H3" s="23" t="s">
        <v>48</v>
      </c>
      <c r="I3" s="23" t="s">
        <v>49</v>
      </c>
      <c r="J3" s="23" t="s">
        <v>50</v>
      </c>
      <c r="K3" s="23" t="s">
        <v>51</v>
      </c>
      <c r="L3" s="23" t="s">
        <v>52</v>
      </c>
      <c r="M3" s="23" t="s">
        <v>53</v>
      </c>
      <c r="N3" s="23" t="s">
        <v>54</v>
      </c>
      <c r="O3" s="23" t="s">
        <v>55</v>
      </c>
      <c r="P3" s="23" t="s">
        <v>56</v>
      </c>
      <c r="Q3" s="23" t="s">
        <v>57</v>
      </c>
      <c r="R3" s="23" t="s">
        <v>58</v>
      </c>
      <c r="S3" s="23" t="s">
        <v>55</v>
      </c>
      <c r="T3" s="23" t="s">
        <v>59</v>
      </c>
      <c r="U3" s="23" t="s">
        <v>60</v>
      </c>
      <c r="V3" s="23" t="s">
        <v>61</v>
      </c>
      <c r="W3" s="23" t="s">
        <v>62</v>
      </c>
      <c r="X3" s="23" t="s">
        <v>63</v>
      </c>
      <c r="AA3" s="0" t="s">
        <v>64</v>
      </c>
      <c r="AB3" s="0" t="n">
        <v>192.3</v>
      </c>
      <c r="AC3" s="0" t="n">
        <v>0.978</v>
      </c>
    </row>
    <row r="4" customFormat="false" ht="14.25" hidden="false" customHeight="true" outlineLevel="0" collapsed="false">
      <c r="A4" s="24" t="s">
        <v>64</v>
      </c>
      <c r="B4" s="24" t="s">
        <v>65</v>
      </c>
      <c r="C4" s="25" t="s">
        <v>66</v>
      </c>
      <c r="D4" s="24" t="s">
        <v>67</v>
      </c>
      <c r="E4" s="26" t="s">
        <v>68</v>
      </c>
      <c r="F4" s="24" t="s">
        <v>69</v>
      </c>
      <c r="G4" s="27" t="s">
        <v>70</v>
      </c>
      <c r="H4" s="24" t="s">
        <v>71</v>
      </c>
      <c r="I4" s="24" t="s">
        <v>72</v>
      </c>
      <c r="J4" s="24" t="s">
        <v>73</v>
      </c>
      <c r="K4" s="24" t="n">
        <v>1</v>
      </c>
      <c r="L4" s="24" t="s">
        <v>74</v>
      </c>
      <c r="M4" s="24" t="n">
        <v>192.3</v>
      </c>
      <c r="N4" s="24" t="n">
        <v>266</v>
      </c>
      <c r="O4" s="25" t="s">
        <v>66</v>
      </c>
      <c r="P4" s="28" t="n">
        <v>0.94498</v>
      </c>
      <c r="Q4" s="29"/>
      <c r="R4" s="30" t="s">
        <v>66</v>
      </c>
      <c r="S4" s="30" t="s">
        <v>66</v>
      </c>
      <c r="T4" s="30" t="s">
        <v>66</v>
      </c>
      <c r="U4" s="30" t="s">
        <v>66</v>
      </c>
      <c r="V4" s="30" t="s">
        <v>66</v>
      </c>
      <c r="W4" s="30" t="s">
        <v>75</v>
      </c>
      <c r="X4" s="24"/>
      <c r="AA4" s="0" t="s">
        <v>76</v>
      </c>
      <c r="AB4" s="0" t="n">
        <v>122.16</v>
      </c>
      <c r="AC4" s="31" t="n">
        <v>1</v>
      </c>
    </row>
    <row r="5" customFormat="false" ht="14.25" hidden="false" customHeight="true" outlineLevel="0" collapsed="false">
      <c r="A5" s="24" t="s">
        <v>76</v>
      </c>
      <c r="B5" s="24" t="s">
        <v>6</v>
      </c>
      <c r="C5" s="25" t="s">
        <v>66</v>
      </c>
      <c r="D5" s="24" t="s">
        <v>77</v>
      </c>
      <c r="E5" s="29" t="s">
        <v>78</v>
      </c>
      <c r="F5" s="24" t="s">
        <v>79</v>
      </c>
      <c r="G5" s="27" t="s">
        <v>80</v>
      </c>
      <c r="H5" s="24" t="s">
        <v>71</v>
      </c>
      <c r="I5" s="24" t="s">
        <v>81</v>
      </c>
      <c r="J5" s="24" t="s">
        <v>82</v>
      </c>
      <c r="K5" s="24" t="n">
        <v>1</v>
      </c>
      <c r="L5" s="24" t="s">
        <v>74</v>
      </c>
      <c r="M5" s="24" t="n">
        <v>122.16</v>
      </c>
      <c r="N5" s="24" t="n">
        <v>219</v>
      </c>
      <c r="O5" s="25" t="s">
        <v>66</v>
      </c>
      <c r="P5" s="28" t="n">
        <v>1.01985</v>
      </c>
      <c r="Q5" s="29"/>
      <c r="R5" s="30" t="s">
        <v>66</v>
      </c>
      <c r="S5" s="30" t="s">
        <v>66</v>
      </c>
      <c r="T5" s="30" t="s">
        <v>66</v>
      </c>
      <c r="U5" s="30" t="s">
        <v>66</v>
      </c>
      <c r="V5" s="30" t="s">
        <v>66</v>
      </c>
      <c r="W5" s="30" t="s">
        <v>75</v>
      </c>
      <c r="X5" s="24"/>
      <c r="AA5" s="0" t="s">
        <v>83</v>
      </c>
      <c r="AB5" s="0" t="n">
        <v>170.25</v>
      </c>
      <c r="AC5" s="0" t="n">
        <v>0.987</v>
      </c>
    </row>
    <row r="6" customFormat="false" ht="14.25" hidden="false" customHeight="true" outlineLevel="0" collapsed="false">
      <c r="A6" s="24" t="s">
        <v>83</v>
      </c>
      <c r="B6" s="24" t="s">
        <v>84</v>
      </c>
      <c r="C6" s="25" t="s">
        <v>66</v>
      </c>
      <c r="D6" s="24" t="s">
        <v>85</v>
      </c>
      <c r="E6" s="29" t="s">
        <v>86</v>
      </c>
      <c r="F6" s="24" t="s">
        <v>87</v>
      </c>
      <c r="G6" s="27" t="s">
        <v>80</v>
      </c>
      <c r="H6" s="24" t="s">
        <v>71</v>
      </c>
      <c r="I6" s="24" t="s">
        <v>88</v>
      </c>
      <c r="J6" s="24" t="s">
        <v>89</v>
      </c>
      <c r="K6" s="24" t="n">
        <v>1</v>
      </c>
      <c r="L6" s="24" t="s">
        <v>74</v>
      </c>
      <c r="M6" s="24" t="n">
        <v>170.25</v>
      </c>
      <c r="N6" s="24" t="n">
        <v>285</v>
      </c>
      <c r="O6" s="25" t="s">
        <v>66</v>
      </c>
      <c r="P6" s="28" t="n">
        <v>0.95292</v>
      </c>
      <c r="Q6" s="29"/>
      <c r="R6" s="30" t="s">
        <v>66</v>
      </c>
      <c r="S6" s="30" t="s">
        <v>66</v>
      </c>
      <c r="T6" s="30" t="s">
        <v>66</v>
      </c>
      <c r="U6" s="30" t="s">
        <v>66</v>
      </c>
      <c r="V6" s="30" t="s">
        <v>66</v>
      </c>
      <c r="W6" s="30" t="s">
        <v>75</v>
      </c>
      <c r="X6" s="24"/>
      <c r="AA6" s="0" t="s">
        <v>90</v>
      </c>
      <c r="AB6" s="0" t="n">
        <v>86.13</v>
      </c>
      <c r="AC6" s="0" t="n">
        <v>0.996</v>
      </c>
    </row>
    <row r="7" customFormat="false" ht="14.25" hidden="false" customHeight="true" outlineLevel="0" collapsed="false">
      <c r="A7" s="32" t="s">
        <v>90</v>
      </c>
      <c r="B7" s="32" t="s">
        <v>91</v>
      </c>
      <c r="C7" s="32" t="s">
        <v>92</v>
      </c>
      <c r="D7" s="32" t="s">
        <v>93</v>
      </c>
      <c r="E7" s="32" t="s">
        <v>94</v>
      </c>
      <c r="F7" s="32" t="s">
        <v>95</v>
      </c>
      <c r="G7" s="33" t="s">
        <v>70</v>
      </c>
      <c r="H7" s="32" t="s">
        <v>96</v>
      </c>
      <c r="I7" s="34" t="s">
        <v>97</v>
      </c>
      <c r="J7" s="32" t="s">
        <v>98</v>
      </c>
      <c r="K7" s="33" t="n">
        <v>1</v>
      </c>
      <c r="L7" s="32" t="s">
        <v>74</v>
      </c>
      <c r="M7" s="32" t="n">
        <v>86.13</v>
      </c>
      <c r="N7" s="32" t="n">
        <v>99</v>
      </c>
      <c r="O7" s="35" t="s">
        <v>66</v>
      </c>
      <c r="P7" s="36" t="n">
        <v>0.82388</v>
      </c>
      <c r="Q7" s="37"/>
      <c r="R7" s="32" t="s">
        <v>66</v>
      </c>
      <c r="S7" s="32" t="s">
        <v>66</v>
      </c>
      <c r="T7" s="32" t="s">
        <v>66</v>
      </c>
      <c r="U7" s="32" t="s">
        <v>66</v>
      </c>
      <c r="V7" s="32" t="s">
        <v>66</v>
      </c>
      <c r="W7" s="32" t="s">
        <v>75</v>
      </c>
      <c r="X7" s="32"/>
      <c r="AA7" s="0" t="s">
        <v>99</v>
      </c>
      <c r="AB7" s="0" t="n">
        <v>88.15</v>
      </c>
      <c r="AC7" s="31" t="n">
        <v>1</v>
      </c>
    </row>
    <row r="8" customFormat="false" ht="14.25" hidden="false" customHeight="true" outlineLevel="0" collapsed="false">
      <c r="A8" s="38" t="s">
        <v>99</v>
      </c>
      <c r="B8" s="38" t="s">
        <v>100</v>
      </c>
      <c r="C8" s="38" t="s">
        <v>101</v>
      </c>
      <c r="D8" s="38" t="s">
        <v>102</v>
      </c>
      <c r="E8" s="39" t="s">
        <v>103</v>
      </c>
      <c r="F8" s="38" t="s">
        <v>104</v>
      </c>
      <c r="G8" s="40" t="n">
        <v>3.2</v>
      </c>
      <c r="H8" s="38" t="s">
        <v>71</v>
      </c>
      <c r="I8" s="41" t="s">
        <v>105</v>
      </c>
      <c r="J8" s="38" t="s">
        <v>106</v>
      </c>
      <c r="K8" s="40" t="n">
        <v>1</v>
      </c>
      <c r="L8" s="38" t="s">
        <v>74</v>
      </c>
      <c r="M8" s="38" t="n">
        <v>88.15</v>
      </c>
      <c r="N8" s="38" t="n">
        <v>102</v>
      </c>
      <c r="O8" s="42" t="s">
        <v>66</v>
      </c>
      <c r="P8" s="36" t="n">
        <v>0.80899</v>
      </c>
      <c r="Q8" s="43"/>
      <c r="R8" s="38" t="s">
        <v>66</v>
      </c>
      <c r="S8" s="38" t="s">
        <v>66</v>
      </c>
      <c r="T8" s="38" t="s">
        <v>66</v>
      </c>
      <c r="U8" s="38" t="s">
        <v>66</v>
      </c>
      <c r="V8" s="38" t="s">
        <v>66</v>
      </c>
      <c r="W8" s="38" t="s">
        <v>75</v>
      </c>
      <c r="X8" s="38"/>
      <c r="AA8" s="0" t="s">
        <v>107</v>
      </c>
      <c r="AB8" s="0" t="n">
        <v>102.17</v>
      </c>
      <c r="AC8" s="0" t="n">
        <v>0.998</v>
      </c>
    </row>
    <row r="9" customFormat="false" ht="14.25" hidden="false" customHeight="true" outlineLevel="0" collapsed="false">
      <c r="A9" s="38" t="s">
        <v>107</v>
      </c>
      <c r="B9" s="38" t="s">
        <v>108</v>
      </c>
      <c r="C9" s="38" t="s">
        <v>66</v>
      </c>
      <c r="D9" s="38" t="s">
        <v>109</v>
      </c>
      <c r="E9" s="38" t="s">
        <v>110</v>
      </c>
      <c r="F9" s="38" t="s">
        <v>111</v>
      </c>
      <c r="G9" s="40" t="s">
        <v>112</v>
      </c>
      <c r="H9" s="38" t="s">
        <v>71</v>
      </c>
      <c r="I9" s="38" t="s">
        <v>113</v>
      </c>
      <c r="J9" s="38" t="s">
        <v>114</v>
      </c>
      <c r="K9" s="40" t="n">
        <v>700</v>
      </c>
      <c r="L9" s="38" t="s">
        <v>115</v>
      </c>
      <c r="M9" s="38" t="n">
        <v>102.17</v>
      </c>
      <c r="N9" s="38" t="n">
        <v>156</v>
      </c>
      <c r="O9" s="42" t="s">
        <v>66</v>
      </c>
      <c r="P9" s="36" t="n">
        <v>0.81883</v>
      </c>
      <c r="Q9" s="43"/>
      <c r="R9" s="38" t="s">
        <v>66</v>
      </c>
      <c r="S9" s="38" t="s">
        <v>66</v>
      </c>
      <c r="T9" s="38" t="s">
        <v>66</v>
      </c>
      <c r="U9" s="38" t="s">
        <v>66</v>
      </c>
      <c r="V9" s="38" t="s">
        <v>66</v>
      </c>
      <c r="W9" s="38" t="s">
        <v>75</v>
      </c>
      <c r="X9" s="38"/>
      <c r="AA9" s="0" t="s">
        <v>116</v>
      </c>
      <c r="AB9" s="0" t="n">
        <v>130.23</v>
      </c>
      <c r="AC9" s="0" t="n">
        <v>0.997</v>
      </c>
    </row>
    <row r="10" customFormat="false" ht="14.25" hidden="false" customHeight="true" outlineLevel="0" collapsed="false">
      <c r="A10" s="38" t="s">
        <v>116</v>
      </c>
      <c r="B10" s="38" t="s">
        <v>117</v>
      </c>
      <c r="C10" s="38" t="s">
        <v>66</v>
      </c>
      <c r="D10" s="38" t="s">
        <v>118</v>
      </c>
      <c r="E10" s="38" t="s">
        <v>119</v>
      </c>
      <c r="F10" s="38" t="s">
        <v>120</v>
      </c>
      <c r="G10" s="40" t="n">
        <v>1.2</v>
      </c>
      <c r="H10" s="38" t="s">
        <v>71</v>
      </c>
      <c r="I10" s="38" t="s">
        <v>121</v>
      </c>
      <c r="J10" s="38" t="s">
        <v>122</v>
      </c>
      <c r="K10" s="40" t="s">
        <v>123</v>
      </c>
      <c r="L10" s="38" t="s">
        <v>115</v>
      </c>
      <c r="M10" s="38" t="n">
        <v>130.23</v>
      </c>
      <c r="N10" s="38" t="n">
        <v>195</v>
      </c>
      <c r="O10" s="42" t="s">
        <v>66</v>
      </c>
      <c r="P10" s="44" t="n">
        <v>0.82518</v>
      </c>
      <c r="Q10" s="43"/>
      <c r="R10" s="38" t="s">
        <v>66</v>
      </c>
      <c r="S10" s="38" t="s">
        <v>66</v>
      </c>
      <c r="T10" s="38" t="s">
        <v>66</v>
      </c>
      <c r="U10" s="38" t="s">
        <v>66</v>
      </c>
      <c r="V10" s="38" t="s">
        <v>66</v>
      </c>
      <c r="W10" s="38" t="s">
        <v>75</v>
      </c>
      <c r="X10" s="38"/>
      <c r="AA10" s="0" t="s">
        <v>124</v>
      </c>
      <c r="AB10" s="0" t="n">
        <v>100.16</v>
      </c>
      <c r="AC10" s="0" t="n">
        <v>0.998</v>
      </c>
    </row>
    <row r="11" customFormat="false" ht="14.25" hidden="false" customHeight="true" outlineLevel="0" collapsed="false">
      <c r="A11" s="38" t="s">
        <v>124</v>
      </c>
      <c r="B11" s="38" t="s">
        <v>125</v>
      </c>
      <c r="C11" s="38" t="s">
        <v>126</v>
      </c>
      <c r="D11" s="38" t="s">
        <v>127</v>
      </c>
      <c r="E11" s="39" t="s">
        <v>128</v>
      </c>
      <c r="F11" s="38" t="s">
        <v>129</v>
      </c>
      <c r="G11" s="40" t="n">
        <v>2.4</v>
      </c>
      <c r="H11" s="38" t="s">
        <v>130</v>
      </c>
      <c r="I11" s="38" t="s">
        <v>113</v>
      </c>
      <c r="J11" s="38" t="s">
        <v>131</v>
      </c>
      <c r="K11" s="40" t="s">
        <v>132</v>
      </c>
      <c r="L11" s="38" t="s">
        <v>115</v>
      </c>
      <c r="M11" s="38" t="n">
        <v>100.16</v>
      </c>
      <c r="N11" s="38" t="n">
        <v>115</v>
      </c>
      <c r="O11" s="42" t="s">
        <v>66</v>
      </c>
      <c r="P11" s="44" t="n">
        <v>0.80143</v>
      </c>
      <c r="Q11" s="43"/>
      <c r="R11" s="38" t="s">
        <v>66</v>
      </c>
      <c r="S11" s="38" t="s">
        <v>66</v>
      </c>
      <c r="T11" s="38" t="s">
        <v>66</v>
      </c>
      <c r="U11" s="38" t="s">
        <v>66</v>
      </c>
      <c r="V11" s="38" t="s">
        <v>66</v>
      </c>
      <c r="W11" s="38" t="s">
        <v>75</v>
      </c>
      <c r="X11" s="38"/>
      <c r="AA11" s="0" t="s">
        <v>133</v>
      </c>
      <c r="AB11" s="0" t="n">
        <v>128.21</v>
      </c>
      <c r="AC11" s="0" t="n">
        <v>0.988</v>
      </c>
    </row>
    <row r="12" customFormat="false" ht="14.25" hidden="false" customHeight="true" outlineLevel="0" collapsed="false">
      <c r="A12" s="38" t="s">
        <v>133</v>
      </c>
      <c r="B12" s="38" t="s">
        <v>134</v>
      </c>
      <c r="C12" s="38" t="s">
        <v>135</v>
      </c>
      <c r="D12" s="38" t="s">
        <v>136</v>
      </c>
      <c r="E12" s="39" t="s">
        <v>137</v>
      </c>
      <c r="F12" s="38" t="s">
        <v>138</v>
      </c>
      <c r="G12" s="40" t="n">
        <v>3.2</v>
      </c>
      <c r="H12" s="38" t="s">
        <v>71</v>
      </c>
      <c r="I12" s="45" t="s">
        <v>139</v>
      </c>
      <c r="J12" s="38" t="s">
        <v>140</v>
      </c>
      <c r="K12" s="40" t="s">
        <v>123</v>
      </c>
      <c r="L12" s="38" t="s">
        <v>115</v>
      </c>
      <c r="M12" s="38" t="n">
        <v>128.21</v>
      </c>
      <c r="N12" s="38" t="n">
        <v>173</v>
      </c>
      <c r="O12" s="42" t="s">
        <v>66</v>
      </c>
      <c r="P12" s="36" t="n">
        <v>0.81906</v>
      </c>
      <c r="Q12" s="43"/>
      <c r="R12" s="38" t="s">
        <v>66</v>
      </c>
      <c r="S12" s="38" t="s">
        <v>66</v>
      </c>
      <c r="T12" s="38" t="s">
        <v>66</v>
      </c>
      <c r="U12" s="38" t="s">
        <v>66</v>
      </c>
      <c r="V12" s="38" t="s">
        <v>66</v>
      </c>
      <c r="W12" s="38" t="s">
        <v>75</v>
      </c>
      <c r="X12" s="38"/>
      <c r="AA12" s="0" t="s">
        <v>141</v>
      </c>
      <c r="AB12" s="0" t="n">
        <v>150.22</v>
      </c>
      <c r="AC12" s="0" t="n">
        <v>0.999</v>
      </c>
    </row>
    <row r="13" customFormat="false" ht="14.25" hidden="false" customHeight="true" outlineLevel="0" collapsed="false">
      <c r="A13" s="46" t="s">
        <v>141</v>
      </c>
      <c r="B13" s="46" t="s">
        <v>142</v>
      </c>
      <c r="C13" s="46" t="s">
        <v>66</v>
      </c>
      <c r="D13" s="46" t="s">
        <v>143</v>
      </c>
      <c r="E13" s="46" t="s">
        <v>144</v>
      </c>
      <c r="F13" s="46" t="s">
        <v>145</v>
      </c>
      <c r="G13" s="47" t="n">
        <v>1.2</v>
      </c>
      <c r="H13" s="46" t="s">
        <v>71</v>
      </c>
      <c r="I13" s="46" t="s">
        <v>105</v>
      </c>
      <c r="J13" s="46" t="s">
        <v>146</v>
      </c>
      <c r="K13" s="47" t="n">
        <v>800</v>
      </c>
      <c r="L13" s="46" t="s">
        <v>147</v>
      </c>
      <c r="M13" s="46" t="n">
        <v>150.22</v>
      </c>
      <c r="N13" s="46" t="n">
        <v>233</v>
      </c>
      <c r="O13" s="46" t="s">
        <v>66</v>
      </c>
      <c r="P13" s="48" t="n">
        <v>0.96</v>
      </c>
      <c r="Q13" s="46"/>
      <c r="R13" s="46" t="s">
        <v>66</v>
      </c>
      <c r="S13" s="46" t="s">
        <v>66</v>
      </c>
      <c r="T13" s="46" t="s">
        <v>66</v>
      </c>
      <c r="U13" s="46" t="s">
        <v>66</v>
      </c>
      <c r="V13" s="46" t="s">
        <v>66</v>
      </c>
      <c r="W13" s="46" t="s">
        <v>75</v>
      </c>
      <c r="X13" s="46"/>
      <c r="AA13" s="0" t="s">
        <v>148</v>
      </c>
      <c r="AB13" s="0" t="n">
        <v>150.22</v>
      </c>
      <c r="AC13" s="0" t="n">
        <v>0.992</v>
      </c>
    </row>
    <row r="14" customFormat="false" ht="14.25" hidden="false" customHeight="true" outlineLevel="0" collapsed="false">
      <c r="A14" s="46" t="s">
        <v>148</v>
      </c>
      <c r="B14" s="46" t="s">
        <v>149</v>
      </c>
      <c r="C14" s="46" t="s">
        <v>150</v>
      </c>
      <c r="D14" s="46" t="s">
        <v>151</v>
      </c>
      <c r="E14" s="49" t="s">
        <v>144</v>
      </c>
      <c r="F14" s="50" t="s">
        <v>152</v>
      </c>
      <c r="G14" s="51" t="n">
        <v>1.2</v>
      </c>
      <c r="H14" s="46" t="s">
        <v>71</v>
      </c>
      <c r="I14" s="46" t="s">
        <v>153</v>
      </c>
      <c r="J14" s="46" t="s">
        <v>154</v>
      </c>
      <c r="K14" s="47" t="n">
        <v>1</v>
      </c>
      <c r="L14" s="46" t="s">
        <v>155</v>
      </c>
      <c r="M14" s="46" t="n">
        <v>150.22</v>
      </c>
      <c r="N14" s="46" t="n">
        <v>226</v>
      </c>
      <c r="O14" s="46" t="s">
        <v>66</v>
      </c>
      <c r="P14" s="52" t="n">
        <v>0.96</v>
      </c>
      <c r="Q14" s="46"/>
      <c r="R14" s="46" t="s">
        <v>66</v>
      </c>
      <c r="S14" s="46" t="s">
        <v>66</v>
      </c>
      <c r="T14" s="46" t="s">
        <v>66</v>
      </c>
      <c r="U14" s="46" t="s">
        <v>66</v>
      </c>
      <c r="V14" s="46" t="s">
        <v>66</v>
      </c>
      <c r="W14" s="46" t="s">
        <v>75</v>
      </c>
      <c r="X14" s="46"/>
      <c r="AA14" s="0" t="s">
        <v>156</v>
      </c>
      <c r="AB14" s="0" t="n">
        <v>152.24</v>
      </c>
      <c r="AC14" s="0" t="n">
        <v>0.969</v>
      </c>
    </row>
    <row r="15" customFormat="false" ht="14.25" hidden="false" customHeight="true" outlineLevel="0" collapsed="false">
      <c r="A15" s="46" t="s">
        <v>156</v>
      </c>
      <c r="B15" s="46" t="s">
        <v>157</v>
      </c>
      <c r="C15" s="46" t="s">
        <v>66</v>
      </c>
      <c r="D15" s="46" t="s">
        <v>158</v>
      </c>
      <c r="E15" s="53" t="s">
        <v>159</v>
      </c>
      <c r="F15" s="46" t="s">
        <v>160</v>
      </c>
      <c r="G15" s="47" t="n">
        <v>3.2</v>
      </c>
      <c r="H15" s="54" t="s">
        <v>71</v>
      </c>
      <c r="I15" s="46" t="s">
        <v>161</v>
      </c>
      <c r="J15" s="46" t="s">
        <v>162</v>
      </c>
      <c r="K15" s="47" t="n">
        <v>250</v>
      </c>
      <c r="L15" s="46" t="s">
        <v>147</v>
      </c>
      <c r="M15" s="46" t="n">
        <v>152.24</v>
      </c>
      <c r="N15" s="46" t="n">
        <v>210</v>
      </c>
      <c r="O15" s="46" t="s">
        <v>66</v>
      </c>
      <c r="P15" s="52" t="n">
        <v>0.99</v>
      </c>
      <c r="Q15" s="46"/>
      <c r="R15" s="46" t="s">
        <v>66</v>
      </c>
      <c r="S15" s="46" t="s">
        <v>66</v>
      </c>
      <c r="T15" s="46" t="s">
        <v>66</v>
      </c>
      <c r="U15" s="46" t="s">
        <v>66</v>
      </c>
      <c r="V15" s="46" t="s">
        <v>66</v>
      </c>
      <c r="W15" s="46" t="s">
        <v>75</v>
      </c>
      <c r="X15" s="46"/>
      <c r="AA15" s="0" t="s">
        <v>163</v>
      </c>
      <c r="AB15" s="0" t="n">
        <v>154.25</v>
      </c>
      <c r="AC15" s="0" t="n">
        <v>0.989</v>
      </c>
    </row>
    <row r="16" customFormat="false" ht="14.25" hidden="false" customHeight="true" outlineLevel="0" collapsed="false">
      <c r="A16" s="46" t="s">
        <v>163</v>
      </c>
      <c r="B16" s="46" t="s">
        <v>164</v>
      </c>
      <c r="C16" s="46" t="s">
        <v>66</v>
      </c>
      <c r="D16" s="46" t="s">
        <v>165</v>
      </c>
      <c r="E16" s="53" t="s">
        <v>166</v>
      </c>
      <c r="F16" s="46" t="s">
        <v>167</v>
      </c>
      <c r="G16" s="47" t="n">
        <v>2.3</v>
      </c>
      <c r="H16" s="54" t="s">
        <v>71</v>
      </c>
      <c r="I16" s="46" t="s">
        <v>168</v>
      </c>
      <c r="J16" s="46" t="s">
        <v>169</v>
      </c>
      <c r="K16" s="47" t="n">
        <v>700</v>
      </c>
      <c r="L16" s="46" t="s">
        <v>147</v>
      </c>
      <c r="M16" s="46" t="n">
        <v>154.25</v>
      </c>
      <c r="N16" s="46" t="n">
        <v>229</v>
      </c>
      <c r="O16" s="46" t="s">
        <v>66</v>
      </c>
      <c r="P16" s="46" t="n">
        <v>0.889</v>
      </c>
      <c r="Q16" s="46"/>
      <c r="R16" s="46" t="s">
        <v>66</v>
      </c>
      <c r="S16" s="46" t="s">
        <v>66</v>
      </c>
      <c r="T16" s="46" t="s">
        <v>66</v>
      </c>
      <c r="U16" s="46" t="s">
        <v>66</v>
      </c>
      <c r="V16" s="46" t="s">
        <v>66</v>
      </c>
      <c r="W16" s="46" t="s">
        <v>75</v>
      </c>
      <c r="X16" s="46"/>
      <c r="AA16" s="0" t="s">
        <v>170</v>
      </c>
      <c r="AB16" s="0" t="n">
        <v>150.22</v>
      </c>
      <c r="AC16" s="0" t="n">
        <v>0.997</v>
      </c>
    </row>
    <row r="17" customFormat="false" ht="14.25" hidden="false" customHeight="true" outlineLevel="0" collapsed="false">
      <c r="A17" s="46" t="s">
        <v>170</v>
      </c>
      <c r="B17" s="46" t="s">
        <v>171</v>
      </c>
      <c r="C17" s="46" t="s">
        <v>66</v>
      </c>
      <c r="D17" s="46" t="s">
        <v>172</v>
      </c>
      <c r="E17" s="53" t="s">
        <v>144</v>
      </c>
      <c r="F17" s="46" t="s">
        <v>173</v>
      </c>
      <c r="G17" s="47" t="n">
        <v>2.1</v>
      </c>
      <c r="H17" s="54" t="s">
        <v>71</v>
      </c>
      <c r="I17" s="46" t="s">
        <v>121</v>
      </c>
      <c r="J17" s="46" t="s">
        <v>174</v>
      </c>
      <c r="K17" s="47" t="s">
        <v>175</v>
      </c>
      <c r="L17" s="46" t="s">
        <v>115</v>
      </c>
      <c r="M17" s="46" t="n">
        <v>150.22</v>
      </c>
      <c r="N17" s="46" t="n">
        <v>239</v>
      </c>
      <c r="O17" s="46" t="s">
        <v>66</v>
      </c>
      <c r="P17" s="46" t="n">
        <v>0.977</v>
      </c>
      <c r="Q17" s="46"/>
      <c r="R17" s="46" t="s">
        <v>66</v>
      </c>
      <c r="S17" s="46" t="s">
        <v>66</v>
      </c>
      <c r="T17" s="46" t="s">
        <v>66</v>
      </c>
      <c r="U17" s="46" t="s">
        <v>66</v>
      </c>
      <c r="V17" s="46" t="s">
        <v>66</v>
      </c>
      <c r="W17" s="46" t="s">
        <v>75</v>
      </c>
      <c r="X17" s="46"/>
      <c r="AA17" s="0" t="s">
        <v>176</v>
      </c>
      <c r="AB17" s="0" t="n">
        <v>164.2</v>
      </c>
      <c r="AC17" s="0" t="n">
        <v>0.992</v>
      </c>
    </row>
    <row r="18" customFormat="false" ht="14.25" hidden="false" customHeight="true" outlineLevel="0" collapsed="false">
      <c r="A18" s="46" t="s">
        <v>176</v>
      </c>
      <c r="B18" s="46" t="s">
        <v>177</v>
      </c>
      <c r="C18" s="46" t="s">
        <v>66</v>
      </c>
      <c r="D18" s="46" t="s">
        <v>178</v>
      </c>
      <c r="E18" s="49" t="s">
        <v>179</v>
      </c>
      <c r="F18" s="46" t="s">
        <v>180</v>
      </c>
      <c r="G18" s="47" t="n">
        <v>1.3</v>
      </c>
      <c r="H18" s="54" t="s">
        <v>71</v>
      </c>
      <c r="I18" s="46" t="s">
        <v>153</v>
      </c>
      <c r="J18" s="46" t="s">
        <v>181</v>
      </c>
      <c r="K18" s="47" t="s">
        <v>182</v>
      </c>
      <c r="L18" s="46" t="s">
        <v>115</v>
      </c>
      <c r="M18" s="46" t="n">
        <v>164.2</v>
      </c>
      <c r="N18" s="46" t="n">
        <v>215</v>
      </c>
      <c r="O18" s="46" t="s">
        <v>66</v>
      </c>
      <c r="P18" s="52" t="n">
        <v>1.06</v>
      </c>
      <c r="Q18" s="46"/>
      <c r="R18" s="46" t="s">
        <v>66</v>
      </c>
      <c r="S18" s="46" t="s">
        <v>66</v>
      </c>
      <c r="T18" s="46" t="s">
        <v>66</v>
      </c>
      <c r="U18" s="46" t="s">
        <v>66</v>
      </c>
      <c r="V18" s="46" t="s">
        <v>66</v>
      </c>
      <c r="W18" s="46" t="s">
        <v>75</v>
      </c>
      <c r="X18" s="46"/>
    </row>
    <row r="19" customFormat="false" ht="14.25" hidden="false" customHeight="true" outlineLevel="0" collapsed="false">
      <c r="A19" s="55" t="s">
        <v>183</v>
      </c>
      <c r="B19" s="55" t="s">
        <v>184</v>
      </c>
      <c r="C19" s="55" t="s">
        <v>66</v>
      </c>
      <c r="D19" s="55" t="s">
        <v>66</v>
      </c>
      <c r="E19" s="55" t="s">
        <v>66</v>
      </c>
      <c r="F19" s="56"/>
      <c r="G19" s="57" t="s">
        <v>66</v>
      </c>
      <c r="H19" s="55" t="s">
        <v>66</v>
      </c>
      <c r="I19" s="55" t="s">
        <v>185</v>
      </c>
      <c r="J19" s="55" t="s">
        <v>66</v>
      </c>
      <c r="K19" s="58" t="s">
        <v>66</v>
      </c>
      <c r="L19" s="55" t="s">
        <v>66</v>
      </c>
      <c r="M19" s="55" t="n">
        <v>18.02</v>
      </c>
      <c r="N19" s="55" t="n">
        <v>100</v>
      </c>
      <c r="O19" s="55" t="s">
        <v>66</v>
      </c>
      <c r="P19" s="55"/>
      <c r="Q19" s="55"/>
      <c r="R19" s="55" t="s">
        <v>66</v>
      </c>
      <c r="S19" s="55" t="s">
        <v>66</v>
      </c>
      <c r="T19" s="55" t="s">
        <v>66</v>
      </c>
      <c r="U19" s="55" t="s">
        <v>66</v>
      </c>
      <c r="V19" s="55" t="s">
        <v>66</v>
      </c>
      <c r="W19" s="55" t="s">
        <v>75</v>
      </c>
      <c r="X19" s="55"/>
    </row>
    <row r="20" customFormat="false" ht="14.25" hidden="false" customHeight="true" outlineLevel="0" collapsed="false"/>
    <row r="21" customFormat="false" ht="14.25" hidden="false" customHeight="true" outlineLevel="0" collapsed="false">
      <c r="A21" s="59"/>
      <c r="B21" s="0" t="s">
        <v>186</v>
      </c>
    </row>
    <row r="22" customFormat="false" ht="15" hidden="false" customHeight="true" outlineLevel="0" collapsed="false">
      <c r="A22" s="60"/>
      <c r="B22" s="61" t="s">
        <v>187</v>
      </c>
    </row>
    <row r="23" customFormat="false" ht="14.25" hidden="false" customHeight="true" outlineLevel="0" collapsed="false">
      <c r="A23" s="62"/>
      <c r="B23" s="0" t="s">
        <v>188</v>
      </c>
    </row>
    <row r="24" customFormat="false" ht="15" hidden="false" customHeight="true" outlineLevel="0" collapsed="false">
      <c r="A24" s="63"/>
      <c r="B24" s="61" t="s">
        <v>189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1:N28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N18" activeCellId="0" sqref="N18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7.25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64" t="s">
        <v>190</v>
      </c>
      <c r="C2" s="65" t="s">
        <v>191</v>
      </c>
      <c r="D2" s="64" t="s">
        <v>192</v>
      </c>
      <c r="E2" s="64" t="s">
        <v>193</v>
      </c>
      <c r="F2" s="65" t="s">
        <v>194</v>
      </c>
      <c r="G2" s="66" t="s">
        <v>195</v>
      </c>
      <c r="H2" s="64" t="s">
        <v>196</v>
      </c>
      <c r="I2" s="64" t="s">
        <v>197</v>
      </c>
      <c r="J2" s="64" t="s">
        <v>198</v>
      </c>
    </row>
    <row r="3" customFormat="false" ht="15" hidden="false" customHeight="true" outlineLevel="0" collapsed="false">
      <c r="B3" s="67" t="s">
        <v>199</v>
      </c>
      <c r="C3" s="68"/>
      <c r="D3" s="68"/>
      <c r="E3" s="68"/>
      <c r="F3" s="68"/>
      <c r="G3" s="69"/>
      <c r="H3" s="68"/>
      <c r="I3" s="68"/>
      <c r="J3" s="68"/>
      <c r="L3" s="0" t="s">
        <v>200</v>
      </c>
      <c r="M3" s="0" t="s">
        <v>201</v>
      </c>
    </row>
    <row r="4" customFormat="false" ht="14.25" hidden="false" customHeight="true" outlineLevel="0" collapsed="false">
      <c r="B4" s="64" t="s">
        <v>6</v>
      </c>
      <c r="C4" s="64"/>
      <c r="D4" s="64"/>
      <c r="E4" s="64"/>
      <c r="F4" s="64"/>
      <c r="G4" s="66"/>
      <c r="H4" s="64"/>
      <c r="I4" s="64"/>
      <c r="J4" s="64"/>
      <c r="K4" s="0" t="n">
        <v>1</v>
      </c>
      <c r="L4" s="0" t="s">
        <v>142</v>
      </c>
      <c r="M4" s="0" t="s">
        <v>202</v>
      </c>
      <c r="N4" s="0" t="n">
        <v>1</v>
      </c>
    </row>
    <row r="5" customFormat="false" ht="15" hidden="false" customHeight="true" outlineLevel="0" collapsed="false">
      <c r="B5" s="67" t="s">
        <v>84</v>
      </c>
      <c r="C5" s="68"/>
      <c r="D5" s="68"/>
      <c r="E5" s="68"/>
      <c r="F5" s="68"/>
      <c r="G5" s="69"/>
      <c r="H5" s="68"/>
      <c r="I5" s="68"/>
      <c r="J5" s="68"/>
      <c r="K5" s="0" t="n">
        <v>2</v>
      </c>
      <c r="L5" s="0" t="s">
        <v>203</v>
      </c>
      <c r="M5" s="0" t="s">
        <v>164</v>
      </c>
      <c r="N5" s="0" t="n">
        <v>2</v>
      </c>
    </row>
    <row r="6" customFormat="false" ht="14.25" hidden="false" customHeight="true" outlineLevel="0" collapsed="false">
      <c r="B6" s="61"/>
      <c r="M6" s="0" t="s">
        <v>171</v>
      </c>
      <c r="N6" s="0" t="n">
        <v>3</v>
      </c>
    </row>
    <row r="7" customFormat="false" ht="14.25" hidden="false" customHeight="true" outlineLevel="0" collapsed="false">
      <c r="B7" s="64" t="s">
        <v>204</v>
      </c>
      <c r="C7" s="65" t="s">
        <v>191</v>
      </c>
      <c r="D7" s="64" t="s">
        <v>192</v>
      </c>
      <c r="E7" s="64" t="s">
        <v>193</v>
      </c>
      <c r="F7" s="65" t="s">
        <v>194</v>
      </c>
      <c r="G7" s="66" t="s">
        <v>195</v>
      </c>
      <c r="H7" s="64" t="s">
        <v>196</v>
      </c>
      <c r="I7" s="64" t="s">
        <v>197</v>
      </c>
      <c r="J7" s="64" t="s">
        <v>198</v>
      </c>
      <c r="M7" s="0" t="s">
        <v>177</v>
      </c>
      <c r="N7" s="0" t="n">
        <v>4</v>
      </c>
    </row>
    <row r="8" customFormat="false" ht="15" hidden="false" customHeight="true" outlineLevel="0" collapsed="false">
      <c r="B8" s="67" t="s">
        <v>199</v>
      </c>
      <c r="C8" s="68"/>
      <c r="D8" s="68"/>
      <c r="E8" s="68"/>
      <c r="F8" s="68"/>
      <c r="G8" s="69"/>
      <c r="H8" s="68"/>
      <c r="I8" s="68"/>
      <c r="J8" s="68"/>
    </row>
    <row r="9" customFormat="false" ht="14.25" hidden="false" customHeight="true" outlineLevel="0" collapsed="false">
      <c r="B9" s="64" t="s">
        <v>6</v>
      </c>
      <c r="C9" s="64"/>
      <c r="D9" s="64"/>
      <c r="E9" s="64"/>
      <c r="F9" s="64"/>
      <c r="G9" s="66"/>
      <c r="H9" s="64"/>
      <c r="I9" s="64"/>
      <c r="J9" s="64"/>
    </row>
    <row r="10" customFormat="false" ht="15" hidden="false" customHeight="true" outlineLevel="0" collapsed="false">
      <c r="B10" s="67" t="s">
        <v>84</v>
      </c>
      <c r="C10" s="68"/>
      <c r="D10" s="68"/>
      <c r="E10" s="68"/>
      <c r="F10" s="68"/>
      <c r="G10" s="69"/>
      <c r="H10" s="68"/>
      <c r="I10" s="68"/>
      <c r="J10" s="68"/>
    </row>
    <row r="11" customFormat="false" ht="14.25" hidden="false" customHeight="true" outlineLevel="0" collapsed="false"/>
    <row r="12" customFormat="false" ht="14.25" hidden="false" customHeight="true" outlineLevel="0" collapsed="false">
      <c r="C12" s="0" t="s">
        <v>205</v>
      </c>
    </row>
    <row r="13" customFormat="false" ht="15" hidden="false" customHeight="true" outlineLevel="0" collapsed="false"/>
    <row r="14" customFormat="false" ht="20.25" hidden="false" customHeight="true" outlineLevel="0" collapsed="false">
      <c r="B14" s="2" t="s">
        <v>206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</row>
    <row r="15" customFormat="false" ht="20.25" hidden="false" customHeight="true" outlineLevel="0" collapsed="false">
      <c r="B15" s="70" t="s">
        <v>207</v>
      </c>
      <c r="C15" s="5" t="n">
        <v>10</v>
      </c>
      <c r="D15" s="70" t="s">
        <v>147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</row>
    <row r="16" customFormat="false" ht="44.25" hidden="false" customHeight="true" outlineLevel="0" collapsed="false">
      <c r="B16" s="71" t="s">
        <v>208</v>
      </c>
      <c r="C16" s="71" t="s">
        <v>200</v>
      </c>
      <c r="D16" s="71" t="s">
        <v>209</v>
      </c>
      <c r="E16" s="71" t="s">
        <v>210</v>
      </c>
      <c r="F16" s="71" t="s">
        <v>211</v>
      </c>
      <c r="G16" s="71" t="s">
        <v>212</v>
      </c>
      <c r="H16" s="71" t="s">
        <v>201</v>
      </c>
      <c r="I16" s="71" t="s">
        <v>213</v>
      </c>
      <c r="J16" s="71" t="s">
        <v>214</v>
      </c>
      <c r="K16" s="71" t="s">
        <v>215</v>
      </c>
      <c r="L16" s="71" t="s">
        <v>216</v>
      </c>
      <c r="M16" s="71" t="s">
        <v>217</v>
      </c>
      <c r="N16" s="70"/>
    </row>
    <row r="17" customFormat="false" ht="30" hidden="false" customHeight="true" outlineLevel="0" collapsed="false">
      <c r="B17" s="72" t="s">
        <v>191</v>
      </c>
      <c r="C17" s="72" t="s">
        <v>141</v>
      </c>
      <c r="D17" s="73" t="n">
        <f aca="false">VLOOKUP(C17,Componentes!$AA$3:$AC$17,2,FALSE())</f>
        <v>150.22</v>
      </c>
      <c r="E17" s="74" t="n">
        <f aca="false">VLOOKUP(C17,Componentes!$AA$3:$AC$17,3,FALSE())</f>
        <v>0.999</v>
      </c>
      <c r="F17" s="75" t="n">
        <f aca="false">$C$15*D17/(D17+I17)/E17</f>
        <v>5.00500500500501</v>
      </c>
      <c r="G17" s="76" t="n">
        <v>5.0064</v>
      </c>
      <c r="H17" s="72" t="s">
        <v>148</v>
      </c>
      <c r="I17" s="73" t="n">
        <f aca="false">VLOOKUP(H17,Componentes!$AA$3:$AC$17,2,FALSE())</f>
        <v>150.22</v>
      </c>
      <c r="J17" s="74" t="n">
        <f aca="false">VLOOKUP(H17,Componentes!$AA$3:$AC$17,3,FALSE())</f>
        <v>0.992</v>
      </c>
      <c r="K17" s="75" t="n">
        <f aca="false">$C$15*I17/(D17+I17)/J17</f>
        <v>5.04032258064516</v>
      </c>
      <c r="L17" s="76" t="n">
        <v>5.0469</v>
      </c>
      <c r="M17" s="77" t="n">
        <f aca="false">IF(AND(G17&lt;&gt;"",L17&lt;&gt;""),(G17*E17/D17)/(L17*J17/I17),"")</f>
        <v>0.998975097456823</v>
      </c>
      <c r="N17" s="70"/>
    </row>
    <row r="18" customFormat="false" ht="30" hidden="false" customHeight="true" outlineLevel="0" collapsed="false">
      <c r="B18" s="72" t="s">
        <v>192</v>
      </c>
      <c r="C18" s="72" t="s">
        <v>141</v>
      </c>
      <c r="D18" s="73" t="n">
        <f aca="false">VLOOKUP(C18,Componentes!$AA$3:$AC$17,2,FALSE())</f>
        <v>150.22</v>
      </c>
      <c r="E18" s="74" t="n">
        <f aca="false">VLOOKUP(C18,Componentes!$AA$3:$AC$17,3,FALSE())</f>
        <v>0.999</v>
      </c>
      <c r="F18" s="75" t="n">
        <f aca="false">$C$15*D18/(D18+I18)/E18</f>
        <v>4.93875818209907</v>
      </c>
      <c r="G18" s="76" t="n">
        <v>4.95</v>
      </c>
      <c r="H18" s="72" t="s">
        <v>163</v>
      </c>
      <c r="I18" s="73" t="n">
        <f aca="false">VLOOKUP(H18,Componentes!$AA$3:$AC$17,2,FALSE())</f>
        <v>154.25</v>
      </c>
      <c r="J18" s="74" t="n">
        <f aca="false">VLOOKUP(H18,Componentes!$AA$3:$AC$17,3,FALSE())</f>
        <v>0.989</v>
      </c>
      <c r="K18" s="75" t="n">
        <f aca="false">$C$15*I18/(D18+I18)/J18</f>
        <v>5.12252838835493</v>
      </c>
      <c r="L18" s="76" t="n">
        <v>5.1232</v>
      </c>
      <c r="M18" s="77" t="n">
        <f aca="false">IF(AND(G18&lt;&gt;"",L18&lt;&gt;""),(G18*E18/D18)/(L18*J18/I18),"")</f>
        <v>1.00214485322772</v>
      </c>
      <c r="N18" s="70"/>
    </row>
    <row r="19" customFormat="false" ht="30" hidden="false" customHeight="true" outlineLevel="0" collapsed="false">
      <c r="B19" s="72" t="s">
        <v>218</v>
      </c>
      <c r="C19" s="72" t="s">
        <v>141</v>
      </c>
      <c r="D19" s="73" t="n">
        <f aca="false">VLOOKUP(C19,Componentes!$AA$3:$AC$17,2,FALSE())</f>
        <v>150.22</v>
      </c>
      <c r="E19" s="74" t="n">
        <f aca="false">VLOOKUP(C19,Componentes!$AA$3:$AC$17,3,FALSE())</f>
        <v>0.999</v>
      </c>
      <c r="F19" s="75" t="n">
        <f aca="false">$C$15*D19/(D19+I19)/E19</f>
        <v>5.00500500500501</v>
      </c>
      <c r="G19" s="76" t="n">
        <v>5.0063</v>
      </c>
      <c r="H19" s="72" t="s">
        <v>170</v>
      </c>
      <c r="I19" s="73" t="n">
        <f aca="false">VLOOKUP(H19,Componentes!$AA$3:$AC$17,2,FALSE())</f>
        <v>150.22</v>
      </c>
      <c r="J19" s="74" t="n">
        <f aca="false">VLOOKUP(H19,Componentes!$AA$3:$AC$17,3,FALSE())</f>
        <v>0.997</v>
      </c>
      <c r="K19" s="75" t="n">
        <f aca="false">$C$15*I19/(D19+I19)/J19</f>
        <v>5.01504513540622</v>
      </c>
      <c r="L19" s="76" t="n">
        <v>5.0156</v>
      </c>
      <c r="M19" s="77" t="n">
        <f aca="false">IF(AND(G19&lt;&gt;"",L19&lt;&gt;""),(G19*E19/D19)/(L19*J19/I19),"")</f>
        <v>1.00014808361603</v>
      </c>
      <c r="N19" s="70"/>
    </row>
    <row r="20" customFormat="false" ht="30" hidden="false" customHeight="true" outlineLevel="0" collapsed="false">
      <c r="B20" s="78" t="s">
        <v>194</v>
      </c>
      <c r="C20" s="78" t="s">
        <v>141</v>
      </c>
      <c r="D20" s="79" t="n">
        <f aca="false">VLOOKUP(C20,Componentes!$AA$3:$AC$17,2,FALSE())</f>
        <v>150.22</v>
      </c>
      <c r="E20" s="80" t="n">
        <f aca="false">VLOOKUP(C20,Componentes!$AA$3:$AC$17,3,FALSE())</f>
        <v>0.999</v>
      </c>
      <c r="F20" s="81" t="n">
        <f aca="false">$C$15*D20/(D20+I20)/E20</f>
        <v>4.78246836620986</v>
      </c>
      <c r="G20" s="81"/>
      <c r="H20" s="78" t="s">
        <v>176</v>
      </c>
      <c r="I20" s="79" t="n">
        <f aca="false">VLOOKUP(H20,Componentes!$AA$3:$AC$17,2,FALSE())</f>
        <v>164.2</v>
      </c>
      <c r="J20" s="80" t="n">
        <f aca="false">VLOOKUP(H20,Componentes!$AA$3:$AC$17,3,FALSE())</f>
        <v>0.992</v>
      </c>
      <c r="K20" s="81" t="n">
        <f aca="false">$C$15*I20/(D20+I20)/J20</f>
        <v>5.26442953846406</v>
      </c>
      <c r="L20" s="81"/>
      <c r="M20" s="82" t="str">
        <f aca="false">IF(AND(G20&lt;&gt;"",L20&lt;&gt;""),(G20*E20/D20)/(L20*J20/I20),"")</f>
        <v/>
      </c>
      <c r="N20" s="70"/>
    </row>
    <row r="21" customFormat="false" ht="30" hidden="false" customHeight="true" outlineLevel="0" collapsed="false">
      <c r="B21" s="72" t="s">
        <v>219</v>
      </c>
      <c r="C21" s="72" t="s">
        <v>141</v>
      </c>
      <c r="D21" s="73" t="n">
        <f aca="false">VLOOKUP(C21,Componentes!$AA$3:$AC$17,2,FALSE())</f>
        <v>150.22</v>
      </c>
      <c r="E21" s="74" t="n">
        <f aca="false">VLOOKUP(C21,Componentes!$AA$3:$AC$17,3,FALSE())</f>
        <v>0.999</v>
      </c>
      <c r="F21" s="75" t="n">
        <f aca="false">$C$15*D21/(D21+I21)/E21</f>
        <v>4.97157873339848</v>
      </c>
      <c r="G21" s="76" t="n">
        <f aca="false">1.6711+1.6663+1.6953</f>
        <v>5.0327</v>
      </c>
      <c r="H21" s="72" t="s">
        <v>156</v>
      </c>
      <c r="I21" s="73" t="n">
        <f aca="false">VLOOKUP(H21,Componentes!$AA$3:$AC$17,2,FALSE())</f>
        <v>152.24</v>
      </c>
      <c r="J21" s="74" t="n">
        <f aca="false">VLOOKUP(H21,Componentes!$AA$3:$AC$17,3,FALSE())</f>
        <v>0.969</v>
      </c>
      <c r="K21" s="75" t="n">
        <f aca="false">$C$15*I21/(D21+I21)/J21</f>
        <v>5.19441986102675</v>
      </c>
      <c r="L21" s="76" t="n">
        <f aca="false">1.7344+1.7354+1.7709</f>
        <v>5.2407</v>
      </c>
      <c r="M21" s="77" t="n">
        <f aca="false">IF(AND(G21&lt;&gt;"",L21&lt;&gt;""),(G21*E21/D21)/(L21*J21/I21),"")</f>
        <v>1.00335466003125</v>
      </c>
      <c r="N21" s="70"/>
    </row>
    <row r="22" customFormat="false" ht="30" hidden="false" customHeight="true" outlineLevel="0" collapsed="false">
      <c r="B22" s="72" t="s">
        <v>195</v>
      </c>
      <c r="C22" s="72" t="s">
        <v>156</v>
      </c>
      <c r="D22" s="73" t="n">
        <f aca="false">VLOOKUP(C22,Componentes!$AA$3:$AC$17,2,FALSE())</f>
        <v>152.24</v>
      </c>
      <c r="E22" s="74" t="n">
        <f aca="false">VLOOKUP(C22,Componentes!$AA$3:$AC$17,3,FALSE())</f>
        <v>0.969</v>
      </c>
      <c r="F22" s="75" t="n">
        <f aca="false">$C$15*D22/(D22+I22)/E22</f>
        <v>5.19441986102675</v>
      </c>
      <c r="G22" s="76" t="n">
        <v>5.2014</v>
      </c>
      <c r="H22" s="72" t="s">
        <v>148</v>
      </c>
      <c r="I22" s="73" t="n">
        <f aca="false">VLOOKUP(H22,Componentes!$AA$3:$AC$17,2,FALSE())</f>
        <v>150.22</v>
      </c>
      <c r="J22" s="74" t="n">
        <f aca="false">VLOOKUP(H22,Componentes!$AA$3:$AC$17,3,FALSE())</f>
        <v>0.992</v>
      </c>
      <c r="K22" s="75" t="n">
        <f aca="false">$C$15*I22/(D22+I22)/J22</f>
        <v>5.00666043817044</v>
      </c>
      <c r="L22" s="76" t="n">
        <v>5.0074</v>
      </c>
      <c r="M22" s="77" t="n">
        <f aca="false">IF(AND(G22&lt;&gt;"",L22&lt;&gt;""),(G22*E22/D22)/(L22*J22/I22),"")</f>
        <v>1.00119588418278</v>
      </c>
      <c r="N22" s="70"/>
    </row>
    <row r="23" customFormat="false" ht="30" hidden="false" customHeight="true" outlineLevel="0" collapsed="false">
      <c r="B23" s="83" t="s">
        <v>196</v>
      </c>
      <c r="C23" s="83" t="s">
        <v>156</v>
      </c>
      <c r="D23" s="84" t="n">
        <f aca="false">VLOOKUP(C23,Componentes!$AA$3:$AC$17,2,FALSE())</f>
        <v>152.24</v>
      </c>
      <c r="E23" s="85" t="n">
        <f aca="false">VLOOKUP(C23,Componentes!$AA$3:$AC$17,3,FALSE())</f>
        <v>0.969</v>
      </c>
      <c r="F23" s="86" t="n">
        <f aca="false">$C$15*D23/(D23+I23)/E23</f>
        <v>5.12611906152289</v>
      </c>
      <c r="G23" s="86" t="n">
        <v>5.1236</v>
      </c>
      <c r="H23" s="83" t="s">
        <v>163</v>
      </c>
      <c r="I23" s="84" t="n">
        <f aca="false">VLOOKUP(H23,Componentes!$AA$3:$AC$17,2,FALSE())</f>
        <v>154.25</v>
      </c>
      <c r="J23" s="85" t="n">
        <f aca="false">VLOOKUP(H23,Componentes!$AA$3:$AC$17,3,FALSE())</f>
        <v>0.989</v>
      </c>
      <c r="K23" s="86" t="n">
        <f aca="false">$C$15*I23/(D23+I23)/J23</f>
        <v>5.08876706712267</v>
      </c>
      <c r="L23" s="86" t="n">
        <v>5.084</v>
      </c>
      <c r="M23" s="87" t="n">
        <f aca="false">IF(AND(G23&lt;&gt;"",L23&lt;&gt;""),(G23*E23/D23)/(L23*J23/I23),"")</f>
        <v>1.00044578304504</v>
      </c>
      <c r="N23" s="70" t="s">
        <v>220</v>
      </c>
    </row>
    <row r="24" customFormat="false" ht="30" hidden="false" customHeight="true" outlineLevel="0" collapsed="false">
      <c r="B24" s="78" t="s">
        <v>197</v>
      </c>
      <c r="C24" s="78" t="s">
        <v>156</v>
      </c>
      <c r="D24" s="79" t="n">
        <f aca="false">VLOOKUP(C24,Componentes!$AA$3:$AC$17,2,FALSE())</f>
        <v>152.24</v>
      </c>
      <c r="E24" s="80" t="n">
        <f aca="false">VLOOKUP(C24,Componentes!$AA$3:$AC$17,3,FALSE())</f>
        <v>0.969</v>
      </c>
      <c r="F24" s="81" t="n">
        <f aca="false">$C$15*D24/(D24+I24)/E24</f>
        <v>5.19441986102675</v>
      </c>
      <c r="G24" s="81"/>
      <c r="H24" s="78" t="s">
        <v>170</v>
      </c>
      <c r="I24" s="79" t="n">
        <f aca="false">VLOOKUP(H24,Componentes!$AA$3:$AC$17,2,FALSE())</f>
        <v>150.22</v>
      </c>
      <c r="J24" s="80" t="n">
        <f aca="false">VLOOKUP(H24,Componentes!$AA$3:$AC$17,3,FALSE())</f>
        <v>0.997</v>
      </c>
      <c r="K24" s="81" t="n">
        <f aca="false">$C$15*I24/(D24+I24)/J24</f>
        <v>4.98155181009537</v>
      </c>
      <c r="L24" s="81"/>
      <c r="M24" s="82" t="str">
        <f aca="false">IF(AND(G24&lt;&gt;"",L24&lt;&gt;""),(G24*E24/D24)/(L24*J24/I24),"")</f>
        <v/>
      </c>
      <c r="N24" s="70"/>
    </row>
    <row r="25" customFormat="false" ht="30" hidden="false" customHeight="true" outlineLevel="0" collapsed="false">
      <c r="B25" s="78" t="s">
        <v>198</v>
      </c>
      <c r="C25" s="78" t="s">
        <v>156</v>
      </c>
      <c r="D25" s="79" t="n">
        <f aca="false">VLOOKUP(C25,Componentes!$AA$3:$AC$17,2,FALSE())</f>
        <v>152.24</v>
      </c>
      <c r="E25" s="80" t="n">
        <f aca="false">VLOOKUP(C25,Componentes!$AA$3:$AC$17,3,FALSE())</f>
        <v>0.969</v>
      </c>
      <c r="F25" s="81" t="n">
        <f aca="false">$C$15*D25/(D25+I25)/E25</f>
        <v>4.96493563129235</v>
      </c>
      <c r="G25" s="81"/>
      <c r="H25" s="78" t="s">
        <v>176</v>
      </c>
      <c r="I25" s="79" t="n">
        <f aca="false">VLOOKUP(H25,Componentes!$AA$3:$AC$17,2,FALSE())</f>
        <v>164.2</v>
      </c>
      <c r="J25" s="80" t="n">
        <f aca="false">VLOOKUP(H25,Componentes!$AA$3:$AC$17,3,FALSE())</f>
        <v>0.992</v>
      </c>
      <c r="K25" s="81" t="n">
        <f aca="false">$C$15*I25/(D25+I25)/J25</f>
        <v>5.2308239649977</v>
      </c>
      <c r="L25" s="81"/>
      <c r="M25" s="82" t="str">
        <f aca="false">IF(AND(G25&lt;&gt;"",L25&lt;&gt;""),(G25*E25/D25)/(L25*J25/I25),"")</f>
        <v/>
      </c>
      <c r="N25" s="70"/>
    </row>
    <row r="26" customFormat="false" ht="20.25" hidden="false" customHeight="true" outlineLevel="0" collapsed="false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</row>
    <row r="27" customFormat="false" ht="20.25" hidden="false" customHeight="true" outlineLevel="0" collapsed="false">
      <c r="B27" s="88" t="s">
        <v>221</v>
      </c>
      <c r="C27" s="70"/>
      <c r="D27" s="70"/>
      <c r="E27" s="88" t="s">
        <v>222</v>
      </c>
      <c r="F27" s="70"/>
      <c r="G27" s="70"/>
      <c r="H27" s="70"/>
      <c r="I27" s="70"/>
      <c r="J27" s="70"/>
      <c r="K27" s="70"/>
      <c r="L27" s="70"/>
      <c r="M27" s="70"/>
      <c r="N27" s="70"/>
    </row>
    <row r="28" customFormat="false" ht="12.75" hidden="false" customHeight="true" outlineLevel="0" collapsed="false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</row>
  </sheetData>
  <printOptions headings="false" gridLines="false" gridLinesSet="true" horizontalCentered="true" verticalCentered="false"/>
  <pageMargins left="0.7" right="0.7" top="1.14375" bottom="1.143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7421875" defaultRowHeight="14.25" customHeight="false" zeroHeight="false" outlineLevelRow="0" outlineLevelCol="0"/>
  <sheetData>
    <row r="1" customFormat="false" ht="15" hidden="false" customHeight="false" outlineLevel="0" collapsed="false">
      <c r="A1" s="2" t="s">
        <v>223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customFormat="false" ht="14.25" hidden="false" customHeight="false" outlineLevel="0" collapsed="false">
      <c r="A2" s="70"/>
      <c r="B2" s="5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customFormat="false" ht="38.6" hidden="false" customHeight="false" outlineLevel="0" collapsed="false">
      <c r="A3" s="71" t="s">
        <v>208</v>
      </c>
      <c r="B3" s="71" t="s">
        <v>200</v>
      </c>
      <c r="C3" s="71" t="s">
        <v>209</v>
      </c>
      <c r="D3" s="71" t="s">
        <v>210</v>
      </c>
      <c r="E3" s="71" t="s">
        <v>211</v>
      </c>
      <c r="F3" s="71" t="s">
        <v>212</v>
      </c>
      <c r="G3" s="71" t="s">
        <v>201</v>
      </c>
      <c r="H3" s="71" t="s">
        <v>213</v>
      </c>
      <c r="I3" s="71" t="s">
        <v>214</v>
      </c>
      <c r="J3" s="71" t="s">
        <v>215</v>
      </c>
      <c r="K3" s="71" t="s">
        <v>216</v>
      </c>
      <c r="L3" s="71" t="s">
        <v>217</v>
      </c>
      <c r="N3" s="71" t="s">
        <v>208</v>
      </c>
      <c r="O3" s="71" t="s">
        <v>200</v>
      </c>
      <c r="P3" s="71" t="s">
        <v>209</v>
      </c>
      <c r="Q3" s="71" t="s">
        <v>210</v>
      </c>
      <c r="R3" s="71" t="s">
        <v>211</v>
      </c>
      <c r="S3" s="71" t="s">
        <v>212</v>
      </c>
      <c r="T3" s="71" t="s">
        <v>201</v>
      </c>
      <c r="U3" s="71" t="s">
        <v>213</v>
      </c>
      <c r="V3" s="71" t="s">
        <v>214</v>
      </c>
      <c r="W3" s="71" t="s">
        <v>215</v>
      </c>
      <c r="X3" s="71" t="s">
        <v>216</v>
      </c>
      <c r="Y3" s="71" t="s">
        <v>217</v>
      </c>
    </row>
    <row r="4" customFormat="false" ht="30" hidden="false" customHeight="true" outlineLevel="0" collapsed="false">
      <c r="A4" s="72" t="s">
        <v>191</v>
      </c>
      <c r="B4" s="72" t="s">
        <v>141</v>
      </c>
      <c r="C4" s="73" t="n">
        <f aca="false">VLOOKUP(B4,Componentes!$AA$3:$AC$17,2,FALSE())</f>
        <v>150.22</v>
      </c>
      <c r="D4" s="74" t="n">
        <f aca="false">VLOOKUP(B4,Componentes!$AA$3:$AC$17,3,FALSE())</f>
        <v>0.999</v>
      </c>
      <c r="E4" s="75" t="n">
        <f aca="false">$C$15*C4/(C4+H4)/D4</f>
        <v>2.5025025025025</v>
      </c>
      <c r="F4" s="76"/>
      <c r="G4" s="72" t="s">
        <v>148</v>
      </c>
      <c r="H4" s="73" t="n">
        <f aca="false">VLOOKUP(G4,Componentes!$AA$3:$AC$17,2,FALSE())</f>
        <v>150.22</v>
      </c>
      <c r="I4" s="74" t="n">
        <f aca="false">VLOOKUP(G4,Componentes!$AA$3:$AC$17,3,FALSE())</f>
        <v>0.992</v>
      </c>
      <c r="J4" s="75" t="n">
        <f aca="false">$C$15*H4/(C4+H4)/I4</f>
        <v>2.52016129032258</v>
      </c>
      <c r="K4" s="76"/>
      <c r="L4" s="77" t="str">
        <f aca="false">IF(AND(F4&lt;&gt;"",K4&lt;&gt;""),(F4*D4/C4)/(K4*I4/H4),"")</f>
        <v/>
      </c>
      <c r="N4" s="72" t="s">
        <v>194</v>
      </c>
      <c r="O4" s="72" t="s">
        <v>141</v>
      </c>
      <c r="P4" s="73" t="n">
        <f aca="false">VLOOKUP(O4,Componentes!$AA$3:$AC$17,2,FALSE())</f>
        <v>150.22</v>
      </c>
      <c r="Q4" s="74" t="n">
        <f aca="false">VLOOKUP(O4,Componentes!$AA$3:$AC$17,3,FALSE())</f>
        <v>0.999</v>
      </c>
      <c r="R4" s="75" t="n">
        <f aca="false">$C$15*P4/(P4+U4)/Q4</f>
        <v>2.39123418310493</v>
      </c>
      <c r="S4" s="76"/>
      <c r="T4" s="72" t="s">
        <v>176</v>
      </c>
      <c r="U4" s="73" t="n">
        <f aca="false">VLOOKUP(T4,Componentes!$AA$3:$AC$17,2,FALSE())</f>
        <v>164.2</v>
      </c>
      <c r="V4" s="74" t="n">
        <f aca="false">VLOOKUP(T4,Componentes!$AA$3:$AC$17,3,FALSE())</f>
        <v>0.992</v>
      </c>
      <c r="W4" s="75" t="n">
        <f aca="false">$C$15*U4/(P4+U4)/V4</f>
        <v>2.63221476923203</v>
      </c>
      <c r="X4" s="76"/>
      <c r="Y4" s="77" t="str">
        <f aca="false">IF(AND(S4&lt;&gt;"",X4&lt;&gt;""),(S4*Q4/P4)/(X4*V4/U4),"")</f>
        <v/>
      </c>
    </row>
    <row r="5" customFormat="false" ht="30" hidden="false" customHeight="true" outlineLevel="0" collapsed="false">
      <c r="A5" s="72" t="s">
        <v>192</v>
      </c>
      <c r="B5" s="72" t="s">
        <v>141</v>
      </c>
      <c r="C5" s="73" t="n">
        <f aca="false">VLOOKUP(B5,Componentes!$AA$3:$AC$17,2,FALSE())</f>
        <v>150.22</v>
      </c>
      <c r="D5" s="74" t="n">
        <f aca="false">VLOOKUP(B5,Componentes!$AA$3:$AC$17,3,FALSE())</f>
        <v>0.999</v>
      </c>
      <c r="E5" s="75" t="n">
        <f aca="false">$C$15*C5/(C5+H5)/D5</f>
        <v>2.46937909104954</v>
      </c>
      <c r="F5" s="76"/>
      <c r="G5" s="72" t="s">
        <v>163</v>
      </c>
      <c r="H5" s="73" t="n">
        <f aca="false">VLOOKUP(G5,Componentes!$AA$3:$AC$17,2,FALSE())</f>
        <v>154.25</v>
      </c>
      <c r="I5" s="74" t="n">
        <f aca="false">VLOOKUP(G5,Componentes!$AA$3:$AC$17,3,FALSE())</f>
        <v>0.989</v>
      </c>
      <c r="J5" s="75" t="n">
        <f aca="false">$C$15*H5/(C5+H5)/I5</f>
        <v>2.56126419417747</v>
      </c>
      <c r="K5" s="76"/>
      <c r="L5" s="77" t="str">
        <f aca="false">IF(AND(F5&lt;&gt;"",K5&lt;&gt;""),(F5*D5/C5)/(K5*I5/H5),"")</f>
        <v/>
      </c>
      <c r="N5" s="72" t="s">
        <v>197</v>
      </c>
      <c r="O5" s="72" t="s">
        <v>156</v>
      </c>
      <c r="P5" s="73" t="n">
        <f aca="false">VLOOKUP(O5,Componentes!$AA$3:$AC$17,2,FALSE())</f>
        <v>152.24</v>
      </c>
      <c r="Q5" s="74" t="n">
        <f aca="false">VLOOKUP(O5,Componentes!$AA$3:$AC$17,3,FALSE())</f>
        <v>0.969</v>
      </c>
      <c r="R5" s="75" t="n">
        <f aca="false">$C$15*P5/(P5+U5)/Q5</f>
        <v>2.59720993051337</v>
      </c>
      <c r="S5" s="76"/>
      <c r="T5" s="72" t="s">
        <v>170</v>
      </c>
      <c r="U5" s="73" t="n">
        <f aca="false">VLOOKUP(T5,Componentes!$AA$3:$AC$17,2,FALSE())</f>
        <v>150.22</v>
      </c>
      <c r="V5" s="74" t="n">
        <f aca="false">VLOOKUP(T5,Componentes!$AA$3:$AC$17,3,FALSE())</f>
        <v>0.997</v>
      </c>
      <c r="W5" s="75" t="n">
        <f aca="false">$C$15*U5/(P5+U5)/V5</f>
        <v>2.49077590504768</v>
      </c>
      <c r="X5" s="76"/>
      <c r="Y5" s="77" t="str">
        <f aca="false">IF(AND(S5&lt;&gt;"",X5&lt;&gt;""),(S5*Q5/P5)/(X5*V5/U5),"")</f>
        <v/>
      </c>
    </row>
    <row r="6" customFormat="false" ht="30" hidden="false" customHeight="true" outlineLevel="0" collapsed="false">
      <c r="A6" s="72" t="s">
        <v>218</v>
      </c>
      <c r="B6" s="72" t="s">
        <v>141</v>
      </c>
      <c r="C6" s="73" t="n">
        <f aca="false">VLOOKUP(B6,Componentes!$AA$3:$AC$17,2,FALSE())</f>
        <v>150.22</v>
      </c>
      <c r="D6" s="74" t="n">
        <f aca="false">VLOOKUP(B6,Componentes!$AA$3:$AC$17,3,FALSE())</f>
        <v>0.999</v>
      </c>
      <c r="E6" s="75" t="n">
        <f aca="false">$C$15*C6/(C6+H6)/D6</f>
        <v>2.5025025025025</v>
      </c>
      <c r="F6" s="76"/>
      <c r="G6" s="72" t="s">
        <v>170</v>
      </c>
      <c r="H6" s="73" t="n">
        <f aca="false">VLOOKUP(G6,Componentes!$AA$3:$AC$17,2,FALSE())</f>
        <v>150.22</v>
      </c>
      <c r="I6" s="74" t="n">
        <f aca="false">VLOOKUP(G6,Componentes!$AA$3:$AC$17,3,FALSE())</f>
        <v>0.997</v>
      </c>
      <c r="J6" s="75" t="n">
        <f aca="false">$C$15*H6/(C6+H6)/I6</f>
        <v>2.50752256770311</v>
      </c>
      <c r="K6" s="76"/>
      <c r="L6" s="77" t="str">
        <f aca="false">IF(AND(F6&lt;&gt;"",K6&lt;&gt;""),(F6*D6/C6)/(K6*I6/H6),"")</f>
        <v/>
      </c>
      <c r="N6" s="72" t="s">
        <v>198</v>
      </c>
      <c r="O6" s="72" t="s">
        <v>156</v>
      </c>
      <c r="P6" s="73" t="n">
        <f aca="false">VLOOKUP(O6,Componentes!$AA$3:$AC$17,2,FALSE())</f>
        <v>152.24</v>
      </c>
      <c r="Q6" s="74" t="n">
        <f aca="false">VLOOKUP(O6,Componentes!$AA$3:$AC$17,3,FALSE())</f>
        <v>0.969</v>
      </c>
      <c r="R6" s="75" t="n">
        <f aca="false">$C$15*P6/(P6+U6)/Q6</f>
        <v>2.48246781564617</v>
      </c>
      <c r="S6" s="76"/>
      <c r="T6" s="72" t="s">
        <v>176</v>
      </c>
      <c r="U6" s="73" t="n">
        <f aca="false">VLOOKUP(T6,Componentes!$AA$3:$AC$17,2,FALSE())</f>
        <v>164.2</v>
      </c>
      <c r="V6" s="74" t="n">
        <f aca="false">VLOOKUP(T6,Componentes!$AA$3:$AC$17,3,FALSE())</f>
        <v>0.992</v>
      </c>
      <c r="W6" s="75" t="n">
        <f aca="false">$C$15*U6/(P6+U6)/V6</f>
        <v>2.61541198249885</v>
      </c>
      <c r="X6" s="76"/>
      <c r="Y6" s="77" t="str">
        <f aca="false">IF(AND(S6&lt;&gt;"",X6&lt;&gt;""),(S6*Q6/P6)/(X6*V6/U6),"")</f>
        <v/>
      </c>
    </row>
    <row r="7" customFormat="false" ht="30" hidden="false" customHeight="true" outlineLevel="0" collapsed="false">
      <c r="A7" s="72" t="s">
        <v>194</v>
      </c>
      <c r="B7" s="72" t="s">
        <v>141</v>
      </c>
      <c r="C7" s="73" t="n">
        <f aca="false">VLOOKUP(B7,Componentes!$AA$3:$AC$17,2,FALSE())</f>
        <v>150.22</v>
      </c>
      <c r="D7" s="74" t="n">
        <f aca="false">VLOOKUP(B7,Componentes!$AA$3:$AC$17,3,FALSE())</f>
        <v>0.999</v>
      </c>
      <c r="E7" s="75" t="n">
        <f aca="false">$C$15*C7/(C7+H7)/D7</f>
        <v>2.39123418310493</v>
      </c>
      <c r="F7" s="76"/>
      <c r="G7" s="72" t="s">
        <v>176</v>
      </c>
      <c r="H7" s="73" t="n">
        <f aca="false">VLOOKUP(G7,Componentes!$AA$3:$AC$17,2,FALSE())</f>
        <v>164.2</v>
      </c>
      <c r="I7" s="74" t="n">
        <f aca="false">VLOOKUP(G7,Componentes!$AA$3:$AC$17,3,FALSE())</f>
        <v>0.992</v>
      </c>
      <c r="J7" s="75" t="n">
        <f aca="false">$C$15*H7/(C7+H7)/I7</f>
        <v>2.63221476923203</v>
      </c>
      <c r="K7" s="76"/>
      <c r="L7" s="77" t="str">
        <f aca="false">IF(AND(F7&lt;&gt;"",K7&lt;&gt;""),(F7*D7/C7)/(K7*I7/H7),"")</f>
        <v/>
      </c>
    </row>
    <row r="8" customFormat="false" ht="30" hidden="false" customHeight="true" outlineLevel="0" collapsed="false">
      <c r="A8" s="72" t="s">
        <v>219</v>
      </c>
      <c r="B8" s="72" t="s">
        <v>141</v>
      </c>
      <c r="C8" s="73" t="n">
        <f aca="false">VLOOKUP(B8,Componentes!$AA$3:$AC$17,2,FALSE())</f>
        <v>150.22</v>
      </c>
      <c r="D8" s="74" t="n">
        <f aca="false">VLOOKUP(B8,Componentes!$AA$3:$AC$17,3,FALSE())</f>
        <v>0.999</v>
      </c>
      <c r="E8" s="75" t="n">
        <f aca="false">$C$15*C8/(C8+H8)/D8</f>
        <v>2.48578936669924</v>
      </c>
      <c r="F8" s="76"/>
      <c r="G8" s="72" t="s">
        <v>156</v>
      </c>
      <c r="H8" s="73" t="n">
        <f aca="false">VLOOKUP(G8,Componentes!$AA$3:$AC$17,2,FALSE())</f>
        <v>152.24</v>
      </c>
      <c r="I8" s="74" t="n">
        <f aca="false">VLOOKUP(G8,Componentes!$AA$3:$AC$17,3,FALSE())</f>
        <v>0.969</v>
      </c>
      <c r="J8" s="75" t="n">
        <f aca="false">$C$15*H8/(C8+H8)/I8</f>
        <v>2.59720993051337</v>
      </c>
      <c r="K8" s="76"/>
      <c r="L8" s="77" t="str">
        <f aca="false">IF(AND(F8&lt;&gt;"",K8&lt;&gt;""),(F8*D8/C8)/(K8*I8/H8),"")</f>
        <v/>
      </c>
    </row>
    <row r="9" customFormat="false" ht="30" hidden="false" customHeight="true" outlineLevel="0" collapsed="false">
      <c r="A9" s="72" t="s">
        <v>195</v>
      </c>
      <c r="B9" s="72" t="s">
        <v>156</v>
      </c>
      <c r="C9" s="73" t="n">
        <f aca="false">VLOOKUP(B9,Componentes!$AA$3:$AC$17,2,FALSE())</f>
        <v>152.24</v>
      </c>
      <c r="D9" s="74" t="n">
        <f aca="false">VLOOKUP(B9,Componentes!$AA$3:$AC$17,3,FALSE())</f>
        <v>0.969</v>
      </c>
      <c r="E9" s="75" t="n">
        <f aca="false">$C$15*C9/(C9+H9)/D9</f>
        <v>2.59720993051337</v>
      </c>
      <c r="F9" s="76"/>
      <c r="G9" s="72" t="s">
        <v>148</v>
      </c>
      <c r="H9" s="73" t="n">
        <f aca="false">VLOOKUP(G9,Componentes!$AA$3:$AC$17,2,FALSE())</f>
        <v>150.22</v>
      </c>
      <c r="I9" s="74" t="n">
        <f aca="false">VLOOKUP(G9,Componentes!$AA$3:$AC$17,3,FALSE())</f>
        <v>0.992</v>
      </c>
      <c r="J9" s="75" t="n">
        <f aca="false">$C$15*H9/(C9+H9)/I9</f>
        <v>2.50333021908522</v>
      </c>
      <c r="K9" s="76"/>
      <c r="L9" s="77" t="str">
        <f aca="false">IF(AND(F9&lt;&gt;"",K9&lt;&gt;""),(F9*D9/C9)/(K9*I9/H9),"")</f>
        <v/>
      </c>
    </row>
    <row r="10" customFormat="false" ht="30" hidden="false" customHeight="true" outlineLevel="0" collapsed="false">
      <c r="A10" s="83" t="s">
        <v>196</v>
      </c>
      <c r="B10" s="83" t="s">
        <v>156</v>
      </c>
      <c r="C10" s="84" t="n">
        <f aca="false">VLOOKUP(B10,Componentes!$AA$3:$AC$17,2,FALSE())</f>
        <v>152.24</v>
      </c>
      <c r="D10" s="85" t="n">
        <f aca="false">VLOOKUP(B10,Componentes!$AA$3:$AC$17,3,FALSE())</f>
        <v>0.969</v>
      </c>
      <c r="E10" s="86" t="n">
        <f aca="false">$C$15*C10/(C10+H10)/D10</f>
        <v>2.56305953076145</v>
      </c>
      <c r="F10" s="86"/>
      <c r="G10" s="83" t="s">
        <v>163</v>
      </c>
      <c r="H10" s="84" t="n">
        <f aca="false">VLOOKUP(G10,Componentes!$AA$3:$AC$17,2,FALSE())</f>
        <v>154.25</v>
      </c>
      <c r="I10" s="85" t="n">
        <f aca="false">VLOOKUP(G10,Componentes!$AA$3:$AC$17,3,FALSE())</f>
        <v>0.989</v>
      </c>
      <c r="J10" s="86" t="n">
        <f aca="false">$C$15*H10/(C10+H10)/I10</f>
        <v>2.54438353356133</v>
      </c>
      <c r="K10" s="86"/>
      <c r="L10" s="87" t="str">
        <f aca="false">IF(AND(F10&lt;&gt;"",K10&lt;&gt;""),(F10*D10/C10)/(K10*I10/H10),"")</f>
        <v/>
      </c>
    </row>
    <row r="11" customFormat="false" ht="30" hidden="false" customHeight="true" outlineLevel="0" collapsed="false">
      <c r="A11" s="72" t="s">
        <v>197</v>
      </c>
      <c r="B11" s="72" t="s">
        <v>156</v>
      </c>
      <c r="C11" s="73" t="n">
        <f aca="false">VLOOKUP(B11,Componentes!$AA$3:$AC$17,2,FALSE())</f>
        <v>152.24</v>
      </c>
      <c r="D11" s="74" t="n">
        <f aca="false">VLOOKUP(B11,Componentes!$AA$3:$AC$17,3,FALSE())</f>
        <v>0.969</v>
      </c>
      <c r="E11" s="75" t="n">
        <f aca="false">$C$15*C11/(C11+H11)/D11</f>
        <v>2.59720993051337</v>
      </c>
      <c r="F11" s="76"/>
      <c r="G11" s="72" t="s">
        <v>170</v>
      </c>
      <c r="H11" s="73" t="n">
        <f aca="false">VLOOKUP(G11,Componentes!$AA$3:$AC$17,2,FALSE())</f>
        <v>150.22</v>
      </c>
      <c r="I11" s="74" t="n">
        <f aca="false">VLOOKUP(G11,Componentes!$AA$3:$AC$17,3,FALSE())</f>
        <v>0.997</v>
      </c>
      <c r="J11" s="75" t="n">
        <f aca="false">$C$15*H11/(C11+H11)/I11</f>
        <v>2.49077590504768</v>
      </c>
      <c r="K11" s="76"/>
      <c r="L11" s="77" t="str">
        <f aca="false">IF(AND(F11&lt;&gt;"",K11&lt;&gt;""),(F11*D11/C11)/(K11*I11/H11),"")</f>
        <v/>
      </c>
    </row>
    <row r="12" customFormat="false" ht="30" hidden="false" customHeight="true" outlineLevel="0" collapsed="false">
      <c r="A12" s="72" t="s">
        <v>198</v>
      </c>
      <c r="B12" s="72" t="s">
        <v>156</v>
      </c>
      <c r="C12" s="73" t="n">
        <f aca="false">VLOOKUP(B12,Componentes!$AA$3:$AC$17,2,FALSE())</f>
        <v>152.24</v>
      </c>
      <c r="D12" s="74" t="n">
        <f aca="false">VLOOKUP(B12,Componentes!$AA$3:$AC$17,3,FALSE())</f>
        <v>0.969</v>
      </c>
      <c r="E12" s="75" t="n">
        <f aca="false">$C$15*C12/(C12+H12)/D12</f>
        <v>2.48246781564617</v>
      </c>
      <c r="F12" s="76"/>
      <c r="G12" s="72" t="s">
        <v>176</v>
      </c>
      <c r="H12" s="73" t="n">
        <f aca="false">VLOOKUP(G12,Componentes!$AA$3:$AC$17,2,FALSE())</f>
        <v>164.2</v>
      </c>
      <c r="I12" s="74" t="n">
        <f aca="false">VLOOKUP(G12,Componentes!$AA$3:$AC$17,3,FALSE())</f>
        <v>0.992</v>
      </c>
      <c r="J12" s="75" t="n">
        <f aca="false">$C$15*H12/(C12+H12)/I12</f>
        <v>2.61541198249885</v>
      </c>
      <c r="K12" s="76"/>
      <c r="L12" s="77" t="str">
        <f aca="false">IF(AND(F12&lt;&gt;"",K12&lt;&gt;""),(F12*D12/C12)/(K12*I12/H12),"")</f>
        <v/>
      </c>
    </row>
    <row r="15" customFormat="false" ht="14.25" hidden="false" customHeight="false" outlineLevel="0" collapsed="false">
      <c r="C15" s="0" t="n">
        <v>5</v>
      </c>
    </row>
  </sheetData>
  <printOptions headings="false" gridLines="false" gridLinesSet="true" horizontalCentered="true" verticalCentered="tru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6" min="6" style="0" width="5"/>
    <col collapsed="false" customWidth="true" hidden="false" outlineLevel="0" max="10" min="7" style="0" width="12"/>
    <col collapsed="false" customWidth="true" hidden="false" outlineLevel="0" max="14" min="11" style="0" width="14"/>
  </cols>
  <sheetData>
    <row r="1" customFormat="false" ht="15" hidden="false" customHeight="true" outlineLevel="0" collapsed="false">
      <c r="A1" s="89" t="s">
        <v>224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customFormat="false" ht="15" hidden="false" customHeight="true" outlineLevel="0" collapsed="false">
      <c r="A2" s="90" t="s">
        <v>225</v>
      </c>
      <c r="B2" s="91" t="n">
        <v>100</v>
      </c>
      <c r="C2" s="92" t="s">
        <v>226</v>
      </c>
    </row>
    <row r="3" customFormat="false" ht="15" hidden="false" customHeight="true" outlineLevel="0" collapsed="false">
      <c r="A3" s="93" t="s">
        <v>227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5" customFormat="false" ht="15" hidden="false" customHeight="true" outlineLevel="0" collapsed="false">
      <c r="A5" s="94" t="s">
        <v>228</v>
      </c>
      <c r="B5" s="94" t="s">
        <v>208</v>
      </c>
      <c r="C5" s="94" t="s">
        <v>200</v>
      </c>
      <c r="D5" s="94" t="s">
        <v>201</v>
      </c>
      <c r="E5" s="94" t="s">
        <v>229</v>
      </c>
      <c r="F5" s="94" t="s">
        <v>230</v>
      </c>
      <c r="G5" s="94" t="s">
        <v>231</v>
      </c>
      <c r="H5" s="94" t="s">
        <v>232</v>
      </c>
      <c r="I5" s="94" t="s">
        <v>233</v>
      </c>
      <c r="J5" s="94" t="s">
        <v>234</v>
      </c>
      <c r="K5" s="94" t="s">
        <v>235</v>
      </c>
      <c r="L5" s="94" t="s">
        <v>236</v>
      </c>
      <c r="M5" s="94" t="s">
        <v>237</v>
      </c>
      <c r="N5" s="94" t="s">
        <v>238</v>
      </c>
    </row>
    <row r="6" customFormat="false" ht="15" hidden="false" customHeight="true" outlineLevel="0" collapsed="false">
      <c r="A6" s="95" t="n">
        <v>1</v>
      </c>
      <c r="B6" s="96" t="s">
        <v>191</v>
      </c>
      <c r="C6" s="95" t="s">
        <v>142</v>
      </c>
      <c r="D6" s="95" t="s">
        <v>202</v>
      </c>
      <c r="E6" s="95" t="s">
        <v>239</v>
      </c>
      <c r="F6" s="95" t="n">
        <v>1</v>
      </c>
      <c r="G6" s="97" t="n">
        <v>0.02048</v>
      </c>
      <c r="H6" s="97" t="n">
        <v>0.47645</v>
      </c>
      <c r="I6" s="97" t="n">
        <v>0.50307</v>
      </c>
      <c r="J6" s="98" t="n">
        <f aca="false">IF(G6="","",G6+H6+I6)</f>
        <v>1</v>
      </c>
      <c r="K6" s="98" t="n">
        <f aca="false">IF(G6="","",G6*$B$2)</f>
        <v>2.048</v>
      </c>
      <c r="L6" s="98" t="n">
        <f aca="false">IF(H6="","",H6*$B$2)</f>
        <v>47.645</v>
      </c>
      <c r="M6" s="98" t="n">
        <f aca="false">IF(I6="","",I6*$B$2)</f>
        <v>50.307</v>
      </c>
      <c r="N6" s="98" t="n">
        <f aca="false">IF(K6="","",K6+L6+M6)</f>
        <v>100</v>
      </c>
    </row>
    <row r="7" customFormat="false" ht="15" hidden="false" customHeight="true" outlineLevel="0" collapsed="false">
      <c r="A7" s="95" t="n">
        <v>2</v>
      </c>
      <c r="B7" s="95"/>
      <c r="C7" s="95"/>
      <c r="D7" s="95"/>
      <c r="E7" s="95" t="s">
        <v>239</v>
      </c>
      <c r="F7" s="95" t="n">
        <v>2</v>
      </c>
      <c r="G7" s="97" t="n">
        <v>0.47529</v>
      </c>
      <c r="H7" s="97" t="n">
        <v>0.02048</v>
      </c>
      <c r="I7" s="97" t="n">
        <v>0.50422</v>
      </c>
      <c r="J7" s="98" t="n">
        <f aca="false">IF(G7="","",G7+H7+I7)</f>
        <v>0.99999</v>
      </c>
      <c r="K7" s="98" t="n">
        <f aca="false">IF(G7="","",G7*$B$2)</f>
        <v>47.529</v>
      </c>
      <c r="L7" s="98" t="n">
        <f aca="false">IF(H7="","",H7*$B$2)</f>
        <v>2.048</v>
      </c>
      <c r="M7" s="98" t="n">
        <f aca="false">IF(I7="","",I7*$B$2)</f>
        <v>50.422</v>
      </c>
      <c r="N7" s="98" t="n">
        <f aca="false">IF(K7="","",K7+L7+M7)</f>
        <v>99.999</v>
      </c>
    </row>
    <row r="8" customFormat="false" ht="15" hidden="false" customHeight="true" outlineLevel="0" collapsed="false">
      <c r="A8" s="95" t="n">
        <v>3</v>
      </c>
      <c r="B8" s="95"/>
      <c r="C8" s="95"/>
      <c r="D8" s="95"/>
      <c r="E8" s="95" t="s">
        <v>239</v>
      </c>
      <c r="F8" s="95" t="n">
        <v>3</v>
      </c>
      <c r="G8" s="97" t="n">
        <v>0.24503</v>
      </c>
      <c r="H8" s="97" t="n">
        <v>0.25452</v>
      </c>
      <c r="I8" s="97" t="n">
        <v>0.50045</v>
      </c>
      <c r="J8" s="98" t="n">
        <f aca="false">IF(G8="","",G8+H8+I8)</f>
        <v>1</v>
      </c>
      <c r="K8" s="98" t="n">
        <f aca="false">IF(G8="","",G8*$B$2)</f>
        <v>24.503</v>
      </c>
      <c r="L8" s="98" t="n">
        <f aca="false">IF(H8="","",H8*$B$2)</f>
        <v>25.452</v>
      </c>
      <c r="M8" s="98" t="n">
        <f aca="false">IF(I8="","",I8*$B$2)</f>
        <v>50.045</v>
      </c>
      <c r="N8" s="98" t="n">
        <f aca="false">IF(K8="","",K8+L8+M8)</f>
        <v>100</v>
      </c>
    </row>
    <row r="9" customFormat="false" ht="15" hidden="false" customHeight="true" outlineLevel="0" collapsed="false">
      <c r="A9" s="95" t="n">
        <v>4</v>
      </c>
      <c r="B9" s="95"/>
      <c r="C9" s="95"/>
      <c r="D9" s="95"/>
      <c r="E9" s="95" t="s">
        <v>239</v>
      </c>
      <c r="F9" s="95" t="n">
        <v>4</v>
      </c>
      <c r="G9" s="97" t="n">
        <v>0.13276</v>
      </c>
      <c r="H9" s="97" t="n">
        <v>0.36622</v>
      </c>
      <c r="I9" s="97" t="n">
        <v>0.50102</v>
      </c>
      <c r="J9" s="98" t="n">
        <f aca="false">IF(G9="","",G9+H9+I9)</f>
        <v>1</v>
      </c>
      <c r="K9" s="98" t="n">
        <f aca="false">IF(G9="","",G9*$B$2)</f>
        <v>13.276</v>
      </c>
      <c r="L9" s="98" t="n">
        <f aca="false">IF(H9="","",H9*$B$2)</f>
        <v>36.622</v>
      </c>
      <c r="M9" s="98" t="n">
        <f aca="false">IF(I9="","",I9*$B$2)</f>
        <v>50.102</v>
      </c>
      <c r="N9" s="98" t="n">
        <f aca="false">IF(K9="","",K9+L9+M9)</f>
        <v>100</v>
      </c>
    </row>
    <row r="10" customFormat="false" ht="15" hidden="false" customHeight="true" outlineLevel="0" collapsed="false">
      <c r="A10" s="95" t="n">
        <v>5</v>
      </c>
      <c r="B10" s="95"/>
      <c r="C10" s="95"/>
      <c r="D10" s="95"/>
      <c r="E10" s="95" t="s">
        <v>239</v>
      </c>
      <c r="F10" s="95" t="n">
        <v>5</v>
      </c>
      <c r="G10" s="97" t="n">
        <v>0.35944</v>
      </c>
      <c r="H10" s="97" t="n">
        <v>0.13914</v>
      </c>
      <c r="I10" s="97" t="n">
        <v>0.50142</v>
      </c>
      <c r="J10" s="98" t="n">
        <f aca="false">IF(G10="","",G10+H10+I10)</f>
        <v>1</v>
      </c>
      <c r="K10" s="98" t="n">
        <f aca="false">IF(G10="","",G10*$B$2)</f>
        <v>35.944</v>
      </c>
      <c r="L10" s="98" t="n">
        <f aca="false">IF(H10="","",H10*$B$2)</f>
        <v>13.914</v>
      </c>
      <c r="M10" s="98" t="n">
        <f aca="false">IF(I10="","",I10*$B$2)</f>
        <v>50.142</v>
      </c>
      <c r="N10" s="98" t="n">
        <f aca="false">IF(K10="","",K10+L10+M10)</f>
        <v>100</v>
      </c>
    </row>
    <row r="12" customFormat="false" ht="15" hidden="false" customHeight="true" outlineLevel="0" collapsed="false">
      <c r="A12" s="95" t="n">
        <v>6</v>
      </c>
      <c r="B12" s="96" t="s">
        <v>192</v>
      </c>
      <c r="C12" s="95" t="s">
        <v>142</v>
      </c>
      <c r="D12" s="95" t="s">
        <v>164</v>
      </c>
      <c r="E12" s="95" t="s">
        <v>239</v>
      </c>
      <c r="F12" s="95" t="n">
        <v>1</v>
      </c>
      <c r="G12" s="97" t="n">
        <v>0.47452</v>
      </c>
      <c r="H12" s="97" t="n">
        <v>0.02001</v>
      </c>
      <c r="I12" s="97" t="n">
        <v>0.50547</v>
      </c>
      <c r="J12" s="98" t="n">
        <f aca="false">IF(G12="","",G12+H12+I12)</f>
        <v>1</v>
      </c>
      <c r="K12" s="98" t="n">
        <f aca="false">IF(G12="","",G12*$B$2)</f>
        <v>47.452</v>
      </c>
      <c r="L12" s="98" t="n">
        <f aca="false">IF(H12="","",H12*$B$2)</f>
        <v>2.001</v>
      </c>
      <c r="M12" s="98" t="n">
        <f aca="false">IF(I12="","",I12*$B$2)</f>
        <v>50.547</v>
      </c>
      <c r="N12" s="98" t="n">
        <f aca="false">IF(K12="","",K12+L12+M12)</f>
        <v>100</v>
      </c>
    </row>
    <row r="13" customFormat="false" ht="15" hidden="false" customHeight="true" outlineLevel="0" collapsed="false">
      <c r="A13" s="95" t="n">
        <v>7</v>
      </c>
      <c r="B13" s="95"/>
      <c r="C13" s="95"/>
      <c r="D13" s="95"/>
      <c r="E13" s="95" t="s">
        <v>239</v>
      </c>
      <c r="F13" s="95" t="n">
        <v>2</v>
      </c>
      <c r="G13" s="97" t="n">
        <v>0.02072</v>
      </c>
      <c r="H13" s="97" t="n">
        <v>0.45539</v>
      </c>
      <c r="I13" s="97" t="n">
        <v>0.52389</v>
      </c>
      <c r="J13" s="98" t="n">
        <f aca="false">IF(G13="","",G13+H13+I13)</f>
        <v>1</v>
      </c>
      <c r="K13" s="98" t="n">
        <f aca="false">IF(G13="","",G13*$B$2)</f>
        <v>2.072</v>
      </c>
      <c r="L13" s="98" t="n">
        <f aca="false">IF(H13="","",H13*$B$2)</f>
        <v>45.539</v>
      </c>
      <c r="M13" s="98" t="n">
        <f aca="false">IF(I13="","",I13*$B$2)</f>
        <v>52.389</v>
      </c>
      <c r="N13" s="98" t="n">
        <f aca="false">IF(K13="","",K13+L13+M13)</f>
        <v>100</v>
      </c>
    </row>
    <row r="14" customFormat="false" ht="15" hidden="false" customHeight="true" outlineLevel="0" collapsed="false">
      <c r="A14" s="95" t="n">
        <v>8</v>
      </c>
      <c r="B14" s="95"/>
      <c r="C14" s="95"/>
      <c r="D14" s="95"/>
      <c r="E14" s="95" t="s">
        <v>239</v>
      </c>
      <c r="F14" s="95" t="n">
        <v>3</v>
      </c>
      <c r="G14" s="97" t="n">
        <v>0.24795</v>
      </c>
      <c r="H14" s="97" t="n">
        <v>0.23883</v>
      </c>
      <c r="I14" s="97" t="n">
        <v>0.51322</v>
      </c>
      <c r="J14" s="98" t="n">
        <f aca="false">IF(G14="","",G14+H14+I14)</f>
        <v>1</v>
      </c>
      <c r="K14" s="98" t="n">
        <f aca="false">IF(G14="","",G14*$B$2)</f>
        <v>24.795</v>
      </c>
      <c r="L14" s="98" t="n">
        <f aca="false">IF(H14="","",H14*$B$2)</f>
        <v>23.883</v>
      </c>
      <c r="M14" s="98" t="n">
        <f aca="false">IF(I14="","",I14*$B$2)</f>
        <v>51.322</v>
      </c>
      <c r="N14" s="98" t="n">
        <f aca="false">IF(K14="","",K14+L14+M14)</f>
        <v>100</v>
      </c>
    </row>
    <row r="15" customFormat="false" ht="15" hidden="false" customHeight="true" outlineLevel="0" collapsed="false">
      <c r="A15" s="95" t="n">
        <v>9</v>
      </c>
      <c r="B15" s="95"/>
      <c r="C15" s="95"/>
      <c r="D15" s="95"/>
      <c r="E15" s="95" t="s">
        <v>239</v>
      </c>
      <c r="F15" s="95" t="n">
        <v>4</v>
      </c>
      <c r="G15" s="97" t="n">
        <v>0.13477</v>
      </c>
      <c r="H15" s="97" t="n">
        <v>0.34704</v>
      </c>
      <c r="I15" s="97" t="n">
        <v>0.51819</v>
      </c>
      <c r="J15" s="98" t="n">
        <f aca="false">IF(G15="","",G15+H15+I15)</f>
        <v>1</v>
      </c>
      <c r="K15" s="98" t="n">
        <f aca="false">IF(G15="","",G15*$B$2)</f>
        <v>13.477</v>
      </c>
      <c r="L15" s="98" t="n">
        <f aca="false">IF(H15="","",H15*$B$2)</f>
        <v>34.704</v>
      </c>
      <c r="M15" s="98" t="n">
        <f aca="false">IF(I15="","",I15*$B$2)</f>
        <v>51.819</v>
      </c>
      <c r="N15" s="98" t="n">
        <f aca="false">IF(K15="","",K15+L15+M15)</f>
        <v>100</v>
      </c>
    </row>
    <row r="16" customFormat="false" ht="15" hidden="false" customHeight="true" outlineLevel="0" collapsed="false">
      <c r="A16" s="95" t="n">
        <v>10</v>
      </c>
      <c r="B16" s="95"/>
      <c r="C16" s="95"/>
      <c r="D16" s="95"/>
      <c r="E16" s="95" t="s">
        <v>239</v>
      </c>
      <c r="F16" s="95" t="n">
        <v>5</v>
      </c>
      <c r="G16" s="97" t="n">
        <v>0.36056</v>
      </c>
      <c r="H16" s="97" t="n">
        <v>0.13046</v>
      </c>
      <c r="I16" s="97" t="n">
        <v>0.50898</v>
      </c>
      <c r="J16" s="98" t="n">
        <f aca="false">IF(G16="","",G16+H16+I16)</f>
        <v>1</v>
      </c>
      <c r="K16" s="98" t="n">
        <f aca="false">IF(G16="","",G16*$B$2)</f>
        <v>36.056</v>
      </c>
      <c r="L16" s="98" t="n">
        <f aca="false">IF(H16="","",H16*$B$2)</f>
        <v>13.046</v>
      </c>
      <c r="M16" s="98" t="n">
        <f aca="false">IF(I16="","",I16*$B$2)</f>
        <v>50.898</v>
      </c>
      <c r="N16" s="98" t="n">
        <f aca="false">IF(K16="","",K16+L16+M16)</f>
        <v>100</v>
      </c>
    </row>
    <row r="18" customFormat="false" ht="15" hidden="false" customHeight="true" outlineLevel="0" collapsed="false">
      <c r="A18" s="95" t="n">
        <v>11</v>
      </c>
      <c r="B18" s="96" t="s">
        <v>218</v>
      </c>
      <c r="C18" s="95" t="s">
        <v>142</v>
      </c>
      <c r="D18" s="95" t="s">
        <v>171</v>
      </c>
      <c r="E18" s="95" t="s">
        <v>239</v>
      </c>
      <c r="F18" s="95" t="n">
        <v>1</v>
      </c>
      <c r="G18" s="97" t="n">
        <v>0.47439</v>
      </c>
      <c r="H18" s="97" t="n">
        <v>0.02051</v>
      </c>
      <c r="I18" s="97" t="n">
        <v>0.5051</v>
      </c>
      <c r="J18" s="98" t="n">
        <f aca="false">IF(G18="","",G18+H18+I18)</f>
        <v>1</v>
      </c>
      <c r="K18" s="98" t="n">
        <f aca="false">IF(G18="","",G18*$B$2)</f>
        <v>47.439</v>
      </c>
      <c r="L18" s="98" t="n">
        <f aca="false">IF(H18="","",H18*$B$2)</f>
        <v>2.051</v>
      </c>
      <c r="M18" s="98" t="n">
        <f aca="false">IF(I18="","",I18*$B$2)</f>
        <v>50.51</v>
      </c>
      <c r="N18" s="98" t="n">
        <f aca="false">IF(K18="","",K18+L18+M18)</f>
        <v>100</v>
      </c>
    </row>
    <row r="19" customFormat="false" ht="15" hidden="false" customHeight="true" outlineLevel="0" collapsed="false">
      <c r="A19" s="95" t="n">
        <v>12</v>
      </c>
      <c r="B19" s="95"/>
      <c r="C19" s="95"/>
      <c r="D19" s="95"/>
      <c r="E19" s="95" t="s">
        <v>239</v>
      </c>
      <c r="F19" s="95" t="n">
        <v>2</v>
      </c>
      <c r="G19" s="97" t="n">
        <v>0.02032</v>
      </c>
      <c r="H19" s="97" t="n">
        <v>0.46755</v>
      </c>
      <c r="I19" s="97" t="n">
        <v>0.51214</v>
      </c>
      <c r="J19" s="98" t="n">
        <f aca="false">IF(G19="","",G19+H19+I19)</f>
        <v>1.00001</v>
      </c>
      <c r="K19" s="98" t="n">
        <f aca="false">IF(G19="","",G19*$B$2)</f>
        <v>2.032</v>
      </c>
      <c r="L19" s="98" t="n">
        <f aca="false">IF(H19="","",H19*$B$2)</f>
        <v>46.755</v>
      </c>
      <c r="M19" s="98" t="n">
        <f aca="false">IF(I19="","",I19*$B$2)</f>
        <v>51.214</v>
      </c>
      <c r="N19" s="98" t="n">
        <f aca="false">IF(K19="","",K19+L19+M19)</f>
        <v>100.001</v>
      </c>
    </row>
    <row r="20" customFormat="false" ht="15" hidden="false" customHeight="true" outlineLevel="0" collapsed="false">
      <c r="A20" s="95" t="n">
        <v>13</v>
      </c>
      <c r="B20" s="95"/>
      <c r="C20" s="95"/>
      <c r="D20" s="95"/>
      <c r="E20" s="95" t="s">
        <v>239</v>
      </c>
      <c r="F20" s="95" t="n">
        <v>3</v>
      </c>
      <c r="G20" s="97" t="n">
        <v>0.2465</v>
      </c>
      <c r="H20" s="97" t="n">
        <v>0.24556</v>
      </c>
      <c r="I20" s="97" t="n">
        <v>0.50794</v>
      </c>
      <c r="J20" s="98" t="n">
        <f aca="false">IF(G20="","",G20+H20+I20)</f>
        <v>1</v>
      </c>
      <c r="K20" s="98" t="n">
        <f aca="false">IF(G20="","",G20*$B$2)</f>
        <v>24.65</v>
      </c>
      <c r="L20" s="98" t="n">
        <f aca="false">IF(H20="","",H20*$B$2)</f>
        <v>24.556</v>
      </c>
      <c r="M20" s="98" t="n">
        <f aca="false">IF(I20="","",I20*$B$2)</f>
        <v>50.794</v>
      </c>
      <c r="N20" s="98" t="n">
        <f aca="false">IF(K20="","",K20+L20+M20)</f>
        <v>100</v>
      </c>
    </row>
    <row r="21" customFormat="false" ht="15" hidden="false" customHeight="true" outlineLevel="0" collapsed="false">
      <c r="A21" s="95" t="n">
        <v>14</v>
      </c>
      <c r="B21" s="95"/>
      <c r="C21" s="95"/>
      <c r="D21" s="95"/>
      <c r="E21" s="95" t="s">
        <v>239</v>
      </c>
      <c r="F21" s="95" t="n">
        <v>4</v>
      </c>
      <c r="G21" s="97" t="n">
        <v>0.1329</v>
      </c>
      <c r="H21" s="97" t="n">
        <v>0.35721</v>
      </c>
      <c r="I21" s="97" t="n">
        <v>0.50989</v>
      </c>
      <c r="J21" s="98" t="n">
        <f aca="false">IF(G21="","",G21+H21+I21)</f>
        <v>1</v>
      </c>
      <c r="K21" s="98" t="n">
        <f aca="false">IF(G21="","",G21*$B$2)</f>
        <v>13.29</v>
      </c>
      <c r="L21" s="98" t="n">
        <f aca="false">IF(H21="","",H21*$B$2)</f>
        <v>35.721</v>
      </c>
      <c r="M21" s="98" t="n">
        <f aca="false">IF(I21="","",I21*$B$2)</f>
        <v>50.989</v>
      </c>
      <c r="N21" s="98" t="n">
        <f aca="false">IF(K21="","",K21+L21+M21)</f>
        <v>100</v>
      </c>
    </row>
    <row r="22" customFormat="false" ht="15" hidden="false" customHeight="true" outlineLevel="0" collapsed="false">
      <c r="A22" s="95" t="n">
        <v>15</v>
      </c>
      <c r="B22" s="95"/>
      <c r="C22" s="95"/>
      <c r="D22" s="95"/>
      <c r="E22" s="95" t="s">
        <v>239</v>
      </c>
      <c r="F22" s="95" t="n">
        <v>5</v>
      </c>
      <c r="G22" s="97" t="n">
        <v>0.35977</v>
      </c>
      <c r="H22" s="97" t="n">
        <v>0.1339</v>
      </c>
      <c r="I22" s="97" t="n">
        <v>0.50634</v>
      </c>
      <c r="J22" s="98" t="n">
        <f aca="false">IF(G22="","",G22+H22+I22)</f>
        <v>1.00001</v>
      </c>
      <c r="K22" s="98" t="n">
        <f aca="false">IF(G22="","",G22*$B$2)</f>
        <v>35.977</v>
      </c>
      <c r="L22" s="98" t="n">
        <f aca="false">IF(H22="","",H22*$B$2)</f>
        <v>13.39</v>
      </c>
      <c r="M22" s="98" t="n">
        <f aca="false">IF(I22="","",I22*$B$2)</f>
        <v>50.634</v>
      </c>
      <c r="N22" s="98" t="n">
        <f aca="false">IF(K22="","",K22+L22+M22)</f>
        <v>100.001</v>
      </c>
    </row>
    <row r="24" customFormat="false" ht="15" hidden="false" customHeight="true" outlineLevel="0" collapsed="false">
      <c r="A24" s="95" t="n">
        <v>16</v>
      </c>
      <c r="B24" s="96" t="s">
        <v>194</v>
      </c>
      <c r="C24" s="95" t="s">
        <v>142</v>
      </c>
      <c r="D24" s="95" t="s">
        <v>177</v>
      </c>
      <c r="E24" s="95" t="s">
        <v>239</v>
      </c>
      <c r="F24" s="95" t="n">
        <v>1</v>
      </c>
      <c r="G24" s="97" t="n">
        <v>0.47573</v>
      </c>
      <c r="H24" s="97" t="n">
        <v>0.02001</v>
      </c>
      <c r="I24" s="97" t="n">
        <v>0.50426</v>
      </c>
      <c r="J24" s="98" t="n">
        <f aca="false">IF(G24="","",G24+H24+I24)</f>
        <v>1</v>
      </c>
      <c r="K24" s="98" t="n">
        <f aca="false">IF(G24="","",G24*$B$2)</f>
        <v>47.573</v>
      </c>
      <c r="L24" s="98" t="n">
        <f aca="false">IF(H24="","",H24*$B$2)</f>
        <v>2.001</v>
      </c>
      <c r="M24" s="98" t="n">
        <f aca="false">IF(I24="","",I24*$B$2)</f>
        <v>50.426</v>
      </c>
      <c r="N24" s="98" t="n">
        <f aca="false">IF(K24="","",K24+L24+M24)</f>
        <v>100</v>
      </c>
    </row>
    <row r="25" customFormat="false" ht="15" hidden="false" customHeight="true" outlineLevel="0" collapsed="false">
      <c r="A25" s="95" t="n">
        <v>17</v>
      </c>
      <c r="B25" s="95"/>
      <c r="C25" s="95"/>
      <c r="D25" s="95"/>
      <c r="E25" s="95" t="s">
        <v>239</v>
      </c>
      <c r="F25" s="95" t="n">
        <v>2</v>
      </c>
      <c r="G25" s="97" t="n">
        <v>0.02082</v>
      </c>
      <c r="H25" s="97" t="n">
        <v>0.47311</v>
      </c>
      <c r="I25" s="97" t="n">
        <v>0.50606</v>
      </c>
      <c r="J25" s="98" t="n">
        <f aca="false">IF(G25="","",G25+H25+I25)</f>
        <v>0.99999</v>
      </c>
      <c r="K25" s="98" t="n">
        <f aca="false">IF(G25="","",G25*$B$2)</f>
        <v>2.082</v>
      </c>
      <c r="L25" s="98" t="n">
        <f aca="false">IF(H25="","",H25*$B$2)</f>
        <v>47.311</v>
      </c>
      <c r="M25" s="98" t="n">
        <f aca="false">IF(I25="","",I25*$B$2)</f>
        <v>50.606</v>
      </c>
      <c r="N25" s="98" t="n">
        <f aca="false">IF(K25="","",K25+L25+M25)</f>
        <v>99.999</v>
      </c>
    </row>
    <row r="26" customFormat="false" ht="15" hidden="false" customHeight="true" outlineLevel="0" collapsed="false">
      <c r="A26" s="95" t="n">
        <v>18</v>
      </c>
      <c r="B26" s="95"/>
      <c r="C26" s="95"/>
      <c r="D26" s="95"/>
      <c r="E26" s="95" t="s">
        <v>239</v>
      </c>
      <c r="F26" s="95" t="n">
        <v>3</v>
      </c>
      <c r="G26" s="97" t="n">
        <v>0.24474</v>
      </c>
      <c r="H26" s="97" t="n">
        <v>0.25403</v>
      </c>
      <c r="I26" s="97" t="n">
        <v>0.50124</v>
      </c>
      <c r="J26" s="98" t="n">
        <f aca="false">IF(G26="","",G26+H26+I26)</f>
        <v>1.00001</v>
      </c>
      <c r="K26" s="98" t="n">
        <f aca="false">IF(G26="","",G26*$B$2)</f>
        <v>24.474</v>
      </c>
      <c r="L26" s="98" t="n">
        <f aca="false">IF(H26="","",H26*$B$2)</f>
        <v>25.403</v>
      </c>
      <c r="M26" s="98" t="n">
        <f aca="false">IF(I26="","",I26*$B$2)</f>
        <v>50.124</v>
      </c>
      <c r="N26" s="98" t="n">
        <f aca="false">IF(K26="","",K26+L26+M26)</f>
        <v>100.001</v>
      </c>
    </row>
    <row r="27" customFormat="false" ht="15" hidden="false" customHeight="true" outlineLevel="0" collapsed="false">
      <c r="A27" s="95" t="n">
        <v>19</v>
      </c>
      <c r="B27" s="95"/>
      <c r="C27" s="95"/>
      <c r="D27" s="95"/>
      <c r="E27" s="95" t="s">
        <v>239</v>
      </c>
      <c r="F27" s="95" t="n">
        <v>4</v>
      </c>
      <c r="G27" s="97" t="n">
        <v>0.35862</v>
      </c>
      <c r="H27" s="97" t="n">
        <v>0.13975</v>
      </c>
      <c r="I27" s="97" t="n">
        <v>0.50163</v>
      </c>
      <c r="J27" s="98" t="n">
        <f aca="false">IF(G27="","",G27+H27+I27)</f>
        <v>1</v>
      </c>
      <c r="K27" s="98" t="n">
        <f aca="false">IF(G27="","",G27*$B$2)</f>
        <v>35.862</v>
      </c>
      <c r="L27" s="98" t="n">
        <f aca="false">IF(H27="","",H27*$B$2)</f>
        <v>13.975</v>
      </c>
      <c r="M27" s="98" t="n">
        <f aca="false">IF(I27="","",I27*$B$2)</f>
        <v>50.163</v>
      </c>
      <c r="N27" s="98" t="n">
        <f aca="false">IF(K27="","",K27+L27+M27)</f>
        <v>100</v>
      </c>
    </row>
    <row r="28" customFormat="false" ht="15" hidden="false" customHeight="true" outlineLevel="0" collapsed="false">
      <c r="A28" s="95" t="n">
        <v>20</v>
      </c>
      <c r="B28" s="95"/>
      <c r="C28" s="95"/>
      <c r="D28" s="95"/>
      <c r="E28" s="95" t="s">
        <v>239</v>
      </c>
      <c r="F28" s="95" t="n">
        <v>5</v>
      </c>
      <c r="G28" s="97" t="n">
        <v>0.13271</v>
      </c>
      <c r="H28" s="97" t="n">
        <v>0.36448</v>
      </c>
      <c r="I28" s="97" t="n">
        <v>0.50281</v>
      </c>
      <c r="J28" s="98" t="n">
        <f aca="false">IF(G28="","",G28+H28+I28)</f>
        <v>1</v>
      </c>
      <c r="K28" s="98" t="n">
        <f aca="false">IF(G28="","",G28*$B$2)</f>
        <v>13.271</v>
      </c>
      <c r="L28" s="98" t="n">
        <f aca="false">IF(H28="","",H28*$B$2)</f>
        <v>36.448</v>
      </c>
      <c r="M28" s="98" t="n">
        <f aca="false">IF(I28="","",I28*$B$2)</f>
        <v>50.281</v>
      </c>
      <c r="N28" s="98" t="n">
        <f aca="false">IF(K28="","",K28+L28+M28)</f>
        <v>100</v>
      </c>
    </row>
    <row r="30" customFormat="false" ht="15" hidden="false" customHeight="true" outlineLevel="0" collapsed="false">
      <c r="A30" s="95" t="n">
        <v>21</v>
      </c>
      <c r="B30" s="96" t="s">
        <v>219</v>
      </c>
      <c r="C30" s="95" t="s">
        <v>142</v>
      </c>
      <c r="D30" s="95" t="s">
        <v>203</v>
      </c>
      <c r="E30" s="95" t="s">
        <v>239</v>
      </c>
      <c r="F30" s="95" t="n">
        <v>1</v>
      </c>
      <c r="G30" s="97" t="n">
        <v>0.0203</v>
      </c>
      <c r="H30" s="97" t="n">
        <v>0.47651</v>
      </c>
      <c r="I30" s="97" t="n">
        <v>0.50319</v>
      </c>
      <c r="J30" s="98" t="n">
        <f aca="false">IF(G30="","",G30+H30+I30)</f>
        <v>1</v>
      </c>
      <c r="K30" s="98" t="n">
        <f aca="false">IF(G30="","",G30*$B$2)</f>
        <v>2.03</v>
      </c>
      <c r="L30" s="98" t="n">
        <f aca="false">IF(H30="","",H30*$B$2)</f>
        <v>47.651</v>
      </c>
      <c r="M30" s="98" t="n">
        <f aca="false">IF(I30="","",I30*$B$2)</f>
        <v>50.319</v>
      </c>
      <c r="N30" s="98" t="n">
        <f aca="false">IF(K30="","",K30+L30+M30)</f>
        <v>100</v>
      </c>
    </row>
    <row r="31" customFormat="false" ht="15" hidden="false" customHeight="true" outlineLevel="0" collapsed="false">
      <c r="A31" s="95" t="n">
        <v>22</v>
      </c>
      <c r="B31" s="95"/>
      <c r="C31" s="95"/>
      <c r="D31" s="95"/>
      <c r="E31" s="95" t="s">
        <v>239</v>
      </c>
      <c r="F31" s="95" t="n">
        <v>2</v>
      </c>
      <c r="G31" s="97" t="n">
        <v>0.47512</v>
      </c>
      <c r="H31" s="97" t="n">
        <v>0.02061</v>
      </c>
      <c r="I31" s="97" t="n">
        <v>0.50426</v>
      </c>
      <c r="J31" s="98" t="n">
        <f aca="false">IF(G31="","",G31+H31+I31)</f>
        <v>0.99999</v>
      </c>
      <c r="K31" s="98" t="n">
        <f aca="false">IF(G31="","",G31*$B$2)</f>
        <v>47.512</v>
      </c>
      <c r="L31" s="98" t="n">
        <f aca="false">IF(H31="","",H31*$B$2)</f>
        <v>2.061</v>
      </c>
      <c r="M31" s="98" t="n">
        <f aca="false">IF(I31="","",I31*$B$2)</f>
        <v>50.426</v>
      </c>
      <c r="N31" s="98" t="n">
        <f aca="false">IF(K31="","",K31+L31+M31)</f>
        <v>99.999</v>
      </c>
    </row>
    <row r="32" customFormat="false" ht="15" hidden="false" customHeight="true" outlineLevel="0" collapsed="false">
      <c r="A32" s="95" t="n">
        <v>23</v>
      </c>
      <c r="B32" s="95"/>
      <c r="C32" s="95"/>
      <c r="D32" s="95"/>
      <c r="E32" s="95" t="s">
        <v>239</v>
      </c>
      <c r="F32" s="95" t="n">
        <v>3</v>
      </c>
      <c r="G32" s="97" t="n">
        <v>0.24476</v>
      </c>
      <c r="H32" s="97" t="n">
        <v>0.25451</v>
      </c>
      <c r="I32" s="97" t="n">
        <v>0.50073</v>
      </c>
      <c r="J32" s="98" t="n">
        <f aca="false">IF(G32="","",G32+H32+I32)</f>
        <v>1</v>
      </c>
      <c r="K32" s="98" t="n">
        <f aca="false">IF(G32="","",G32*$B$2)</f>
        <v>24.476</v>
      </c>
      <c r="L32" s="98" t="n">
        <f aca="false">IF(H32="","",H32*$B$2)</f>
        <v>25.451</v>
      </c>
      <c r="M32" s="98" t="n">
        <f aca="false">IF(I32="","",I32*$B$2)</f>
        <v>50.073</v>
      </c>
      <c r="N32" s="98" t="n">
        <f aca="false">IF(K32="","",K32+L32+M32)</f>
        <v>100</v>
      </c>
    </row>
    <row r="33" customFormat="false" ht="15" hidden="false" customHeight="true" outlineLevel="0" collapsed="false">
      <c r="A33" s="95" t="n">
        <v>24</v>
      </c>
      <c r="B33" s="95"/>
      <c r="C33" s="95"/>
      <c r="D33" s="95"/>
      <c r="E33" s="95" t="s">
        <v>239</v>
      </c>
      <c r="F33" s="95" t="n">
        <v>4</v>
      </c>
      <c r="G33" s="97" t="n">
        <v>0.13232</v>
      </c>
      <c r="H33" s="97" t="n">
        <v>0.36642</v>
      </c>
      <c r="I33" s="97" t="n">
        <v>0.50126</v>
      </c>
      <c r="J33" s="98" t="n">
        <f aca="false">IF(G33="","",G33+H33+I33)</f>
        <v>1</v>
      </c>
      <c r="K33" s="98" t="n">
        <f aca="false">IF(G33="","",G33*$B$2)</f>
        <v>13.232</v>
      </c>
      <c r="L33" s="98" t="n">
        <f aca="false">IF(H33="","",H33*$B$2)</f>
        <v>36.642</v>
      </c>
      <c r="M33" s="98" t="n">
        <f aca="false">IF(I33="","",I33*$B$2)</f>
        <v>50.126</v>
      </c>
      <c r="N33" s="98" t="n">
        <f aca="false">IF(K33="","",K33+L33+M33)</f>
        <v>100</v>
      </c>
    </row>
    <row r="34" customFormat="false" ht="15" hidden="false" customHeight="true" outlineLevel="0" collapsed="false">
      <c r="A34" s="95" t="n">
        <v>25</v>
      </c>
      <c r="B34" s="95"/>
      <c r="C34" s="95"/>
      <c r="D34" s="95"/>
      <c r="E34" s="95" t="s">
        <v>239</v>
      </c>
      <c r="F34" s="95" t="n">
        <v>5</v>
      </c>
      <c r="G34" s="97" t="n">
        <v>0.35859</v>
      </c>
      <c r="H34" s="97" t="n">
        <v>0.13977</v>
      </c>
      <c r="I34" s="97" t="n">
        <v>0.50163</v>
      </c>
      <c r="J34" s="98" t="n">
        <f aca="false">IF(G34="","",G34+H34+I34)</f>
        <v>0.99999</v>
      </c>
      <c r="K34" s="98" t="n">
        <f aca="false">IF(G34="","",G34*$B$2)</f>
        <v>35.859</v>
      </c>
      <c r="L34" s="98" t="n">
        <f aca="false">IF(H34="","",H34*$B$2)</f>
        <v>13.977</v>
      </c>
      <c r="M34" s="98" t="n">
        <f aca="false">IF(I34="","",I34*$B$2)</f>
        <v>50.163</v>
      </c>
      <c r="N34" s="98" t="n">
        <f aca="false">IF(K34="","",K34+L34+M34)</f>
        <v>99.999</v>
      </c>
    </row>
    <row r="36" customFormat="false" ht="15" hidden="false" customHeight="true" outlineLevel="0" collapsed="false">
      <c r="A36" s="95" t="n">
        <v>26</v>
      </c>
      <c r="B36" s="96" t="s">
        <v>195</v>
      </c>
      <c r="C36" s="95" t="s">
        <v>203</v>
      </c>
      <c r="D36" s="95" t="s">
        <v>202</v>
      </c>
      <c r="E36" s="95" t="s">
        <v>239</v>
      </c>
      <c r="F36" s="95" t="n">
        <v>1</v>
      </c>
      <c r="G36" s="97" t="n">
        <v>0.02055</v>
      </c>
      <c r="H36" s="97" t="n">
        <v>0.48113</v>
      </c>
      <c r="I36" s="97" t="n">
        <v>0.49832</v>
      </c>
      <c r="J36" s="98" t="n">
        <f aca="false">IF(G36="","",G36+H36+I36)</f>
        <v>1</v>
      </c>
      <c r="K36" s="98" t="n">
        <f aca="false">IF(G36="","",G36*$B$2)</f>
        <v>2.055</v>
      </c>
      <c r="L36" s="98" t="n">
        <f aca="false">IF(H36="","",H36*$B$2)</f>
        <v>48.113</v>
      </c>
      <c r="M36" s="98" t="n">
        <f aca="false">IF(I36="","",I36*$B$2)</f>
        <v>49.832</v>
      </c>
      <c r="N36" s="98" t="n">
        <f aca="false">IF(K36="","",K36+L36+M36)</f>
        <v>100</v>
      </c>
    </row>
    <row r="37" customFormat="false" ht="15" hidden="false" customHeight="true" outlineLevel="0" collapsed="false">
      <c r="A37" s="95" t="n">
        <v>27</v>
      </c>
      <c r="B37" s="95"/>
      <c r="C37" s="95"/>
      <c r="D37" s="95"/>
      <c r="E37" s="95" t="s">
        <v>239</v>
      </c>
      <c r="F37" s="95" t="n">
        <v>2</v>
      </c>
      <c r="G37" s="97" t="n">
        <v>0.476</v>
      </c>
      <c r="H37" s="97" t="n">
        <v>0.02061</v>
      </c>
      <c r="I37" s="97" t="n">
        <v>0.50339</v>
      </c>
      <c r="J37" s="98" t="n">
        <f aca="false">IF(G37="","",G37+H37+I37)</f>
        <v>1</v>
      </c>
      <c r="K37" s="98" t="n">
        <f aca="false">IF(G37="","",G37*$B$2)</f>
        <v>47.6</v>
      </c>
      <c r="L37" s="98" t="n">
        <f aca="false">IF(H37="","",H37*$B$2)</f>
        <v>2.061</v>
      </c>
      <c r="M37" s="98" t="n">
        <f aca="false">IF(I37="","",I37*$B$2)</f>
        <v>50.339</v>
      </c>
      <c r="N37" s="98" t="n">
        <f aca="false">IF(K37="","",K37+L37+M37)</f>
        <v>100</v>
      </c>
    </row>
    <row r="38" customFormat="false" ht="15" hidden="false" customHeight="true" outlineLevel="0" collapsed="false">
      <c r="A38" s="95" t="n">
        <v>28</v>
      </c>
      <c r="B38" s="95"/>
      <c r="C38" s="95"/>
      <c r="D38" s="95"/>
      <c r="E38" s="95" t="s">
        <v>239</v>
      </c>
      <c r="F38" s="95" t="n">
        <v>3</v>
      </c>
      <c r="G38" s="97" t="n">
        <v>0.24392</v>
      </c>
      <c r="H38" s="97" t="n">
        <v>0.26133</v>
      </c>
      <c r="I38" s="97" t="n">
        <v>0.49475</v>
      </c>
      <c r="J38" s="98" t="n">
        <f aca="false">IF(G38="","",G38+H38+I38)</f>
        <v>1</v>
      </c>
      <c r="K38" s="98" t="n">
        <f aca="false">IF(G38="","",G38*$B$2)</f>
        <v>24.392</v>
      </c>
      <c r="L38" s="98" t="n">
        <f aca="false">IF(H38="","",H38*$B$2)</f>
        <v>26.133</v>
      </c>
      <c r="M38" s="98" t="n">
        <f aca="false">IF(I38="","",I38*$B$2)</f>
        <v>49.475</v>
      </c>
      <c r="N38" s="98" t="n">
        <f aca="false">IF(K38="","",K38+L38+M38)</f>
        <v>100</v>
      </c>
    </row>
    <row r="39" customFormat="false" ht="15" hidden="false" customHeight="true" outlineLevel="0" collapsed="false">
      <c r="A39" s="95" t="n">
        <v>29</v>
      </c>
      <c r="B39" s="95"/>
      <c r="C39" s="95"/>
      <c r="D39" s="95"/>
      <c r="E39" s="95" t="s">
        <v>239</v>
      </c>
      <c r="F39" s="95" t="n">
        <v>4</v>
      </c>
      <c r="G39" s="97" t="n">
        <v>0.35809</v>
      </c>
      <c r="H39" s="97" t="n">
        <v>0.14474</v>
      </c>
      <c r="I39" s="97" t="n">
        <v>0.49717</v>
      </c>
      <c r="J39" s="98" t="n">
        <f aca="false">IF(G39="","",G39+H39+I39)</f>
        <v>1</v>
      </c>
      <c r="K39" s="98" t="n">
        <f aca="false">IF(G39="","",G39*$B$2)</f>
        <v>35.809</v>
      </c>
      <c r="L39" s="98" t="n">
        <f aca="false">IF(H39="","",H39*$B$2)</f>
        <v>14.474</v>
      </c>
      <c r="M39" s="98" t="n">
        <f aca="false">IF(I39="","",I39*$B$2)</f>
        <v>49.717</v>
      </c>
      <c r="N39" s="98" t="n">
        <f aca="false">IF(K39="","",K39+L39+M39)</f>
        <v>100</v>
      </c>
    </row>
    <row r="40" customFormat="false" ht="15" hidden="false" customHeight="true" outlineLevel="0" collapsed="false">
      <c r="A40" s="95" t="n">
        <v>30</v>
      </c>
      <c r="B40" s="95"/>
      <c r="C40" s="95"/>
      <c r="D40" s="95"/>
      <c r="E40" s="95" t="s">
        <v>239</v>
      </c>
      <c r="F40" s="95" t="n">
        <v>5</v>
      </c>
      <c r="G40" s="97" t="n">
        <v>0.13213</v>
      </c>
      <c r="H40" s="97" t="n">
        <v>0.37292</v>
      </c>
      <c r="I40" s="97" t="n">
        <v>0.49495</v>
      </c>
      <c r="J40" s="98" t="n">
        <f aca="false">IF(G40="","",G40+H40+I40)</f>
        <v>1</v>
      </c>
      <c r="K40" s="98" t="n">
        <f aca="false">IF(G40="","",G40*$B$2)</f>
        <v>13.213</v>
      </c>
      <c r="L40" s="98" t="n">
        <f aca="false">IF(H40="","",H40*$B$2)</f>
        <v>37.292</v>
      </c>
      <c r="M40" s="98" t="n">
        <f aca="false">IF(I40="","",I40*$B$2)</f>
        <v>49.495</v>
      </c>
      <c r="N40" s="98" t="n">
        <f aca="false">IF(K40="","",K40+L40+M40)</f>
        <v>100</v>
      </c>
    </row>
    <row r="42" customFormat="false" ht="15" hidden="false" customHeight="true" outlineLevel="0" collapsed="false">
      <c r="A42" s="95" t="n">
        <v>31</v>
      </c>
      <c r="B42" s="96" t="s">
        <v>196</v>
      </c>
      <c r="C42" s="95" t="s">
        <v>203</v>
      </c>
      <c r="D42" s="95" t="s">
        <v>164</v>
      </c>
      <c r="E42" s="95" t="s">
        <v>239</v>
      </c>
      <c r="F42" s="95" t="n">
        <v>1</v>
      </c>
      <c r="G42" s="97" t="n">
        <v>0.02003</v>
      </c>
      <c r="H42" s="97" t="n">
        <v>0.4642</v>
      </c>
      <c r="I42" s="97" t="n">
        <v>0.51577</v>
      </c>
      <c r="J42" s="98" t="n">
        <f aca="false">IF(G42="","",G42+H42+I42)</f>
        <v>1</v>
      </c>
      <c r="K42" s="98" t="n">
        <f aca="false">IF(G42="","",G42*$B$2)</f>
        <v>2.003</v>
      </c>
      <c r="L42" s="98" t="n">
        <f aca="false">IF(H42="","",H42*$B$2)</f>
        <v>46.42</v>
      </c>
      <c r="M42" s="98" t="n">
        <f aca="false">IF(I42="","",I42*$B$2)</f>
        <v>51.577</v>
      </c>
      <c r="N42" s="98" t="n">
        <f aca="false">IF(K42="","",K42+L42+M42)</f>
        <v>100</v>
      </c>
    </row>
    <row r="43" customFormat="false" ht="15" hidden="false" customHeight="true" outlineLevel="0" collapsed="false">
      <c r="A43" s="95" t="n">
        <v>32</v>
      </c>
      <c r="B43" s="95"/>
      <c r="C43" s="95"/>
      <c r="D43" s="95"/>
      <c r="E43" s="95" t="s">
        <v>239</v>
      </c>
      <c r="F43" s="95" t="n">
        <v>2</v>
      </c>
      <c r="G43" s="97" t="n">
        <v>0.47522</v>
      </c>
      <c r="H43" s="97" t="n">
        <v>0.02013</v>
      </c>
      <c r="I43" s="97" t="n">
        <v>0.50465</v>
      </c>
      <c r="J43" s="98" t="n">
        <f aca="false">IF(G43="","",G43+H43+I43)</f>
        <v>1</v>
      </c>
      <c r="K43" s="98" t="n">
        <f aca="false">IF(G43="","",G43*$B$2)</f>
        <v>47.522</v>
      </c>
      <c r="L43" s="98" t="n">
        <f aca="false">IF(H43="","",H43*$B$2)</f>
        <v>2.013</v>
      </c>
      <c r="M43" s="98" t="n">
        <f aca="false">IF(I43="","",I43*$B$2)</f>
        <v>50.465</v>
      </c>
      <c r="N43" s="98" t="n">
        <f aca="false">IF(K43="","",K43+L43+M43)</f>
        <v>100</v>
      </c>
    </row>
    <row r="44" customFormat="false" ht="15" hidden="false" customHeight="true" outlineLevel="0" collapsed="false">
      <c r="A44" s="95" t="n">
        <v>33</v>
      </c>
      <c r="B44" s="95"/>
      <c r="C44" s="95"/>
      <c r="D44" s="95"/>
      <c r="E44" s="95" t="s">
        <v>239</v>
      </c>
      <c r="F44" s="95" t="n">
        <v>3</v>
      </c>
      <c r="G44" s="97" t="n">
        <v>0.24608</v>
      </c>
      <c r="H44" s="97" t="n">
        <v>0.24734</v>
      </c>
      <c r="I44" s="97" t="n">
        <v>0.50658</v>
      </c>
      <c r="J44" s="98" t="n">
        <f aca="false">IF(G44="","",G44+H44+I44)</f>
        <v>1</v>
      </c>
      <c r="K44" s="98" t="n">
        <f aca="false">IF(G44="","",G44*$B$2)</f>
        <v>24.608</v>
      </c>
      <c r="L44" s="98" t="n">
        <f aca="false">IF(H44="","",H44*$B$2)</f>
        <v>24.734</v>
      </c>
      <c r="M44" s="98" t="n">
        <f aca="false">IF(I44="","",I44*$B$2)</f>
        <v>50.658</v>
      </c>
      <c r="N44" s="98" t="n">
        <f aca="false">IF(K44="","",K44+L44+M44)</f>
        <v>100</v>
      </c>
    </row>
    <row r="45" customFormat="false" ht="15" hidden="false" customHeight="true" outlineLevel="0" collapsed="false">
      <c r="A45" s="95" t="n">
        <v>34</v>
      </c>
      <c r="B45" s="95"/>
      <c r="C45" s="95"/>
      <c r="D45" s="95"/>
      <c r="E45" s="95" t="s">
        <v>239</v>
      </c>
      <c r="F45" s="95" t="n">
        <v>4</v>
      </c>
      <c r="G45" s="97" t="n">
        <v>0.35967</v>
      </c>
      <c r="H45" s="97" t="n">
        <v>0.13575</v>
      </c>
      <c r="I45" s="97" t="n">
        <v>0.50458</v>
      </c>
      <c r="J45" s="98" t="n">
        <f aca="false">IF(G45="","",G45+H45+I45)</f>
        <v>1</v>
      </c>
      <c r="K45" s="98" t="n">
        <f aca="false">IF(G45="","",G45*$B$2)</f>
        <v>35.967</v>
      </c>
      <c r="L45" s="98" t="n">
        <f aca="false">IF(H45="","",H45*$B$2)</f>
        <v>13.575</v>
      </c>
      <c r="M45" s="98" t="n">
        <f aca="false">IF(I45="","",I45*$B$2)</f>
        <v>50.458</v>
      </c>
      <c r="N45" s="98" t="n">
        <f aca="false">IF(K45="","",K45+L45+M45)</f>
        <v>100</v>
      </c>
    </row>
    <row r="46" customFormat="false" ht="15" hidden="false" customHeight="true" outlineLevel="0" collapsed="false">
      <c r="A46" s="95" t="n">
        <v>35</v>
      </c>
      <c r="B46" s="95"/>
      <c r="C46" s="95"/>
      <c r="D46" s="95"/>
      <c r="E46" s="95" t="s">
        <v>239</v>
      </c>
      <c r="F46" s="95" t="n">
        <v>5</v>
      </c>
      <c r="G46" s="97" t="n">
        <v>0.13286</v>
      </c>
      <c r="H46" s="97" t="n">
        <v>0.35682</v>
      </c>
      <c r="I46" s="97" t="n">
        <v>0.51032</v>
      </c>
      <c r="J46" s="98" t="n">
        <f aca="false">IF(G46="","",G46+H46+I46)</f>
        <v>1</v>
      </c>
      <c r="K46" s="98" t="n">
        <f aca="false">IF(G46="","",G46*$B$2)</f>
        <v>13.286</v>
      </c>
      <c r="L46" s="98" t="n">
        <f aca="false">IF(H46="","",H46*$B$2)</f>
        <v>35.682</v>
      </c>
      <c r="M46" s="98" t="n">
        <f aca="false">IF(I46="","",I46*$B$2)</f>
        <v>51.032</v>
      </c>
      <c r="N46" s="98" t="n">
        <f aca="false">IF(K46="","",K46+L46+M46)</f>
        <v>100</v>
      </c>
    </row>
    <row r="48" customFormat="false" ht="15" hidden="false" customHeight="true" outlineLevel="0" collapsed="false">
      <c r="A48" s="95" t="n">
        <v>36</v>
      </c>
      <c r="B48" s="96" t="s">
        <v>197</v>
      </c>
      <c r="C48" s="95" t="s">
        <v>203</v>
      </c>
      <c r="D48" s="95" t="s">
        <v>171</v>
      </c>
      <c r="E48" s="95" t="s">
        <v>239</v>
      </c>
      <c r="F48" s="95" t="n">
        <v>1</v>
      </c>
      <c r="G48" s="97" t="n">
        <v>0.02035</v>
      </c>
      <c r="H48" s="97" t="n">
        <v>0.47845</v>
      </c>
      <c r="I48" s="97" t="n">
        <v>0.5012</v>
      </c>
      <c r="J48" s="98" t="n">
        <f aca="false">IF(G48="","",G48+H48+I48)</f>
        <v>1</v>
      </c>
      <c r="K48" s="98" t="n">
        <f aca="false">IF(G48="","",G48*$B$2)</f>
        <v>2.035</v>
      </c>
      <c r="L48" s="98" t="n">
        <f aca="false">IF(H48="","",H48*$B$2)</f>
        <v>47.845</v>
      </c>
      <c r="M48" s="98" t="n">
        <f aca="false">IF(I48="","",I48*$B$2)</f>
        <v>50.12</v>
      </c>
      <c r="N48" s="98" t="n">
        <f aca="false">IF(K48="","",K48+L48+M48)</f>
        <v>100</v>
      </c>
    </row>
    <row r="49" customFormat="false" ht="15" hidden="false" customHeight="true" outlineLevel="0" collapsed="false">
      <c r="A49" s="95" t="n">
        <v>37</v>
      </c>
      <c r="B49" s="95"/>
      <c r="C49" s="95"/>
      <c r="D49" s="95"/>
      <c r="E49" s="95" t="s">
        <v>239</v>
      </c>
      <c r="F49" s="95" t="n">
        <v>2</v>
      </c>
      <c r="G49" s="97" t="n">
        <v>0.47512</v>
      </c>
      <c r="H49" s="97" t="n">
        <v>0.02064</v>
      </c>
      <c r="I49" s="97" t="n">
        <v>0.50424</v>
      </c>
      <c r="J49" s="98" t="n">
        <f aca="false">IF(G49="","",G49+H49+I49)</f>
        <v>1</v>
      </c>
      <c r="K49" s="98" t="n">
        <f aca="false">IF(G49="","",G49*$B$2)</f>
        <v>47.512</v>
      </c>
      <c r="L49" s="98" t="n">
        <f aca="false">IF(H49="","",H49*$B$2)</f>
        <v>2.064</v>
      </c>
      <c r="M49" s="98" t="n">
        <f aca="false">IF(I49="","",I49*$B$2)</f>
        <v>50.424</v>
      </c>
      <c r="N49" s="98" t="n">
        <f aca="false">IF(K49="","",K49+L49+M49)</f>
        <v>100</v>
      </c>
    </row>
    <row r="50" customFormat="false" ht="15" hidden="false" customHeight="true" outlineLevel="0" collapsed="false">
      <c r="A50" s="95" t="n">
        <v>38</v>
      </c>
      <c r="B50" s="95"/>
      <c r="C50" s="95"/>
      <c r="D50" s="95"/>
      <c r="E50" s="95" t="s">
        <v>239</v>
      </c>
      <c r="F50" s="95" t="n">
        <v>3</v>
      </c>
      <c r="G50" s="97" t="n">
        <v>0.24425</v>
      </c>
      <c r="H50" s="97" t="n">
        <v>0.25577</v>
      </c>
      <c r="I50" s="97" t="n">
        <v>0.49999</v>
      </c>
      <c r="J50" s="98" t="n">
        <f aca="false">IF(G50="","",G50+H50+I50)</f>
        <v>1.00001</v>
      </c>
      <c r="K50" s="98" t="n">
        <f aca="false">IF(G50="","",G50*$B$2)</f>
        <v>24.425</v>
      </c>
      <c r="L50" s="98" t="n">
        <f aca="false">IF(H50="","",H50*$B$2)</f>
        <v>25.577</v>
      </c>
      <c r="M50" s="98" t="n">
        <f aca="false">IF(I50="","",I50*$B$2)</f>
        <v>49.999</v>
      </c>
      <c r="N50" s="98" t="n">
        <f aca="false">IF(K50="","",K50+L50+M50)</f>
        <v>100.001</v>
      </c>
    </row>
    <row r="51" customFormat="false" ht="15" hidden="false" customHeight="true" outlineLevel="0" collapsed="false">
      <c r="A51" s="95" t="n">
        <v>39</v>
      </c>
      <c r="B51" s="95"/>
      <c r="C51" s="95"/>
      <c r="D51" s="95"/>
      <c r="E51" s="95" t="s">
        <v>239</v>
      </c>
      <c r="F51" s="95" t="n">
        <v>4</v>
      </c>
      <c r="G51" s="97" t="n">
        <v>0.35866</v>
      </c>
      <c r="H51" s="97" t="n">
        <v>0.14</v>
      </c>
      <c r="I51" s="97" t="n">
        <v>0.50134</v>
      </c>
      <c r="J51" s="98" t="n">
        <f aca="false">IF(G51="","",G51+H51+I51)</f>
        <v>1</v>
      </c>
      <c r="K51" s="98" t="n">
        <f aca="false">IF(G51="","",G51*$B$2)</f>
        <v>35.866</v>
      </c>
      <c r="L51" s="98" t="n">
        <f aca="false">IF(H51="","",H51*$B$2)</f>
        <v>14</v>
      </c>
      <c r="M51" s="98" t="n">
        <f aca="false">IF(I51="","",I51*$B$2)</f>
        <v>50.134</v>
      </c>
      <c r="N51" s="98" t="n">
        <f aca="false">IF(K51="","",K51+L51+M51)</f>
        <v>100</v>
      </c>
    </row>
    <row r="52" customFormat="false" ht="15" hidden="false" customHeight="true" outlineLevel="0" collapsed="false">
      <c r="A52" s="95" t="n">
        <v>40</v>
      </c>
      <c r="B52" s="95"/>
      <c r="C52" s="95"/>
      <c r="D52" s="95"/>
      <c r="E52" s="95" t="s">
        <v>239</v>
      </c>
      <c r="F52" s="95" t="n">
        <v>5</v>
      </c>
      <c r="G52" s="97" t="n">
        <v>0.13211</v>
      </c>
      <c r="H52" s="97" t="n">
        <v>0.36793</v>
      </c>
      <c r="I52" s="97" t="n">
        <v>0.49996</v>
      </c>
      <c r="J52" s="98" t="n">
        <f aca="false">IF(G52="","",G52+H52+I52)</f>
        <v>1</v>
      </c>
      <c r="K52" s="98" t="n">
        <f aca="false">IF(G52="","",G52*$B$2)</f>
        <v>13.211</v>
      </c>
      <c r="L52" s="98" t="n">
        <f aca="false">IF(H52="","",H52*$B$2)</f>
        <v>36.793</v>
      </c>
      <c r="M52" s="98" t="n">
        <f aca="false">IF(I52="","",I52*$B$2)</f>
        <v>49.996</v>
      </c>
      <c r="N52" s="98" t="n">
        <f aca="false">IF(K52="","",K52+L52+M52)</f>
        <v>100</v>
      </c>
    </row>
    <row r="54" customFormat="false" ht="15" hidden="false" customHeight="true" outlineLevel="0" collapsed="false">
      <c r="A54" s="95" t="n">
        <v>41</v>
      </c>
      <c r="B54" s="96" t="s">
        <v>198</v>
      </c>
      <c r="C54" s="95" t="s">
        <v>203</v>
      </c>
      <c r="D54" s="95" t="s">
        <v>177</v>
      </c>
      <c r="E54" s="95" t="s">
        <v>239</v>
      </c>
      <c r="F54" s="95" t="n">
        <v>1</v>
      </c>
      <c r="G54" s="97" t="n">
        <v>0.47639</v>
      </c>
      <c r="H54" s="97" t="n">
        <v>0.02013</v>
      </c>
      <c r="I54" s="97" t="n">
        <v>0.50348</v>
      </c>
      <c r="J54" s="98" t="n">
        <f aca="false">IF(G54="","",G54+H54+I54)</f>
        <v>1</v>
      </c>
      <c r="K54" s="98" t="n">
        <f aca="false">IF(G54="","",G54*$B$2)</f>
        <v>47.639</v>
      </c>
      <c r="L54" s="98" t="n">
        <f aca="false">IF(H54="","",H54*$B$2)</f>
        <v>2.013</v>
      </c>
      <c r="M54" s="98" t="n">
        <f aca="false">IF(I54="","",I54*$B$2)</f>
        <v>50.348</v>
      </c>
      <c r="N54" s="98" t="n">
        <f aca="false">IF(K54="","",K54+L54+M54)</f>
        <v>100</v>
      </c>
    </row>
    <row r="55" customFormat="false" ht="15" hidden="false" customHeight="true" outlineLevel="0" collapsed="false">
      <c r="A55" s="95" t="n">
        <v>42</v>
      </c>
      <c r="B55" s="95"/>
      <c r="C55" s="95"/>
      <c r="D55" s="95"/>
      <c r="E55" s="95" t="s">
        <v>239</v>
      </c>
      <c r="F55" s="95" t="n">
        <v>2</v>
      </c>
      <c r="G55" s="97" t="n">
        <v>0.02059</v>
      </c>
      <c r="H55" s="97" t="n">
        <v>0.48159</v>
      </c>
      <c r="I55" s="97" t="n">
        <v>0.49782</v>
      </c>
      <c r="J55" s="98" t="n">
        <f aca="false">IF(G55="","",G55+H55+I55)</f>
        <v>1</v>
      </c>
      <c r="K55" s="98" t="n">
        <f aca="false">IF(G55="","",G55*$B$2)</f>
        <v>2.059</v>
      </c>
      <c r="L55" s="98" t="n">
        <f aca="false">IF(H55="","",H55*$B$2)</f>
        <v>48.159</v>
      </c>
      <c r="M55" s="98" t="n">
        <f aca="false">IF(I55="","",I55*$B$2)</f>
        <v>49.782</v>
      </c>
      <c r="N55" s="98" t="n">
        <f aca="false">IF(K55="","",K55+L55+M55)</f>
        <v>100</v>
      </c>
    </row>
    <row r="56" customFormat="false" ht="15" hidden="false" customHeight="true" outlineLevel="0" collapsed="false">
      <c r="A56" s="95" t="n">
        <v>43</v>
      </c>
      <c r="B56" s="95"/>
      <c r="C56" s="95"/>
      <c r="D56" s="95"/>
      <c r="E56" s="95" t="s">
        <v>239</v>
      </c>
      <c r="F56" s="95" t="n">
        <v>3</v>
      </c>
      <c r="G56" s="97" t="n">
        <v>0.2434</v>
      </c>
      <c r="H56" s="97" t="n">
        <v>0.26131</v>
      </c>
      <c r="I56" s="97" t="n">
        <v>0.49529</v>
      </c>
      <c r="J56" s="98" t="n">
        <f aca="false">IF(G56="","",G56+H56+I56)</f>
        <v>1</v>
      </c>
      <c r="K56" s="98" t="n">
        <f aca="false">IF(G56="","",G56*$B$2)</f>
        <v>24.34</v>
      </c>
      <c r="L56" s="98" t="n">
        <f aca="false">IF(H56="","",H56*$B$2)</f>
        <v>26.131</v>
      </c>
      <c r="M56" s="98" t="n">
        <f aca="false">IF(I56="","",I56*$B$2)</f>
        <v>49.529</v>
      </c>
      <c r="N56" s="98" t="n">
        <f aca="false">IF(K56="","",K56+L56+M56)</f>
        <v>100</v>
      </c>
    </row>
    <row r="57" customFormat="false" ht="15" hidden="false" customHeight="true" outlineLevel="0" collapsed="false">
      <c r="A57" s="95" t="n">
        <v>44</v>
      </c>
      <c r="B57" s="95"/>
      <c r="C57" s="95"/>
      <c r="D57" s="95"/>
      <c r="E57" s="95" t="s">
        <v>239</v>
      </c>
      <c r="F57" s="95" t="n">
        <v>4</v>
      </c>
      <c r="G57" s="97" t="n">
        <v>0.35756</v>
      </c>
      <c r="H57" s="97" t="n">
        <v>0.14499</v>
      </c>
      <c r="I57" s="97" t="n">
        <v>0.49746</v>
      </c>
      <c r="J57" s="98" t="n">
        <f aca="false">IF(G57="","",G57+H57+I57)</f>
        <v>1.00001</v>
      </c>
      <c r="K57" s="98" t="n">
        <f aca="false">IF(G57="","",G57*$B$2)</f>
        <v>35.756</v>
      </c>
      <c r="L57" s="98" t="n">
        <f aca="false">IF(H57="","",H57*$B$2)</f>
        <v>14.499</v>
      </c>
      <c r="M57" s="98" t="n">
        <f aca="false">IF(I57="","",I57*$B$2)</f>
        <v>49.746</v>
      </c>
      <c r="N57" s="98" t="n">
        <f aca="false">IF(K57="","",K57+L57+M57)</f>
        <v>100.001</v>
      </c>
    </row>
    <row r="58" customFormat="false" ht="15" hidden="false" customHeight="true" outlineLevel="0" collapsed="false">
      <c r="A58" s="95" t="n">
        <v>45</v>
      </c>
      <c r="B58" s="95"/>
      <c r="C58" s="95"/>
      <c r="D58" s="95"/>
      <c r="E58" s="95" t="s">
        <v>239</v>
      </c>
      <c r="F58" s="95" t="n">
        <v>5</v>
      </c>
      <c r="G58" s="97" t="n">
        <v>0.13115</v>
      </c>
      <c r="H58" s="97" t="n">
        <v>0.37322</v>
      </c>
      <c r="I58" s="97" t="n">
        <v>0.49563</v>
      </c>
      <c r="J58" s="98" t="n">
        <f aca="false">IF(G58="","",G58+H58+I58)</f>
        <v>1</v>
      </c>
      <c r="K58" s="98" t="n">
        <f aca="false">IF(G58="","",G58*$B$2)</f>
        <v>13.115</v>
      </c>
      <c r="L58" s="98" t="n">
        <f aca="false">IF(H58="","",H58*$B$2)</f>
        <v>37.322</v>
      </c>
      <c r="M58" s="98" t="n">
        <f aca="false">IF(I58="","",I58*$B$2)</f>
        <v>49.563</v>
      </c>
      <c r="N58" s="98" t="n">
        <f aca="false">IF(K58="","",K58+L58+M58)</f>
        <v>100</v>
      </c>
    </row>
    <row r="61" customFormat="false" ht="15" hidden="false" customHeight="true" outlineLevel="0" collapsed="false">
      <c r="A61" s="99" t="s">
        <v>240</v>
      </c>
    </row>
    <row r="62" customFormat="false" ht="15" hidden="false" customHeight="true" outlineLevel="0" collapsed="false">
      <c r="A62" s="100"/>
      <c r="B62" s="101" t="s">
        <v>241</v>
      </c>
    </row>
    <row r="63" customFormat="false" ht="15" hidden="false" customHeight="true" outlineLevel="0" collapsed="false">
      <c r="A63" s="102"/>
      <c r="B63" s="101" t="s">
        <v>242</v>
      </c>
    </row>
  </sheetData>
  <mergeCells count="2">
    <mergeCell ref="A1:N1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G7" activeCellId="0" sqref="G7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20.75"/>
    <col collapsed="false" customWidth="true" hidden="false" outlineLevel="0" max="2" min="2" style="0" width="15.38"/>
    <col collapsed="false" customWidth="true" hidden="false" outlineLevel="0" max="4" min="3" style="0" width="10"/>
    <col collapsed="false" customWidth="true" hidden="false" outlineLevel="0" max="5" min="5" style="0" width="12.63"/>
    <col collapsed="false" customWidth="true" hidden="true" outlineLevel="0" max="6" min="6" style="0" width="10"/>
    <col collapsed="false" customWidth="true" hidden="false" outlineLevel="0" max="11" min="7" style="0" width="11"/>
    <col collapsed="false" customWidth="true" hidden="false" outlineLevel="0" max="12" min="12" style="0" width="33.63"/>
    <col collapsed="false" customWidth="true" hidden="false" outlineLevel="0" max="13" min="13" style="0" width="11"/>
    <col collapsed="false" customWidth="true" hidden="true" outlineLevel="0" max="17" min="14" style="0" width="11"/>
    <col collapsed="false" customWidth="true" hidden="true" outlineLevel="0" max="20" min="18" style="0" width="9"/>
    <col collapsed="false" customWidth="true" hidden="false" outlineLevel="0" max="21" min="21" style="0" width="22"/>
  </cols>
  <sheetData>
    <row r="1" customFormat="false" ht="15.75" hidden="false" customHeight="true" outlineLevel="0" collapsed="false">
      <c r="B1" s="103" t="s">
        <v>243</v>
      </c>
    </row>
    <row r="2" customFormat="false" ht="15" hidden="false" customHeight="true" outlineLevel="0" collapsed="false">
      <c r="A2" s="104"/>
    </row>
    <row r="4" customFormat="false" ht="15" hidden="false" customHeight="true" outlineLevel="0" collapsed="false">
      <c r="A4" s="105" t="s">
        <v>244</v>
      </c>
      <c r="B4" s="106" t="n">
        <f aca="false">Componentes!P4</f>
        <v>0.94498</v>
      </c>
      <c r="C4" s="104" t="s">
        <v>6</v>
      </c>
    </row>
    <row r="5" customFormat="false" ht="15" hidden="false" customHeight="true" outlineLevel="0" collapsed="false">
      <c r="A5" s="105" t="s">
        <v>245</v>
      </c>
      <c r="B5" s="107" t="n">
        <v>0.997</v>
      </c>
    </row>
    <row r="7" customFormat="false" ht="15" hidden="false" customHeight="true" outlineLevel="0" collapsed="false">
      <c r="A7" s="108"/>
      <c r="B7" s="109" t="s">
        <v>246</v>
      </c>
      <c r="C7" s="110"/>
      <c r="D7" s="110" t="s">
        <v>247</v>
      </c>
      <c r="E7" s="111"/>
      <c r="F7" s="109" t="s">
        <v>248</v>
      </c>
      <c r="G7" s="110"/>
      <c r="H7" s="110"/>
      <c r="I7" s="110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</row>
    <row r="9" customFormat="false" ht="30" hidden="false" customHeight="true" outlineLevel="0" collapsed="false">
      <c r="A9" s="112" t="s">
        <v>228</v>
      </c>
      <c r="B9" s="112" t="s">
        <v>208</v>
      </c>
      <c r="C9" s="112" t="s">
        <v>200</v>
      </c>
      <c r="D9" s="112" t="s">
        <v>201</v>
      </c>
      <c r="E9" s="112" t="s">
        <v>230</v>
      </c>
      <c r="F9" s="112" t="s">
        <v>249</v>
      </c>
      <c r="G9" s="112" t="s">
        <v>250</v>
      </c>
      <c r="H9" s="112" t="s">
        <v>251</v>
      </c>
      <c r="I9" s="112" t="s">
        <v>252</v>
      </c>
      <c r="J9" s="112" t="s">
        <v>253</v>
      </c>
      <c r="K9" s="112" t="s">
        <v>254</v>
      </c>
      <c r="L9" s="112" t="s">
        <v>255</v>
      </c>
      <c r="M9" s="112" t="s">
        <v>256</v>
      </c>
      <c r="N9" s="112" t="s">
        <v>257</v>
      </c>
      <c r="O9" s="112" t="s">
        <v>258</v>
      </c>
      <c r="P9" s="112" t="s">
        <v>259</v>
      </c>
      <c r="Q9" s="112" t="s">
        <v>260</v>
      </c>
      <c r="R9" s="112" t="s">
        <v>261</v>
      </c>
      <c r="S9" s="112" t="s">
        <v>262</v>
      </c>
      <c r="T9" s="112" t="s">
        <v>263</v>
      </c>
      <c r="U9" s="112" t="s">
        <v>264</v>
      </c>
    </row>
    <row r="10" customFormat="false" ht="30" hidden="false" customHeight="true" outlineLevel="0" collapsed="false">
      <c r="A10" s="95" t="s">
        <v>265</v>
      </c>
      <c r="B10" s="96" t="s">
        <v>191</v>
      </c>
      <c r="C10" s="95" t="s">
        <v>142</v>
      </c>
      <c r="D10" s="95" t="s">
        <v>202</v>
      </c>
      <c r="E10" s="96" t="n">
        <v>1</v>
      </c>
      <c r="F10" s="98" t="n">
        <f aca="false">(Componentes!AB12/(Componentes!AB12+Componentes!AB13))*Componentes!P12+(Componentes!AB13/(Componentes!AB12+Componentes!AB13))*Componentes!P13</f>
        <v>0.88953</v>
      </c>
      <c r="G10" s="113" t="n">
        <f aca="false">IF('2-phenylethanol_DES'!I6="","",'2-phenylethanol_DES'!I6*7/$B$5)</f>
        <v>3.53208625877633</v>
      </c>
      <c r="H10" s="113" t="n">
        <f aca="false">IF('2-phenylethanol_DES'!G6="","",'2-phenylethanol_DES'!G6*7/$B$4)</f>
        <v>0.151706914432051</v>
      </c>
      <c r="I10" s="113" t="n">
        <f aca="false">IF('2-phenylethanol_DES'!H6="","",'2-phenylethanol_DES'!H6*7/F10)</f>
        <v>3.7493395388576</v>
      </c>
      <c r="J10" s="114"/>
      <c r="K10" s="114"/>
      <c r="L10" s="114"/>
      <c r="M10" s="114"/>
      <c r="N10" s="98" t="str">
        <f aca="false">IF(OR(J10="",K10=""),"",K10-J10)</f>
        <v/>
      </c>
      <c r="O10" s="98" t="str">
        <f aca="false">IF(OR(K10="",L10=""),"",L10-K10)</f>
        <v/>
      </c>
      <c r="P10" s="98" t="str">
        <f aca="false">IF(OR(L10="",M10=""),"",M10-L10)</f>
        <v/>
      </c>
      <c r="Q10" s="98" t="str">
        <f aca="false">IF(OR(J10="",M10=""),"",M10-J10)</f>
        <v/>
      </c>
      <c r="R10" s="98" t="str">
        <f aca="false">IF(Q10="","",N10/Q10)</f>
        <v/>
      </c>
      <c r="S10" s="98" t="str">
        <f aca="false">IF(Q10="","",O10/Q10)</f>
        <v/>
      </c>
      <c r="T10" s="98" t="str">
        <f aca="false">IF(Q10="","",P10/Q10)</f>
        <v/>
      </c>
      <c r="U10" s="115"/>
    </row>
    <row r="11" customFormat="false" ht="30" hidden="false" customHeight="true" outlineLevel="0" collapsed="false">
      <c r="A11" s="95" t="s">
        <v>266</v>
      </c>
      <c r="B11" s="95"/>
      <c r="C11" s="95"/>
      <c r="D11" s="95"/>
      <c r="E11" s="96" t="n">
        <v>2</v>
      </c>
      <c r="F11" s="98" t="n">
        <f aca="false">(Componentes!AB12/(Componentes!AB12+Componentes!AB13))*Componentes!P12+(Componentes!AB13/(Componentes!AB12+Componentes!AB13))*Componentes!P13</f>
        <v>0.88953</v>
      </c>
      <c r="G11" s="113" t="n">
        <f aca="false">IF('2-phenylethanol_DES'!I7="","",'2-phenylethanol_DES'!I7*7/$B$5)</f>
        <v>3.54016048144433</v>
      </c>
      <c r="H11" s="113" t="n">
        <f aca="false">IF('2-phenylethanol_DES'!G7="","",'2-phenylethanol_DES'!G7*7/$B$4)</f>
        <v>3.52074117970751</v>
      </c>
      <c r="I11" s="113" t="n">
        <f aca="false">IF('2-phenylethanol_DES'!H7="","",'2-phenylethanol_DES'!H7*7/F11)</f>
        <v>0.16116376063764</v>
      </c>
      <c r="J11" s="114"/>
      <c r="K11" s="114"/>
      <c r="L11" s="114"/>
      <c r="M11" s="114"/>
      <c r="N11" s="98" t="str">
        <f aca="false">IF(OR(J11="",K11=""),"",K11-J11)</f>
        <v/>
      </c>
      <c r="O11" s="98" t="str">
        <f aca="false">IF(OR(K11="",L11=""),"",L11-K11)</f>
        <v/>
      </c>
      <c r="P11" s="98" t="str">
        <f aca="false">IF(OR(L11="",M11=""),"",M11-L11)</f>
        <v/>
      </c>
      <c r="Q11" s="98" t="str">
        <f aca="false">IF(OR(J11="",M11=""),"",M11-J11)</f>
        <v/>
      </c>
      <c r="R11" s="98" t="str">
        <f aca="false">IF(Q11="","",N11/Q11)</f>
        <v/>
      </c>
      <c r="S11" s="98" t="str">
        <f aca="false">IF(Q11="","",O11/Q11)</f>
        <v/>
      </c>
      <c r="T11" s="98" t="str">
        <f aca="false">IF(Q11="","",P11/Q11)</f>
        <v/>
      </c>
      <c r="U11" s="115"/>
    </row>
    <row r="12" customFormat="false" ht="30" hidden="false" customHeight="true" outlineLevel="0" collapsed="false">
      <c r="A12" s="95" t="s">
        <v>267</v>
      </c>
      <c r="B12" s="95"/>
      <c r="C12" s="95"/>
      <c r="D12" s="95"/>
      <c r="E12" s="96" t="n">
        <v>3</v>
      </c>
      <c r="F12" s="98" t="n">
        <f aca="false">(Componentes!AB12/(Componentes!AB12+Componentes!AB13))*Componentes!P12+(Componentes!AB13/(Componentes!AB12+Componentes!AB13))*Componentes!P13</f>
        <v>0.88953</v>
      </c>
      <c r="G12" s="113" t="n">
        <f aca="false">IF('2-phenylethanol_DES'!I8="","",'2-phenylethanol_DES'!I8*7/$B$5)</f>
        <v>3.51369107321966</v>
      </c>
      <c r="H12" s="113" t="n">
        <f aca="false">IF('2-phenylethanol_DES'!G8="","",'2-phenylethanol_DES'!G8*7/$B$4)</f>
        <v>1.8150754513323</v>
      </c>
      <c r="I12" s="113" t="n">
        <f aca="false">IF('2-phenylethanol_DES'!H8="","",'2-phenylethanol_DES'!H8*7/F12)</f>
        <v>2.00290040808067</v>
      </c>
      <c r="J12" s="114"/>
      <c r="K12" s="114"/>
      <c r="L12" s="114"/>
      <c r="M12" s="114"/>
      <c r="N12" s="98" t="str">
        <f aca="false">IF(OR(J12="",K12=""),"",K12-J12)</f>
        <v/>
      </c>
      <c r="O12" s="98" t="str">
        <f aca="false">IF(OR(K12="",L12=""),"",L12-K12)</f>
        <v/>
      </c>
      <c r="P12" s="98" t="str">
        <f aca="false">IF(OR(L12="",M12=""),"",M12-L12)</f>
        <v/>
      </c>
      <c r="Q12" s="98" t="str">
        <f aca="false">IF(OR(J12="",M12=""),"",M12-J12)</f>
        <v/>
      </c>
      <c r="R12" s="98" t="str">
        <f aca="false">IF(Q12="","",N12/Q12)</f>
        <v/>
      </c>
      <c r="S12" s="98" t="str">
        <f aca="false">IF(Q12="","",O12/Q12)</f>
        <v/>
      </c>
      <c r="T12" s="98" t="str">
        <f aca="false">IF(Q12="","",P12/Q12)</f>
        <v/>
      </c>
      <c r="U12" s="115"/>
    </row>
    <row r="13" customFormat="false" ht="30" hidden="false" customHeight="true" outlineLevel="0" collapsed="false">
      <c r="A13" s="95" t="s">
        <v>268</v>
      </c>
      <c r="B13" s="95"/>
      <c r="C13" s="95"/>
      <c r="D13" s="95"/>
      <c r="E13" s="96" t="n">
        <v>4</v>
      </c>
      <c r="F13" s="98" t="n">
        <f aca="false">(Componentes!AB12/(Componentes!AB12+Componentes!AB13))*Componentes!P12+(Componentes!AB13/(Componentes!AB12+Componentes!AB13))*Componentes!P13</f>
        <v>0.88953</v>
      </c>
      <c r="G13" s="113" t="n">
        <f aca="false">IF('2-phenylethanol_DES'!I9="","",'2-phenylethanol_DES'!I9*7/$B$5)</f>
        <v>3.51769307923771</v>
      </c>
      <c r="H13" s="113" t="n">
        <f aca="false">IF('2-phenylethanol_DES'!G9="","",'2-phenylethanol_DES'!G9*7/$B$4)</f>
        <v>0.983428220703084</v>
      </c>
      <c r="I13" s="113" t="n">
        <f aca="false">IF('2-phenylethanol_DES'!H9="","",'2-phenylethanol_DES'!H9*7/F13)</f>
        <v>2.8819039267928</v>
      </c>
      <c r="J13" s="114"/>
      <c r="K13" s="114"/>
      <c r="L13" s="114"/>
      <c r="M13" s="114"/>
      <c r="N13" s="98" t="str">
        <f aca="false">IF(OR(J13="",K13=""),"",K13-J13)</f>
        <v/>
      </c>
      <c r="O13" s="98" t="str">
        <f aca="false">IF(OR(K13="",L13=""),"",L13-K13)</f>
        <v/>
      </c>
      <c r="P13" s="98" t="str">
        <f aca="false">IF(OR(L13="",M13=""),"",M13-L13)</f>
        <v/>
      </c>
      <c r="Q13" s="98" t="str">
        <f aca="false">IF(OR(J13="",M13=""),"",M13-J13)</f>
        <v/>
      </c>
      <c r="R13" s="98" t="str">
        <f aca="false">IF(Q13="","",N13/Q13)</f>
        <v/>
      </c>
      <c r="S13" s="98" t="str">
        <f aca="false">IF(Q13="","",O13/Q13)</f>
        <v/>
      </c>
      <c r="T13" s="98" t="str">
        <f aca="false">IF(Q13="","",P13/Q13)</f>
        <v/>
      </c>
      <c r="U13" s="115"/>
    </row>
    <row r="14" customFormat="false" ht="30" hidden="false" customHeight="true" outlineLevel="0" collapsed="false">
      <c r="A14" s="95" t="s">
        <v>269</v>
      </c>
      <c r="B14" s="95"/>
      <c r="C14" s="95"/>
      <c r="D14" s="95"/>
      <c r="E14" s="96" t="n">
        <v>5</v>
      </c>
      <c r="F14" s="98" t="n">
        <f aca="false">(Componentes!AB12/(Componentes!AB12+Componentes!AB13))*Componentes!P12+(Componentes!AB13/(Componentes!AB12+Componentes!AB13))*Componentes!P13</f>
        <v>0.88953</v>
      </c>
      <c r="G14" s="113" t="n">
        <f aca="false">IF('2-phenylethanol_DES'!I10="","",'2-phenylethanol_DES'!I10*7/$B$5)</f>
        <v>3.52050150451354</v>
      </c>
      <c r="H14" s="113" t="n">
        <f aca="false">IF('2-phenylethanol_DES'!G10="","",'2-phenylethanol_DES'!G10*7/$B$4)</f>
        <v>2.6625748693094</v>
      </c>
      <c r="I14" s="113" t="n">
        <f aca="false">IF('2-phenylethanol_DES'!H10="","",'2-phenylethanol_DES'!H10*7/F14)</f>
        <v>1.09493777612897</v>
      </c>
      <c r="J14" s="114"/>
      <c r="K14" s="114"/>
      <c r="L14" s="114"/>
      <c r="M14" s="114"/>
      <c r="N14" s="98" t="str">
        <f aca="false">IF(OR(J14="",K14=""),"",K14-J14)</f>
        <v/>
      </c>
      <c r="O14" s="98" t="str">
        <f aca="false">IF(OR(K14="",L14=""),"",L14-K14)</f>
        <v/>
      </c>
      <c r="P14" s="98" t="str">
        <f aca="false">IF(OR(L14="",M14=""),"",M14-L14)</f>
        <v/>
      </c>
      <c r="Q14" s="98" t="str">
        <f aca="false">IF(OR(J14="",M14=""),"",M14-J14)</f>
        <v/>
      </c>
      <c r="R14" s="98" t="str">
        <f aca="false">IF(Q14="","",N14/Q14)</f>
        <v/>
      </c>
      <c r="S14" s="98" t="str">
        <f aca="false">IF(Q14="","",O14/Q14)</f>
        <v/>
      </c>
      <c r="T14" s="98" t="str">
        <f aca="false">IF(Q14="","",P14/Q14)</f>
        <v/>
      </c>
      <c r="U14" s="115"/>
    </row>
    <row r="15" customFormat="false" ht="30" hidden="false" customHeight="true" outlineLevel="0" collapsed="false">
      <c r="E15" s="116"/>
      <c r="G15" s="117"/>
      <c r="H15" s="117"/>
      <c r="I15" s="117"/>
    </row>
    <row r="16" customFormat="false" ht="30" hidden="false" customHeight="true" outlineLevel="0" collapsed="false">
      <c r="A16" s="95" t="s">
        <v>270</v>
      </c>
      <c r="B16" s="96" t="s">
        <v>192</v>
      </c>
      <c r="C16" s="95" t="s">
        <v>142</v>
      </c>
      <c r="D16" s="95" t="s">
        <v>164</v>
      </c>
      <c r="E16" s="96" t="n">
        <v>1</v>
      </c>
      <c r="F16" s="98" t="n">
        <f aca="false">(Componentes!AB12/(Componentes!AB12+Componentes!AB15))*Componentes!P12+(Componentes!AB15/(Componentes!AB12+Componentes!AB15))*Componentes!P15</f>
        <v>0.905661290767563</v>
      </c>
      <c r="G16" s="113" t="n">
        <f aca="false">IF('2-phenylethanol_DES'!I12="","",'2-phenylethanol_DES'!I12*7/$B$5)</f>
        <v>3.54893681043129</v>
      </c>
      <c r="H16" s="113" t="n">
        <f aca="false">IF('2-phenylethanol_DES'!G12="","",'2-phenylethanol_DES'!G12*7/$B$4)</f>
        <v>3.51503735528794</v>
      </c>
      <c r="I16" s="113" t="n">
        <f aca="false">IF('2-phenylethanol_DES'!H12="","",'2-phenylethanol_DES'!H12*7/F16)</f>
        <v>0.154660469016279</v>
      </c>
      <c r="J16" s="114"/>
      <c r="K16" s="114"/>
      <c r="L16" s="114"/>
      <c r="M16" s="114"/>
      <c r="N16" s="98" t="str">
        <f aca="false">IF(OR(J16="",K16=""),"",K16-J16)</f>
        <v/>
      </c>
      <c r="O16" s="98" t="str">
        <f aca="false">IF(OR(K16="",L16=""),"",L16-K16)</f>
        <v/>
      </c>
      <c r="P16" s="98" t="str">
        <f aca="false">IF(OR(L16="",M16=""),"",M16-L16)</f>
        <v/>
      </c>
      <c r="Q16" s="98" t="str">
        <f aca="false">IF(OR(J16="",M16=""),"",M16-J16)</f>
        <v/>
      </c>
      <c r="R16" s="98" t="str">
        <f aca="false">IF(Q16="","",N16/Q16)</f>
        <v/>
      </c>
      <c r="S16" s="98" t="str">
        <f aca="false">IF(Q16="","",O16/Q16)</f>
        <v/>
      </c>
      <c r="T16" s="98" t="str">
        <f aca="false">IF(Q16="","",P16/Q16)</f>
        <v/>
      </c>
      <c r="U16" s="115"/>
    </row>
    <row r="17" customFormat="false" ht="30" hidden="false" customHeight="true" outlineLevel="0" collapsed="false">
      <c r="A17" s="95" t="s">
        <v>271</v>
      </c>
      <c r="B17" s="95"/>
      <c r="C17" s="95"/>
      <c r="D17" s="95"/>
      <c r="E17" s="96" t="n">
        <v>2</v>
      </c>
      <c r="F17" s="98" t="n">
        <f aca="false">(Componentes!AB12/(Componentes!AB12+Componentes!AB15))*Componentes!P12+(Componentes!AB15/(Componentes!AB12+Componentes!AB15))*Componentes!P15</f>
        <v>0.905661290767563</v>
      </c>
      <c r="G17" s="113" t="n">
        <f aca="false">IF('2-phenylethanol_DES'!I13="","",'2-phenylethanol_DES'!I13*7/$B$5)</f>
        <v>3.67826479438315</v>
      </c>
      <c r="H17" s="113" t="n">
        <f aca="false">IF('2-phenylethanol_DES'!G13="","",'2-phenylethanol_DES'!G13*7/$B$4)</f>
        <v>0.153484729835552</v>
      </c>
      <c r="I17" s="113" t="n">
        <f aca="false">IF('2-phenylethanol_DES'!H13="","",'2-phenylethanol_DES'!H13*7/F17)</f>
        <v>3.51978165843695</v>
      </c>
      <c r="J17" s="114"/>
      <c r="K17" s="114"/>
      <c r="L17" s="114"/>
      <c r="M17" s="114"/>
      <c r="N17" s="98" t="str">
        <f aca="false">IF(OR(J17="",K17=""),"",K17-J17)</f>
        <v/>
      </c>
      <c r="O17" s="98" t="str">
        <f aca="false">IF(OR(K17="",L17=""),"",L17-K17)</f>
        <v/>
      </c>
      <c r="P17" s="98" t="str">
        <f aca="false">IF(OR(L17="",M17=""),"",M17-L17)</f>
        <v/>
      </c>
      <c r="Q17" s="98" t="str">
        <f aca="false">IF(OR(J17="",M17=""),"",M17-J17)</f>
        <v/>
      </c>
      <c r="R17" s="98" t="str">
        <f aca="false">IF(Q17="","",N17/Q17)</f>
        <v/>
      </c>
      <c r="S17" s="98" t="str">
        <f aca="false">IF(Q17="","",O17/Q17)</f>
        <v/>
      </c>
      <c r="T17" s="98" t="str">
        <f aca="false">IF(Q17="","",P17/Q17)</f>
        <v/>
      </c>
      <c r="U17" s="115"/>
    </row>
    <row r="18" customFormat="false" ht="30" hidden="false" customHeight="true" outlineLevel="0" collapsed="false">
      <c r="A18" s="95" t="s">
        <v>272</v>
      </c>
      <c r="B18" s="95"/>
      <c r="C18" s="95"/>
      <c r="D18" s="95"/>
      <c r="E18" s="96" t="n">
        <v>3</v>
      </c>
      <c r="F18" s="98" t="n">
        <f aca="false">(Componentes!AB12/(Componentes!AB12+Componentes!AB15))*Componentes!P12+(Componentes!AB15/(Componentes!AB12+Componentes!AB15))*Componentes!P15</f>
        <v>0.905661290767563</v>
      </c>
      <c r="G18" s="113" t="n">
        <f aca="false">IF('2-phenylethanol_DES'!I14="","",'2-phenylethanol_DES'!I14*7/$B$5)</f>
        <v>3.60335005015045</v>
      </c>
      <c r="H18" s="113" t="n">
        <f aca="false">IF('2-phenylethanol_DES'!G14="","",'2-phenylethanol_DES'!G14*7/$B$4)</f>
        <v>1.83670553874156</v>
      </c>
      <c r="I18" s="113" t="n">
        <f aca="false">IF('2-phenylethanol_DES'!H14="","",'2-phenylethanol_DES'!H14*7/F18)</f>
        <v>1.84595501325127</v>
      </c>
      <c r="J18" s="114"/>
      <c r="K18" s="114"/>
      <c r="L18" s="114"/>
      <c r="M18" s="114"/>
      <c r="N18" s="98" t="str">
        <f aca="false">IF(OR(J18="",K18=""),"",K18-J18)</f>
        <v/>
      </c>
      <c r="O18" s="98" t="str">
        <f aca="false">IF(OR(K18="",L18=""),"",L18-K18)</f>
        <v/>
      </c>
      <c r="P18" s="98" t="str">
        <f aca="false">IF(OR(L18="",M18=""),"",M18-L18)</f>
        <v/>
      </c>
      <c r="Q18" s="98" t="str">
        <f aca="false">IF(OR(J18="",M18=""),"",M18-J18)</f>
        <v/>
      </c>
      <c r="R18" s="98" t="str">
        <f aca="false">IF(Q18="","",N18/Q18)</f>
        <v/>
      </c>
      <c r="S18" s="98" t="str">
        <f aca="false">IF(Q18="","",O18/Q18)</f>
        <v/>
      </c>
      <c r="T18" s="98" t="str">
        <f aca="false">IF(Q18="","",P18/Q18)</f>
        <v/>
      </c>
      <c r="U18" s="115"/>
    </row>
    <row r="19" customFormat="false" ht="30" hidden="false" customHeight="true" outlineLevel="0" collapsed="false">
      <c r="A19" s="95" t="s">
        <v>273</v>
      </c>
      <c r="B19" s="95"/>
      <c r="C19" s="95"/>
      <c r="D19" s="95"/>
      <c r="E19" s="96" t="n">
        <v>4</v>
      </c>
      <c r="F19" s="98" t="n">
        <f aca="false">(Componentes!AB12/(Componentes!AB12+Componentes!AB15))*Componentes!P12+(Componentes!AB15/(Componentes!AB12+Componentes!AB15))*Componentes!P15</f>
        <v>0.905661290767563</v>
      </c>
      <c r="G19" s="113" t="n">
        <f aca="false">IF('2-phenylethanol_DES'!I15="","",'2-phenylethanol_DES'!I15*7/$B$5)</f>
        <v>3.63824473420261</v>
      </c>
      <c r="H19" s="113" t="n">
        <f aca="false">IF('2-phenylethanol_DES'!G15="","",'2-phenylethanol_DES'!G15*7/$B$4)</f>
        <v>0.998317424707401</v>
      </c>
      <c r="I19" s="113" t="n">
        <f aca="false">IF('2-phenylethanol_DES'!H15="","",'2-phenylethanol_DES'!H15*7/F19)</f>
        <v>2.68232729472311</v>
      </c>
      <c r="J19" s="114"/>
      <c r="K19" s="114"/>
      <c r="L19" s="114"/>
      <c r="M19" s="114"/>
      <c r="N19" s="98" t="str">
        <f aca="false">IF(OR(J19="",K19=""),"",K19-J19)</f>
        <v/>
      </c>
      <c r="O19" s="98" t="str">
        <f aca="false">IF(OR(K19="",L19=""),"",L19-K19)</f>
        <v/>
      </c>
      <c r="P19" s="98" t="str">
        <f aca="false">IF(OR(L19="",M19=""),"",M19-L19)</f>
        <v/>
      </c>
      <c r="Q19" s="98" t="str">
        <f aca="false">IF(OR(J19="",M19=""),"",M19-J19)</f>
        <v/>
      </c>
      <c r="R19" s="98" t="str">
        <f aca="false">IF(Q19="","",N19/Q19)</f>
        <v/>
      </c>
      <c r="S19" s="98" t="str">
        <f aca="false">IF(Q19="","",O19/Q19)</f>
        <v/>
      </c>
      <c r="T19" s="98" t="str">
        <f aca="false">IF(Q19="","",P19/Q19)</f>
        <v/>
      </c>
      <c r="U19" s="115"/>
    </row>
    <row r="20" customFormat="false" ht="30" hidden="false" customHeight="true" outlineLevel="0" collapsed="false">
      <c r="A20" s="95" t="s">
        <v>274</v>
      </c>
      <c r="B20" s="95"/>
      <c r="C20" s="95"/>
      <c r="D20" s="95"/>
      <c r="E20" s="96" t="n">
        <v>5</v>
      </c>
      <c r="F20" s="98" t="n">
        <f aca="false">(Componentes!AB12/(Componentes!AB12+Componentes!AB15))*Componentes!P12+(Componentes!AB15/(Componentes!AB12+Componentes!AB15))*Componentes!P15</f>
        <v>0.905661290767563</v>
      </c>
      <c r="G20" s="113" t="n">
        <f aca="false">IF('2-phenylethanol_DES'!I16="","",'2-phenylethanol_DES'!I16*7/$B$5)</f>
        <v>3.57358074222668</v>
      </c>
      <c r="H20" s="113" t="n">
        <f aca="false">IF('2-phenylethanol_DES'!G16="","",'2-phenylethanol_DES'!G16*7/$B$4)</f>
        <v>2.67087134119241</v>
      </c>
      <c r="I20" s="113" t="n">
        <f aca="false">IF('2-phenylethanol_DES'!H16="","",'2-phenylethanol_DES'!H16*7/F20)</f>
        <v>1.00834606636001</v>
      </c>
      <c r="J20" s="114"/>
      <c r="K20" s="114"/>
      <c r="L20" s="114"/>
      <c r="M20" s="114"/>
      <c r="N20" s="98" t="str">
        <f aca="false">IF(OR(J20="",K20=""),"",K20-J20)</f>
        <v/>
      </c>
      <c r="O20" s="98" t="str">
        <f aca="false">IF(OR(K20="",L20=""),"",L20-K20)</f>
        <v/>
      </c>
      <c r="P20" s="98" t="str">
        <f aca="false">IF(OR(L20="",M20=""),"",M20-L20)</f>
        <v/>
      </c>
      <c r="Q20" s="98" t="str">
        <f aca="false">IF(OR(J20="",M20=""),"",M20-J20)</f>
        <v/>
      </c>
      <c r="R20" s="98" t="str">
        <f aca="false">IF(Q20="","",N20/Q20)</f>
        <v/>
      </c>
      <c r="S20" s="98" t="str">
        <f aca="false">IF(Q20="","",O20/Q20)</f>
        <v/>
      </c>
      <c r="T20" s="98" t="str">
        <f aca="false">IF(Q20="","",P20/Q20)</f>
        <v/>
      </c>
      <c r="U20" s="115"/>
    </row>
    <row r="21" customFormat="false" ht="30" hidden="false" customHeight="true" outlineLevel="0" collapsed="false">
      <c r="E21" s="116"/>
      <c r="G21" s="117"/>
      <c r="H21" s="117"/>
      <c r="I21" s="117"/>
    </row>
    <row r="22" customFormat="false" ht="30" hidden="false" customHeight="true" outlineLevel="0" collapsed="false">
      <c r="A22" s="95" t="s">
        <v>275</v>
      </c>
      <c r="B22" s="96" t="s">
        <v>218</v>
      </c>
      <c r="C22" s="95" t="s">
        <v>142</v>
      </c>
      <c r="D22" s="95" t="s">
        <v>171</v>
      </c>
      <c r="E22" s="96" t="n">
        <v>1</v>
      </c>
      <c r="F22" s="98" t="n">
        <f aca="false">(Componentes!AB12/(Componentes!AB12+Componentes!AB16))*Componentes!P12+(Componentes!AB16/(Componentes!AB12+Componentes!AB16))*Componentes!P16</f>
        <v>0.85403</v>
      </c>
      <c r="G22" s="113" t="n">
        <f aca="false">IF('2-phenylethanol_DES'!I18="","",'2-phenylethanol_DES'!I18*7/$B$5)</f>
        <v>3.54633901705115</v>
      </c>
      <c r="H22" s="113" t="n">
        <f aca="false">IF('2-phenylethanol_DES'!G18="","",'2-phenylethanol_DES'!G18*7/$B$4)</f>
        <v>3.51407437194438</v>
      </c>
      <c r="I22" s="113" t="n">
        <f aca="false">IF('2-phenylethanol_DES'!H18="","",'2-phenylethanol_DES'!H18*7/F22)</f>
        <v>0.168108848635294</v>
      </c>
      <c r="J22" s="114"/>
      <c r="K22" s="114"/>
      <c r="L22" s="114"/>
      <c r="M22" s="114"/>
      <c r="N22" s="98" t="str">
        <f aca="false">IF(OR(J22="",K22=""),"",K22-J22)</f>
        <v/>
      </c>
      <c r="O22" s="98" t="str">
        <f aca="false">IF(OR(K22="",L22=""),"",L22-K22)</f>
        <v/>
      </c>
      <c r="P22" s="98" t="str">
        <f aca="false">IF(OR(L22="",M22=""),"",M22-L22)</f>
        <v/>
      </c>
      <c r="Q22" s="98" t="str">
        <f aca="false">IF(OR(J22="",M22=""),"",M22-J22)</f>
        <v/>
      </c>
      <c r="R22" s="98" t="str">
        <f aca="false">IF(Q22="","",N22/Q22)</f>
        <v/>
      </c>
      <c r="S22" s="98" t="str">
        <f aca="false">IF(Q22="","",O22/Q22)</f>
        <v/>
      </c>
      <c r="T22" s="98" t="str">
        <f aca="false">IF(Q22="","",P22/Q22)</f>
        <v/>
      </c>
      <c r="U22" s="115"/>
    </row>
    <row r="23" customFormat="false" ht="30" hidden="false" customHeight="true" outlineLevel="0" collapsed="false">
      <c r="A23" s="95" t="s">
        <v>276</v>
      </c>
      <c r="B23" s="95"/>
      <c r="C23" s="95"/>
      <c r="D23" s="95"/>
      <c r="E23" s="96" t="n">
        <v>2</v>
      </c>
      <c r="F23" s="98" t="n">
        <f aca="false">(Componentes!AB12/(Componentes!AB12+Componentes!AB16))*Componentes!P12+(Componentes!AB16/(Componentes!AB12+Componentes!AB16))*Componentes!P16</f>
        <v>0.85403</v>
      </c>
      <c r="G23" s="113" t="n">
        <f aca="false">IF('2-phenylethanol_DES'!I19="","",'2-phenylethanol_DES'!I19*7/$B$5)</f>
        <v>3.59576730190572</v>
      </c>
      <c r="H23" s="113" t="n">
        <f aca="false">IF('2-phenylethanol_DES'!G19="","",'2-phenylethanol_DES'!G19*7/$B$4)</f>
        <v>0.150521704163051</v>
      </c>
      <c r="I23" s="113" t="n">
        <f aca="false">IF('2-phenylethanol_DES'!H19="","",'2-phenylethanol_DES'!H19*7/F23)</f>
        <v>3.83224242708102</v>
      </c>
      <c r="J23" s="114"/>
      <c r="K23" s="114"/>
      <c r="L23" s="114"/>
      <c r="M23" s="114"/>
      <c r="N23" s="98" t="str">
        <f aca="false">IF(OR(J23="",K23=""),"",K23-J23)</f>
        <v/>
      </c>
      <c r="O23" s="98" t="str">
        <f aca="false">IF(OR(K23="",L23=""),"",L23-K23)</f>
        <v/>
      </c>
      <c r="P23" s="98" t="str">
        <f aca="false">IF(OR(L23="",M23=""),"",M23-L23)</f>
        <v/>
      </c>
      <c r="Q23" s="98" t="str">
        <f aca="false">IF(OR(J23="",M23=""),"",M23-J23)</f>
        <v/>
      </c>
      <c r="R23" s="98" t="str">
        <f aca="false">IF(Q23="","",N23/Q23)</f>
        <v/>
      </c>
      <c r="S23" s="98" t="str">
        <f aca="false">IF(Q23="","",O23/Q23)</f>
        <v/>
      </c>
      <c r="T23" s="98" t="str">
        <f aca="false">IF(Q23="","",P23/Q23)</f>
        <v/>
      </c>
      <c r="U23" s="115"/>
    </row>
    <row r="24" customFormat="false" ht="30" hidden="false" customHeight="true" outlineLevel="0" collapsed="false">
      <c r="A24" s="95" t="s">
        <v>277</v>
      </c>
      <c r="B24" s="95"/>
      <c r="C24" s="95"/>
      <c r="D24" s="95"/>
      <c r="E24" s="96" t="n">
        <v>3</v>
      </c>
      <c r="F24" s="98" t="n">
        <f aca="false">(Componentes!AB12/(Componentes!AB12+Componentes!AB16))*Componentes!P12+(Componentes!AB16/(Componentes!AB12+Componentes!AB16))*Componentes!P16</f>
        <v>0.85403</v>
      </c>
      <c r="G24" s="113" t="n">
        <f aca="false">IF('2-phenylethanol_DES'!I20="","",'2-phenylethanol_DES'!I20*7/$B$5)</f>
        <v>3.56627883650953</v>
      </c>
      <c r="H24" s="113" t="n">
        <f aca="false">IF('2-phenylethanol_DES'!G20="","",'2-phenylethanol_DES'!G20*7/$B$4)</f>
        <v>1.82596457067874</v>
      </c>
      <c r="I24" s="113" t="n">
        <f aca="false">IF('2-phenylethanol_DES'!H20="","",'2-phenylethanol_DES'!H20*7/F24)</f>
        <v>2.01271618093041</v>
      </c>
      <c r="J24" s="114"/>
      <c r="K24" s="114"/>
      <c r="L24" s="114"/>
      <c r="M24" s="114"/>
      <c r="N24" s="98" t="str">
        <f aca="false">IF(OR(J24="",K24=""),"",K24-J24)</f>
        <v/>
      </c>
      <c r="O24" s="98" t="str">
        <f aca="false">IF(OR(K24="",L24=""),"",L24-K24)</f>
        <v/>
      </c>
      <c r="P24" s="98" t="str">
        <f aca="false">IF(OR(L24="",M24=""),"",M24-L24)</f>
        <v/>
      </c>
      <c r="Q24" s="98" t="str">
        <f aca="false">IF(OR(J24="",M24=""),"",M24-J24)</f>
        <v/>
      </c>
      <c r="R24" s="98" t="str">
        <f aca="false">IF(Q24="","",N24/Q24)</f>
        <v/>
      </c>
      <c r="S24" s="98" t="str">
        <f aca="false">IF(Q24="","",O24/Q24)</f>
        <v/>
      </c>
      <c r="T24" s="98" t="str">
        <f aca="false">IF(Q24="","",P24/Q24)</f>
        <v/>
      </c>
      <c r="U24" s="115"/>
    </row>
    <row r="25" customFormat="false" ht="30" hidden="false" customHeight="true" outlineLevel="0" collapsed="false">
      <c r="A25" s="95" t="s">
        <v>278</v>
      </c>
      <c r="B25" s="95"/>
      <c r="C25" s="95"/>
      <c r="D25" s="95"/>
      <c r="E25" s="96" t="n">
        <v>4</v>
      </c>
      <c r="F25" s="98" t="n">
        <f aca="false">(Componentes!AB12/(Componentes!AB12+Componentes!AB16))*Componentes!P12+(Componentes!AB16/(Componentes!AB12+Componentes!AB16))*Componentes!P16</f>
        <v>0.85403</v>
      </c>
      <c r="G25" s="113" t="n">
        <f aca="false">IF('2-phenylethanol_DES'!I21="","",'2-phenylethanol_DES'!I21*7/$B$5)</f>
        <v>3.57996990972919</v>
      </c>
      <c r="H25" s="113" t="n">
        <f aca="false">IF('2-phenylethanol_DES'!G21="","",'2-phenylethanol_DES'!G21*7/$B$4)</f>
        <v>0.984465279688459</v>
      </c>
      <c r="I25" s="113" t="n">
        <f aca="false">IF('2-phenylethanol_DES'!H21="","",'2-phenylethanol_DES'!H21*7/F25)</f>
        <v>2.92784796786998</v>
      </c>
      <c r="J25" s="114"/>
      <c r="K25" s="114"/>
      <c r="L25" s="114"/>
      <c r="M25" s="114"/>
      <c r="N25" s="98" t="str">
        <f aca="false">IF(OR(J25="",K25=""),"",K25-J25)</f>
        <v/>
      </c>
      <c r="O25" s="98" t="str">
        <f aca="false">IF(OR(K25="",L25=""),"",L25-K25)</f>
        <v/>
      </c>
      <c r="P25" s="98" t="str">
        <f aca="false">IF(OR(L25="",M25=""),"",M25-L25)</f>
        <v/>
      </c>
      <c r="Q25" s="98" t="str">
        <f aca="false">IF(OR(J25="",M25=""),"",M25-J25)</f>
        <v/>
      </c>
      <c r="R25" s="98" t="str">
        <f aca="false">IF(Q25="","",N25/Q25)</f>
        <v/>
      </c>
      <c r="S25" s="98" t="str">
        <f aca="false">IF(Q25="","",O25/Q25)</f>
        <v/>
      </c>
      <c r="T25" s="98" t="str">
        <f aca="false">IF(Q25="","",P25/Q25)</f>
        <v/>
      </c>
      <c r="U25" s="115"/>
    </row>
    <row r="26" customFormat="false" ht="30" hidden="false" customHeight="true" outlineLevel="0" collapsed="false">
      <c r="A26" s="95" t="s">
        <v>279</v>
      </c>
      <c r="B26" s="95"/>
      <c r="C26" s="95"/>
      <c r="D26" s="95"/>
      <c r="E26" s="96" t="n">
        <v>5</v>
      </c>
      <c r="F26" s="98" t="n">
        <f aca="false">(Componentes!AB12/(Componentes!AB12+Componentes!AB16))*Componentes!P12+(Componentes!AB16/(Componentes!AB12+Componentes!AB16))*Componentes!P16</f>
        <v>0.85403</v>
      </c>
      <c r="G26" s="113" t="n">
        <f aca="false">IF('2-phenylethanol_DES'!I22="","",'2-phenylethanol_DES'!I22*7/$B$5)</f>
        <v>3.55504513540622</v>
      </c>
      <c r="H26" s="113" t="n">
        <f aca="false">IF('2-phenylethanol_DES'!G22="","",'2-phenylethanol_DES'!G22*7/$B$4)</f>
        <v>2.66501936548922</v>
      </c>
      <c r="I26" s="113" t="n">
        <f aca="false">IF('2-phenylethanol_DES'!H22="","",'2-phenylethanol_DES'!H22*7/F26)</f>
        <v>1.09750242965704</v>
      </c>
      <c r="J26" s="114"/>
      <c r="K26" s="114"/>
      <c r="L26" s="114"/>
      <c r="M26" s="114"/>
      <c r="N26" s="98" t="str">
        <f aca="false">IF(OR(J26="",K26=""),"",K26-J26)</f>
        <v/>
      </c>
      <c r="O26" s="98" t="str">
        <f aca="false">IF(OR(K26="",L26=""),"",L26-K26)</f>
        <v/>
      </c>
      <c r="P26" s="98" t="str">
        <f aca="false">IF(OR(L26="",M26=""),"",M26-L26)</f>
        <v/>
      </c>
      <c r="Q26" s="98" t="str">
        <f aca="false">IF(OR(J26="",M26=""),"",M26-J26)</f>
        <v/>
      </c>
      <c r="R26" s="98" t="str">
        <f aca="false">IF(Q26="","",N26/Q26)</f>
        <v/>
      </c>
      <c r="S26" s="98" t="str">
        <f aca="false">IF(Q26="","",O26/Q26)</f>
        <v/>
      </c>
      <c r="T26" s="98" t="str">
        <f aca="false">IF(Q26="","",P26/Q26)</f>
        <v/>
      </c>
      <c r="U26" s="115"/>
    </row>
    <row r="27" customFormat="false" ht="39.75" hidden="false" customHeight="true" outlineLevel="0" collapsed="false">
      <c r="A27" s="112" t="s">
        <v>228</v>
      </c>
      <c r="B27" s="112" t="s">
        <v>208</v>
      </c>
      <c r="C27" s="112" t="s">
        <v>200</v>
      </c>
      <c r="D27" s="112" t="s">
        <v>201</v>
      </c>
      <c r="E27" s="112" t="s">
        <v>230</v>
      </c>
      <c r="F27" s="112" t="s">
        <v>249</v>
      </c>
      <c r="G27" s="112" t="s">
        <v>250</v>
      </c>
      <c r="H27" s="112" t="s">
        <v>251</v>
      </c>
      <c r="I27" s="112" t="s">
        <v>252</v>
      </c>
      <c r="J27" s="112" t="s">
        <v>253</v>
      </c>
      <c r="K27" s="112" t="s">
        <v>254</v>
      </c>
      <c r="L27" s="112" t="s">
        <v>255</v>
      </c>
      <c r="M27" s="112" t="s">
        <v>256</v>
      </c>
      <c r="N27" s="112" t="s">
        <v>257</v>
      </c>
      <c r="O27" s="112" t="s">
        <v>258</v>
      </c>
      <c r="P27" s="112" t="s">
        <v>259</v>
      </c>
      <c r="Q27" s="112" t="s">
        <v>260</v>
      </c>
      <c r="R27" s="112" t="s">
        <v>261</v>
      </c>
      <c r="S27" s="112" t="s">
        <v>262</v>
      </c>
      <c r="T27" s="112" t="s">
        <v>263</v>
      </c>
      <c r="U27" s="112" t="s">
        <v>264</v>
      </c>
    </row>
    <row r="28" customFormat="false" ht="39.75" hidden="false" customHeight="true" outlineLevel="0" collapsed="false">
      <c r="A28" s="95" t="s">
        <v>280</v>
      </c>
      <c r="B28" s="96" t="s">
        <v>194</v>
      </c>
      <c r="C28" s="95" t="s">
        <v>142</v>
      </c>
      <c r="D28" s="95" t="s">
        <v>177</v>
      </c>
      <c r="E28" s="96" t="n">
        <v>1</v>
      </c>
      <c r="F28" s="98" t="n">
        <f aca="false">(Componentes!AB12/(Componentes!AB12+Componentes!AB17))*Componentes!P12+(Componentes!AB17/(Componentes!AB12+Componentes!AB17))*Componentes!P17</f>
        <v>0.901541228929458</v>
      </c>
      <c r="G28" s="113" t="n">
        <f aca="false">IF('2-phenylethanol_DES'!I24="","",'2-phenylethanol_DES'!I24*8/$B$5)</f>
        <v>4.0462186559679</v>
      </c>
      <c r="H28" s="113" t="n">
        <f aca="false">IF('2-phenylethanol_DES'!G24="","",'2-phenylethanol_DES'!G24*8/$B$4)</f>
        <v>4.02742915193972</v>
      </c>
      <c r="I28" s="113" t="n">
        <f aca="false">IF('2-phenylethanol_DES'!H24="","",'2-phenylethanol_DES'!H24*8/F28)</f>
        <v>0.177562594879979</v>
      </c>
      <c r="J28" s="114"/>
      <c r="K28" s="114"/>
      <c r="L28" s="114"/>
      <c r="M28" s="114"/>
      <c r="N28" s="98" t="str">
        <f aca="false">IF(OR(J28="",K28=""),"",K28-J28)</f>
        <v/>
      </c>
      <c r="O28" s="98" t="str">
        <f aca="false">IF(OR(K28="",L28=""),"",L28-K28)</f>
        <v/>
      </c>
      <c r="P28" s="98" t="str">
        <f aca="false">IF(OR(L28="",M28=""),"",M28-L28)</f>
        <v/>
      </c>
      <c r="Q28" s="98" t="str">
        <f aca="false">IF(OR(J28="",M28=""),"",M28-J28)</f>
        <v/>
      </c>
      <c r="R28" s="98" t="str">
        <f aca="false">IF(Q28="","",N28/Q28)</f>
        <v/>
      </c>
      <c r="S28" s="98" t="str">
        <f aca="false">IF(Q28="","",O28/Q28)</f>
        <v/>
      </c>
      <c r="T28" s="98" t="str">
        <f aca="false">IF(Q28="","",P28/Q28)</f>
        <v/>
      </c>
      <c r="U28" s="115"/>
    </row>
    <row r="29" customFormat="false" ht="39.75" hidden="false" customHeight="true" outlineLevel="0" collapsed="false">
      <c r="A29" s="95" t="s">
        <v>281</v>
      </c>
      <c r="B29" s="95"/>
      <c r="C29" s="95"/>
      <c r="D29" s="95"/>
      <c r="E29" s="96" t="n">
        <v>2</v>
      </c>
      <c r="F29" s="98" t="n">
        <f aca="false">(Componentes!AB12/(Componentes!AB12+Componentes!AB17))*Componentes!P12+(Componentes!AB17/(Componentes!AB12+Componentes!AB17))*Componentes!P17</f>
        <v>0.901541228929458</v>
      </c>
      <c r="G29" s="113" t="n">
        <f aca="false">IF('2-phenylethanol_DES'!I25="","",'2-phenylethanol_DES'!I25*8/$B$5)</f>
        <v>4.06066198595787</v>
      </c>
      <c r="H29" s="113" t="n">
        <f aca="false">IF('2-phenylethanol_DES'!G25="","",'2-phenylethanol_DES'!G25*8/$B$4)</f>
        <v>0.176257698575631</v>
      </c>
      <c r="I29" s="113" t="n">
        <f aca="false">IF('2-phenylethanol_DES'!H25="","",'2-phenylethanol_DES'!H25*8/F29)</f>
        <v>4.19823284675997</v>
      </c>
      <c r="J29" s="114"/>
      <c r="K29" s="114"/>
      <c r="L29" s="114"/>
      <c r="M29" s="114"/>
      <c r="N29" s="98" t="str">
        <f aca="false">IF(OR(J29="",K29=""),"",K29-J29)</f>
        <v/>
      </c>
      <c r="O29" s="98" t="str">
        <f aca="false">IF(OR(K29="",L29=""),"",L29-K29)</f>
        <v/>
      </c>
      <c r="P29" s="98" t="str">
        <f aca="false">IF(OR(L29="",M29=""),"",M29-L29)</f>
        <v/>
      </c>
      <c r="Q29" s="98" t="str">
        <f aca="false">IF(OR(J29="",M29=""),"",M29-J29)</f>
        <v/>
      </c>
      <c r="R29" s="98" t="str">
        <f aca="false">IF(Q29="","",N29/Q29)</f>
        <v/>
      </c>
      <c r="S29" s="98" t="str">
        <f aca="false">IF(Q29="","",O29/Q29)</f>
        <v/>
      </c>
      <c r="T29" s="98" t="str">
        <f aca="false">IF(Q29="","",P29/Q29)</f>
        <v/>
      </c>
      <c r="U29" s="115"/>
    </row>
    <row r="30" customFormat="false" ht="39.75" hidden="false" customHeight="true" outlineLevel="0" collapsed="false">
      <c r="A30" s="95" t="s">
        <v>282</v>
      </c>
      <c r="B30" s="95"/>
      <c r="C30" s="95"/>
      <c r="D30" s="95"/>
      <c r="E30" s="96" t="n">
        <v>3</v>
      </c>
      <c r="F30" s="98" t="n">
        <f aca="false">(Componentes!AB12/(Componentes!AB12+Componentes!AB17))*Componentes!P12+(Componentes!AB17/(Componentes!AB12+Componentes!AB17))*Componentes!P17</f>
        <v>0.901541228929458</v>
      </c>
      <c r="G30" s="113" t="n">
        <f aca="false">IF('2-phenylethanol_DES'!I26="","",'2-phenylethanol_DES'!I26*8/$B$5)</f>
        <v>4.02198595787362</v>
      </c>
      <c r="H30" s="113" t="n">
        <f aca="false">IF('2-phenylethanol_DES'!G26="","",'2-phenylethanol_DES'!G26*8/$B$4)</f>
        <v>2.07191686596542</v>
      </c>
      <c r="I30" s="113" t="n">
        <f aca="false">IF('2-phenylethanol_DES'!H26="","",'2-phenylethanol_DES'!H26*8/F30)</f>
        <v>2.25418420676468</v>
      </c>
      <c r="J30" s="114"/>
      <c r="K30" s="114"/>
      <c r="L30" s="114"/>
      <c r="M30" s="114"/>
      <c r="N30" s="98" t="str">
        <f aca="false">IF(OR(J30="",K30=""),"",K30-J30)</f>
        <v/>
      </c>
      <c r="O30" s="98" t="str">
        <f aca="false">IF(OR(K30="",L30=""),"",L30-K30)</f>
        <v/>
      </c>
      <c r="P30" s="98" t="str">
        <f aca="false">IF(OR(L30="",M30=""),"",M30-L30)</f>
        <v/>
      </c>
      <c r="Q30" s="98" t="str">
        <f aca="false">IF(OR(J30="",M30=""),"",M30-J30)</f>
        <v/>
      </c>
      <c r="R30" s="98" t="str">
        <f aca="false">IF(Q30="","",N30/Q30)</f>
        <v/>
      </c>
      <c r="S30" s="98" t="str">
        <f aca="false">IF(Q30="","",O30/Q30)</f>
        <v/>
      </c>
      <c r="T30" s="98" t="str">
        <f aca="false">IF(Q30="","",P30/Q30)</f>
        <v/>
      </c>
      <c r="U30" s="115"/>
    </row>
    <row r="31" customFormat="false" ht="39.75" hidden="false" customHeight="true" outlineLevel="0" collapsed="false">
      <c r="A31" s="95" t="s">
        <v>283</v>
      </c>
      <c r="B31" s="95"/>
      <c r="C31" s="95"/>
      <c r="D31" s="95"/>
      <c r="E31" s="96" t="n">
        <v>4</v>
      </c>
      <c r="F31" s="98" t="n">
        <f aca="false">(Componentes!AB12/(Componentes!AB12+Componentes!AB17))*Componentes!P12+(Componentes!AB17/(Componentes!AB12+Componentes!AB17))*Componentes!P17</f>
        <v>0.901541228929458</v>
      </c>
      <c r="G31" s="113" t="n">
        <f aca="false">IF('2-phenylethanol_DES'!I27="","",'2-phenylethanol_DES'!I27*8/$B$5)</f>
        <v>4.02511534603811</v>
      </c>
      <c r="H31" s="113" t="n">
        <f aca="false">IF('2-phenylethanol_DES'!G27="","",'2-phenylethanol_DES'!G27*8/$B$4)</f>
        <v>3.03600076192089</v>
      </c>
      <c r="I31" s="113" t="n">
        <f aca="false">IF('2-phenylethanol_DES'!H27="","",'2-phenylethanol_DES'!H27*8/F31)</f>
        <v>1.24009858243264</v>
      </c>
      <c r="J31" s="114"/>
      <c r="K31" s="114"/>
      <c r="L31" s="114"/>
      <c r="M31" s="114"/>
      <c r="N31" s="98" t="str">
        <f aca="false">IF(OR(J31="",K31=""),"",K31-J31)</f>
        <v/>
      </c>
      <c r="O31" s="98" t="str">
        <f aca="false">IF(OR(K31="",L31=""),"",L31-K31)</f>
        <v/>
      </c>
      <c r="P31" s="98" t="str">
        <f aca="false">IF(OR(L31="",M31=""),"",M31-L31)</f>
        <v/>
      </c>
      <c r="Q31" s="98" t="str">
        <f aca="false">IF(OR(J31="",M31=""),"",M31-J31)</f>
        <v/>
      </c>
      <c r="R31" s="98" t="str">
        <f aca="false">IF(Q31="","",N31/Q31)</f>
        <v/>
      </c>
      <c r="S31" s="98" t="str">
        <f aca="false">IF(Q31="","",O31/Q31)</f>
        <v/>
      </c>
      <c r="T31" s="98" t="str">
        <f aca="false">IF(Q31="","",P31/Q31)</f>
        <v/>
      </c>
      <c r="U31" s="115"/>
    </row>
    <row r="32" customFormat="false" ht="39.75" hidden="false" customHeight="true" outlineLevel="0" collapsed="false">
      <c r="A32" s="95" t="s">
        <v>284</v>
      </c>
      <c r="B32" s="95"/>
      <c r="C32" s="95"/>
      <c r="D32" s="95"/>
      <c r="E32" s="96" t="n">
        <v>5</v>
      </c>
      <c r="F32" s="98" t="n">
        <f aca="false">(Componentes!AB12/(Componentes!AB12+Componentes!AB17))*Componentes!P12+(Componentes!AB17/(Componentes!AB12+Componentes!AB17))*Componentes!P17</f>
        <v>0.901541228929458</v>
      </c>
      <c r="G32" s="113" t="n">
        <f aca="false">IF('2-phenylethanol_DES'!I28="","",'2-phenylethanol_DES'!I28*8/$B$5)</f>
        <v>4.03458375125376</v>
      </c>
      <c r="H32" s="113" t="n">
        <f aca="false">IF('2-phenylethanol_DES'!G28="","",'2-phenylethanol_DES'!G28*8/$B$4)</f>
        <v>1.12349467713602</v>
      </c>
      <c r="I32" s="113" t="n">
        <f aca="false">IF('2-phenylethanol_DES'!H28="","",'2-phenylethanol_DES'!H28*8/F32)</f>
        <v>3.23428358729909</v>
      </c>
      <c r="J32" s="114"/>
      <c r="K32" s="114"/>
      <c r="L32" s="114"/>
      <c r="M32" s="114"/>
      <c r="N32" s="98" t="str">
        <f aca="false">IF(OR(J32="",K32=""),"",K32-J32)</f>
        <v/>
      </c>
      <c r="O32" s="98" t="str">
        <f aca="false">IF(OR(K32="",L32=""),"",L32-K32)</f>
        <v/>
      </c>
      <c r="P32" s="98" t="str">
        <f aca="false">IF(OR(L32="",M32=""),"",M32-L32)</f>
        <v/>
      </c>
      <c r="Q32" s="98" t="str">
        <f aca="false">IF(OR(J32="",M32=""),"",M32-J32)</f>
        <v/>
      </c>
      <c r="R32" s="98" t="str">
        <f aca="false">IF(Q32="","",N32/Q32)</f>
        <v/>
      </c>
      <c r="S32" s="98" t="str">
        <f aca="false">IF(Q32="","",O32/Q32)</f>
        <v/>
      </c>
      <c r="T32" s="98" t="str">
        <f aca="false">IF(Q32="","",P32/Q32)</f>
        <v/>
      </c>
      <c r="U32" s="115"/>
    </row>
    <row r="33" customFormat="false" ht="39.75" hidden="false" customHeight="true" outlineLevel="0" collapsed="false">
      <c r="E33" s="116"/>
      <c r="G33" s="117"/>
      <c r="H33" s="117"/>
      <c r="I33" s="117"/>
    </row>
    <row r="34" customFormat="false" ht="39.75" hidden="false" customHeight="true" outlineLevel="0" collapsed="false">
      <c r="A34" s="95" t="s">
        <v>285</v>
      </c>
      <c r="B34" s="96" t="s">
        <v>219</v>
      </c>
      <c r="C34" s="95" t="s">
        <v>142</v>
      </c>
      <c r="D34" s="95" t="s">
        <v>203</v>
      </c>
      <c r="E34" s="96" t="n">
        <v>1</v>
      </c>
      <c r="F34" s="98" t="n">
        <f aca="false">(Componentes!AB12/(Componentes!AB12+Componentes!AB14))*Componentes!P12+(Componentes!AB14/(Componentes!AB12+Componentes!AB14))*Componentes!P14</f>
        <v>0.89000063876215</v>
      </c>
      <c r="G34" s="113" t="n">
        <f aca="false">IF('2-phenylethanol_DES'!I30="","",'2-phenylethanol_DES'!I30*7/$B$5)</f>
        <v>3.53292878635908</v>
      </c>
      <c r="H34" s="113" t="n">
        <f aca="false">IF('2-phenylethanol_DES'!G30="","",'2-phenylethanol_DES'!G30*7/$B$4)</f>
        <v>0.150373552879426</v>
      </c>
      <c r="I34" s="113" t="n">
        <f aca="false">IF('2-phenylethanol_DES'!H30="","",'2-phenylethanol_DES'!H30*7/F34)</f>
        <v>3.74782877081892</v>
      </c>
      <c r="J34" s="114"/>
      <c r="K34" s="114"/>
      <c r="L34" s="114"/>
      <c r="M34" s="114"/>
      <c r="N34" s="98" t="str">
        <f aca="false">IF(OR(J34="",K34=""),"",K34-J34)</f>
        <v/>
      </c>
      <c r="O34" s="98" t="str">
        <f aca="false">IF(OR(K34="",L34=""),"",L34-K34)</f>
        <v/>
      </c>
      <c r="P34" s="98" t="str">
        <f aca="false">IF(OR(L34="",M34=""),"",M34-L34)</f>
        <v/>
      </c>
      <c r="Q34" s="98" t="str">
        <f aca="false">IF(OR(J34="",M34=""),"",M34-J34)</f>
        <v/>
      </c>
      <c r="R34" s="98" t="str">
        <f aca="false">IF(Q34="","",N34/Q34)</f>
        <v/>
      </c>
      <c r="S34" s="98" t="str">
        <f aca="false">IF(Q34="","",O34/Q34)</f>
        <v/>
      </c>
      <c r="T34" s="98" t="str">
        <f aca="false">IF(Q34="","",P34/Q34)</f>
        <v/>
      </c>
      <c r="U34" s="115"/>
    </row>
    <row r="35" customFormat="false" ht="39.75" hidden="false" customHeight="true" outlineLevel="0" collapsed="false">
      <c r="A35" s="95" t="s">
        <v>286</v>
      </c>
      <c r="B35" s="95"/>
      <c r="C35" s="95"/>
      <c r="D35" s="95"/>
      <c r="E35" s="96" t="n">
        <v>2</v>
      </c>
      <c r="F35" s="98" t="n">
        <f aca="false">(Componentes!AB12/(Componentes!AB12+Componentes!AB14))*Componentes!P12+(Componentes!AB14/(Componentes!AB12+Componentes!AB14))*Componentes!P14</f>
        <v>0.89000063876215</v>
      </c>
      <c r="G35" s="113" t="n">
        <f aca="false">IF('2-phenylethanol_DES'!I31="","",'2-phenylethanol_DES'!I31*7/$B$5)</f>
        <v>3.54044132397192</v>
      </c>
      <c r="H35" s="113" t="n">
        <f aca="false">IF('2-phenylethanol_DES'!G31="","",'2-phenylethanol_DES'!G31*7/$B$4)</f>
        <v>3.51948189379669</v>
      </c>
      <c r="I35" s="113" t="n">
        <f aca="false">IF('2-phenylethanol_DES'!H31="","",'2-phenylethanol_DES'!H31*7/F35)</f>
        <v>0.162101007253946</v>
      </c>
      <c r="J35" s="114"/>
      <c r="K35" s="114"/>
      <c r="L35" s="114"/>
      <c r="M35" s="114"/>
      <c r="N35" s="98" t="str">
        <f aca="false">IF(OR(J35="",K35=""),"",K35-J35)</f>
        <v/>
      </c>
      <c r="O35" s="98" t="str">
        <f aca="false">IF(OR(K35="",L35=""),"",L35-K35)</f>
        <v/>
      </c>
      <c r="P35" s="98" t="str">
        <f aca="false">IF(OR(L35="",M35=""),"",M35-L35)</f>
        <v/>
      </c>
      <c r="Q35" s="98" t="str">
        <f aca="false">IF(OR(J35="",M35=""),"",M35-J35)</f>
        <v/>
      </c>
      <c r="R35" s="98" t="str">
        <f aca="false">IF(Q35="","",N35/Q35)</f>
        <v/>
      </c>
      <c r="S35" s="98" t="str">
        <f aca="false">IF(Q35="","",O35/Q35)</f>
        <v/>
      </c>
      <c r="T35" s="98" t="str">
        <f aca="false">IF(Q35="","",P35/Q35)</f>
        <v/>
      </c>
      <c r="U35" s="115"/>
    </row>
    <row r="36" customFormat="false" ht="39.75" hidden="false" customHeight="true" outlineLevel="0" collapsed="false">
      <c r="A36" s="95" t="s">
        <v>287</v>
      </c>
      <c r="B36" s="95"/>
      <c r="C36" s="95"/>
      <c r="D36" s="95"/>
      <c r="E36" s="96" t="n">
        <v>3</v>
      </c>
      <c r="F36" s="98" t="n">
        <f aca="false">(Componentes!AB12/(Componentes!AB12+Componentes!AB14))*Componentes!P12+(Componentes!AB14/(Componentes!AB12+Componentes!AB14))*Componentes!P14</f>
        <v>0.89000063876215</v>
      </c>
      <c r="G36" s="113" t="n">
        <f aca="false">IF('2-phenylethanol_DES'!I32="","",'2-phenylethanol_DES'!I32*7/$B$5)</f>
        <v>3.51565697091274</v>
      </c>
      <c r="H36" s="113" t="n">
        <f aca="false">IF('2-phenylethanol_DES'!G32="","",'2-phenylethanol_DES'!G32*7/$B$4)</f>
        <v>1.81307540900337</v>
      </c>
      <c r="I36" s="113" t="n">
        <f aca="false">IF('2-phenylethanol_DES'!H32="","",'2-phenylethanol_DES'!H32*7/F36)</f>
        <v>2.00176260825822</v>
      </c>
      <c r="J36" s="114"/>
      <c r="K36" s="114"/>
      <c r="L36" s="114"/>
      <c r="M36" s="114"/>
      <c r="N36" s="98" t="str">
        <f aca="false">IF(OR(J36="",K36=""),"",K36-J36)</f>
        <v/>
      </c>
      <c r="O36" s="98" t="str">
        <f aca="false">IF(OR(K36="",L36=""),"",L36-K36)</f>
        <v/>
      </c>
      <c r="P36" s="98" t="str">
        <f aca="false">IF(OR(L36="",M36=""),"",M36-L36)</f>
        <v/>
      </c>
      <c r="Q36" s="98" t="str">
        <f aca="false">IF(OR(J36="",M36=""),"",M36-J36)</f>
        <v/>
      </c>
      <c r="R36" s="98" t="str">
        <f aca="false">IF(Q36="","",N36/Q36)</f>
        <v/>
      </c>
      <c r="S36" s="98" t="str">
        <f aca="false">IF(Q36="","",O36/Q36)</f>
        <v/>
      </c>
      <c r="T36" s="98" t="str">
        <f aca="false">IF(Q36="","",P36/Q36)</f>
        <v/>
      </c>
      <c r="U36" s="115"/>
    </row>
    <row r="37" customFormat="false" ht="39.75" hidden="false" customHeight="true" outlineLevel="0" collapsed="false">
      <c r="A37" s="95" t="s">
        <v>288</v>
      </c>
      <c r="B37" s="95"/>
      <c r="C37" s="95"/>
      <c r="D37" s="95"/>
      <c r="E37" s="96" t="n">
        <v>4</v>
      </c>
      <c r="F37" s="98" t="n">
        <f aca="false">(Componentes!AB12/(Componentes!AB12+Componentes!AB14))*Componentes!P12+(Componentes!AB14/(Componentes!AB12+Componentes!AB14))*Componentes!P14</f>
        <v>0.89000063876215</v>
      </c>
      <c r="G37" s="113" t="n">
        <f aca="false">IF('2-phenylethanol_DES'!I33="","",'2-phenylethanol_DES'!I33*7/$B$5)</f>
        <v>3.51937813440321</v>
      </c>
      <c r="H37" s="113" t="n">
        <f aca="false">IF('2-phenylethanol_DES'!G33="","",'2-phenylethanol_DES'!G33*7/$B$4)</f>
        <v>0.980168892463333</v>
      </c>
      <c r="I37" s="113" t="n">
        <f aca="false">IF('2-phenylethanol_DES'!H33="","",'2-phenylethanol_DES'!H33*7/F37)</f>
        <v>2.88195298777249</v>
      </c>
      <c r="J37" s="114"/>
      <c r="K37" s="114"/>
      <c r="L37" s="114"/>
      <c r="M37" s="114"/>
      <c r="N37" s="98" t="str">
        <f aca="false">IF(OR(J37="",K37=""),"",K37-J37)</f>
        <v/>
      </c>
      <c r="O37" s="98" t="str">
        <f aca="false">IF(OR(K37="",L37=""),"",L37-K37)</f>
        <v/>
      </c>
      <c r="P37" s="98" t="str">
        <f aca="false">IF(OR(L37="",M37=""),"",M37-L37)</f>
        <v/>
      </c>
      <c r="Q37" s="98" t="str">
        <f aca="false">IF(OR(J37="",M37=""),"",M37-J37)</f>
        <v/>
      </c>
      <c r="R37" s="98" t="str">
        <f aca="false">IF(Q37="","",N37/Q37)</f>
        <v/>
      </c>
      <c r="S37" s="98" t="str">
        <f aca="false">IF(Q37="","",O37/Q37)</f>
        <v/>
      </c>
      <c r="T37" s="98" t="str">
        <f aca="false">IF(Q37="","",P37/Q37)</f>
        <v/>
      </c>
      <c r="U37" s="115"/>
    </row>
    <row r="38" customFormat="false" ht="39.75" hidden="false" customHeight="true" outlineLevel="0" collapsed="false">
      <c r="A38" s="95" t="s">
        <v>289</v>
      </c>
      <c r="B38" s="95"/>
      <c r="C38" s="95"/>
      <c r="D38" s="95"/>
      <c r="E38" s="96" t="n">
        <v>5</v>
      </c>
      <c r="F38" s="98" t="n">
        <f aca="false">(Componentes!AB12/(Componentes!AB12+Componentes!AB14))*Componentes!P12+(Componentes!AB14/(Componentes!AB12+Componentes!AB14))*Componentes!P14</f>
        <v>0.89000063876215</v>
      </c>
      <c r="G38" s="113" t="n">
        <f aca="false">IF('2-phenylethanol_DES'!I34="","",'2-phenylethanol_DES'!I34*7/$B$5)</f>
        <v>3.52197592778335</v>
      </c>
      <c r="H38" s="113" t="n">
        <f aca="false">IF('2-phenylethanol_DES'!G34="","",'2-phenylethanol_DES'!G34*7/$B$4)</f>
        <v>2.65627843975534</v>
      </c>
      <c r="I38" s="113" t="n">
        <f aca="false">IF('2-phenylethanol_DES'!H34="","",'2-phenylethanol_DES'!H34*7/F38)</f>
        <v>1.09931381775274</v>
      </c>
      <c r="J38" s="114"/>
      <c r="K38" s="114"/>
      <c r="L38" s="114"/>
      <c r="M38" s="114"/>
      <c r="N38" s="98" t="str">
        <f aca="false">IF(OR(J38="",K38=""),"",K38-J38)</f>
        <v/>
      </c>
      <c r="O38" s="98" t="str">
        <f aca="false">IF(OR(K38="",L38=""),"",L38-K38)</f>
        <v/>
      </c>
      <c r="P38" s="98" t="str">
        <f aca="false">IF(OR(L38="",M38=""),"",M38-L38)</f>
        <v/>
      </c>
      <c r="Q38" s="98" t="str">
        <f aca="false">IF(OR(J38="",M38=""),"",M38-J38)</f>
        <v/>
      </c>
      <c r="R38" s="98" t="str">
        <f aca="false">IF(Q38="","",N38/Q38)</f>
        <v/>
      </c>
      <c r="S38" s="98" t="str">
        <f aca="false">IF(Q38="","",O38/Q38)</f>
        <v/>
      </c>
      <c r="T38" s="98" t="str">
        <f aca="false">IF(Q38="","",P38/Q38)</f>
        <v/>
      </c>
      <c r="U38" s="115"/>
    </row>
    <row r="39" customFormat="false" ht="39.75" hidden="false" customHeight="true" outlineLevel="0" collapsed="false">
      <c r="E39" s="116"/>
      <c r="G39" s="117"/>
      <c r="H39" s="117"/>
      <c r="I39" s="117"/>
    </row>
    <row r="40" customFormat="false" ht="39.75" hidden="false" customHeight="true" outlineLevel="0" collapsed="false">
      <c r="A40" s="95" t="s">
        <v>290</v>
      </c>
      <c r="B40" s="96" t="s">
        <v>195</v>
      </c>
      <c r="C40" s="95" t="s">
        <v>203</v>
      </c>
      <c r="D40" s="95" t="s">
        <v>202</v>
      </c>
      <c r="E40" s="96" t="n">
        <v>1</v>
      </c>
      <c r="F40" s="98" t="n">
        <f aca="false">(Componentes!AB14/(Componentes!AB14+Componentes!AB13))*Componentes!P14+(Componentes!AB13/(Componentes!AB14+Componentes!AB13))*Componentes!P13</f>
        <v>0.96</v>
      </c>
      <c r="G40" s="113" t="n">
        <f aca="false">IF('2-phenylethanol_DES'!I36="","",'2-phenylethanol_DES'!I36*7/$B$5)</f>
        <v>3.49873620862588</v>
      </c>
      <c r="H40" s="113" t="n">
        <f aca="false">IF('2-phenylethanol_DES'!G36="","",'2-phenylethanol_DES'!G36*7/$B$4)</f>
        <v>0.152225443924739</v>
      </c>
      <c r="I40" s="113" t="n">
        <f aca="false">IF('2-phenylethanol_DES'!H36="","",'2-phenylethanol_DES'!H36*7/F40)</f>
        <v>3.50823958333333</v>
      </c>
      <c r="J40" s="114"/>
      <c r="K40" s="114"/>
      <c r="L40" s="114"/>
      <c r="M40" s="114"/>
      <c r="N40" s="98" t="str">
        <f aca="false">IF(OR(J40="",K40=""),"",K40-J40)</f>
        <v/>
      </c>
      <c r="O40" s="98" t="str">
        <f aca="false">IF(OR(K40="",L40=""),"",L40-K40)</f>
        <v/>
      </c>
      <c r="P40" s="98" t="str">
        <f aca="false">IF(OR(L40="",M40=""),"",M40-L40)</f>
        <v/>
      </c>
      <c r="Q40" s="98" t="str">
        <f aca="false">IF(OR(J40="",M40=""),"",M40-J40)</f>
        <v/>
      </c>
      <c r="R40" s="98" t="str">
        <f aca="false">IF(Q40="","",N40/Q40)</f>
        <v/>
      </c>
      <c r="S40" s="98" t="str">
        <f aca="false">IF(Q40="","",O40/Q40)</f>
        <v/>
      </c>
      <c r="T40" s="98" t="str">
        <f aca="false">IF(Q40="","",P40/Q40)</f>
        <v/>
      </c>
      <c r="U40" s="115"/>
    </row>
    <row r="41" customFormat="false" ht="39.75" hidden="false" customHeight="true" outlineLevel="0" collapsed="false">
      <c r="A41" s="95" t="s">
        <v>291</v>
      </c>
      <c r="B41" s="95"/>
      <c r="C41" s="95"/>
      <c r="D41" s="95"/>
      <c r="E41" s="96" t="n">
        <v>2</v>
      </c>
      <c r="F41" s="98" t="n">
        <f aca="false">(Componentes!AB14/(Componentes!AB14+Componentes!AB13))*Componentes!P14+(Componentes!AB13/(Componentes!AB14+Componentes!AB13))*Componentes!P13</f>
        <v>0.96</v>
      </c>
      <c r="G41" s="113" t="n">
        <f aca="false">IF('2-phenylethanol_DES'!I37="","",'2-phenylethanol_DES'!I37*7/$B$5)</f>
        <v>3.53433299899699</v>
      </c>
      <c r="H41" s="113" t="n">
        <f aca="false">IF('2-phenylethanol_DES'!G37="","",'2-phenylethanol_DES'!G37*7/$B$4)</f>
        <v>3.5260005502762</v>
      </c>
      <c r="I41" s="113" t="n">
        <f aca="false">IF('2-phenylethanol_DES'!H37="","",'2-phenylethanol_DES'!H37*7/F41)</f>
        <v>0.15028125</v>
      </c>
      <c r="J41" s="114"/>
      <c r="K41" s="114"/>
      <c r="L41" s="114"/>
      <c r="M41" s="114"/>
      <c r="N41" s="98" t="str">
        <f aca="false">IF(OR(J41="",K41=""),"",K41-J41)</f>
        <v/>
      </c>
      <c r="O41" s="98" t="str">
        <f aca="false">IF(OR(K41="",L41=""),"",L41-K41)</f>
        <v/>
      </c>
      <c r="P41" s="98" t="str">
        <f aca="false">IF(OR(L41="",M41=""),"",M41-L41)</f>
        <v/>
      </c>
      <c r="Q41" s="98" t="str">
        <f aca="false">IF(OR(J41="",M41=""),"",M41-J41)</f>
        <v/>
      </c>
      <c r="R41" s="98" t="str">
        <f aca="false">IF(Q41="","",N41/Q41)</f>
        <v/>
      </c>
      <c r="S41" s="98" t="str">
        <f aca="false">IF(Q41="","",O41/Q41)</f>
        <v/>
      </c>
      <c r="T41" s="98" t="str">
        <f aca="false">IF(Q41="","",P41/Q41)</f>
        <v/>
      </c>
      <c r="U41" s="115"/>
    </row>
    <row r="42" customFormat="false" ht="39.75" hidden="false" customHeight="true" outlineLevel="0" collapsed="false">
      <c r="A42" s="95" t="s">
        <v>292</v>
      </c>
      <c r="B42" s="95"/>
      <c r="C42" s="95"/>
      <c r="D42" s="95"/>
      <c r="E42" s="96" t="n">
        <v>3</v>
      </c>
      <c r="F42" s="98" t="n">
        <f aca="false">(Componentes!AB14/(Componentes!AB14+Componentes!AB13))*Componentes!P14+(Componentes!AB13/(Componentes!AB14+Componentes!AB13))*Componentes!P13</f>
        <v>0.96</v>
      </c>
      <c r="G42" s="113" t="n">
        <f aca="false">IF('2-phenylethanol_DES'!I38="","",'2-phenylethanol_DES'!I38*7/$B$5)</f>
        <v>3.47367101303912</v>
      </c>
      <c r="H42" s="113" t="n">
        <f aca="false">IF('2-phenylethanol_DES'!G38="","",'2-phenylethanol_DES'!G38*7/$B$4)</f>
        <v>1.80685305509111</v>
      </c>
      <c r="I42" s="113" t="n">
        <f aca="false">IF('2-phenylethanol_DES'!H38="","",'2-phenylethanol_DES'!H38*7/F42)</f>
        <v>1.90553125</v>
      </c>
      <c r="J42" s="114"/>
      <c r="K42" s="114"/>
      <c r="L42" s="114"/>
      <c r="M42" s="114"/>
      <c r="N42" s="98" t="str">
        <f aca="false">IF(OR(J42="",K42=""),"",K42-J42)</f>
        <v/>
      </c>
      <c r="O42" s="98" t="str">
        <f aca="false">IF(OR(K42="",L42=""),"",L42-K42)</f>
        <v/>
      </c>
      <c r="P42" s="98" t="str">
        <f aca="false">IF(OR(L42="",M42=""),"",M42-L42)</f>
        <v/>
      </c>
      <c r="Q42" s="98" t="str">
        <f aca="false">IF(OR(J42="",M42=""),"",M42-J42)</f>
        <v/>
      </c>
      <c r="R42" s="98" t="str">
        <f aca="false">IF(Q42="","",N42/Q42)</f>
        <v/>
      </c>
      <c r="S42" s="98" t="str">
        <f aca="false">IF(Q42="","",O42/Q42)</f>
        <v/>
      </c>
      <c r="T42" s="98" t="str">
        <f aca="false">IF(Q42="","",P42/Q42)</f>
        <v/>
      </c>
      <c r="U42" s="115"/>
    </row>
    <row r="43" customFormat="false" ht="39.75" hidden="false" customHeight="true" outlineLevel="0" collapsed="false">
      <c r="A43" s="95" t="s">
        <v>293</v>
      </c>
      <c r="B43" s="95"/>
      <c r="C43" s="95"/>
      <c r="D43" s="95"/>
      <c r="E43" s="96" t="n">
        <v>4</v>
      </c>
      <c r="F43" s="98" t="n">
        <f aca="false">(Componentes!AB14/(Componentes!AB14+Componentes!AB13))*Componentes!P14+(Componentes!AB13/(Componentes!AB14+Componentes!AB13))*Componentes!P13</f>
        <v>0.96</v>
      </c>
      <c r="G43" s="113" t="n">
        <f aca="false">IF('2-phenylethanol_DES'!I39="","",'2-phenylethanol_DES'!I39*7/$B$5)</f>
        <v>3.49066198595787</v>
      </c>
      <c r="H43" s="113" t="n">
        <f aca="false">IF('2-phenylethanol_DES'!G39="","",'2-phenylethanol_DES'!G39*7/$B$4)</f>
        <v>2.65257465766471</v>
      </c>
      <c r="I43" s="113" t="n">
        <f aca="false">IF('2-phenylethanol_DES'!H39="","",'2-phenylethanol_DES'!H39*7/F43)</f>
        <v>1.05539583333333</v>
      </c>
      <c r="J43" s="114"/>
      <c r="K43" s="114"/>
      <c r="L43" s="114"/>
      <c r="M43" s="114"/>
      <c r="N43" s="98" t="str">
        <f aca="false">IF(OR(J43="",K43=""),"",K43-J43)</f>
        <v/>
      </c>
      <c r="O43" s="98" t="str">
        <f aca="false">IF(OR(K43="",L43=""),"",L43-K43)</f>
        <v/>
      </c>
      <c r="P43" s="98" t="str">
        <f aca="false">IF(OR(L43="",M43=""),"",M43-L43)</f>
        <v/>
      </c>
      <c r="Q43" s="98" t="str">
        <f aca="false">IF(OR(J43="",M43=""),"",M43-J43)</f>
        <v/>
      </c>
      <c r="R43" s="98" t="str">
        <f aca="false">IF(Q43="","",N43/Q43)</f>
        <v/>
      </c>
      <c r="S43" s="98" t="str">
        <f aca="false">IF(Q43="","",O43/Q43)</f>
        <v/>
      </c>
      <c r="T43" s="98" t="str">
        <f aca="false">IF(Q43="","",P43/Q43)</f>
        <v/>
      </c>
      <c r="U43" s="115"/>
    </row>
    <row r="44" customFormat="false" ht="39.75" hidden="false" customHeight="true" outlineLevel="0" collapsed="false">
      <c r="A44" s="95" t="s">
        <v>294</v>
      </c>
      <c r="B44" s="95"/>
      <c r="C44" s="95"/>
      <c r="D44" s="95"/>
      <c r="E44" s="96" t="n">
        <v>5</v>
      </c>
      <c r="F44" s="98" t="n">
        <f aca="false">(Componentes!AB14/(Componentes!AB14+Componentes!AB13))*Componentes!P14+(Componentes!AB13/(Componentes!AB14+Componentes!AB13))*Componentes!P13</f>
        <v>0.96</v>
      </c>
      <c r="G44" s="113" t="n">
        <f aca="false">IF('2-phenylethanol_DES'!I40="","",'2-phenylethanol_DES'!I40*7/$B$5)</f>
        <v>3.47507522567703</v>
      </c>
      <c r="H44" s="113" t="n">
        <f aca="false">IF('2-phenylethanol_DES'!G40="","",'2-phenylethanol_DES'!G40*7/$B$4)</f>
        <v>0.978761455268895</v>
      </c>
      <c r="I44" s="113" t="n">
        <f aca="false">IF('2-phenylethanol_DES'!H40="","",'2-phenylethanol_DES'!H40*7/F44)</f>
        <v>2.71920833333333</v>
      </c>
      <c r="J44" s="114"/>
      <c r="K44" s="114"/>
      <c r="L44" s="114"/>
      <c r="M44" s="114"/>
      <c r="N44" s="98" t="str">
        <f aca="false">IF(OR(J44="",K44=""),"",K44-J44)</f>
        <v/>
      </c>
      <c r="O44" s="98" t="str">
        <f aca="false">IF(OR(K44="",L44=""),"",L44-K44)</f>
        <v/>
      </c>
      <c r="P44" s="98" t="str">
        <f aca="false">IF(OR(L44="",M44=""),"",M44-L44)</f>
        <v/>
      </c>
      <c r="Q44" s="98" t="str">
        <f aca="false">IF(OR(J44="",M44=""),"",M44-J44)</f>
        <v/>
      </c>
      <c r="R44" s="98" t="str">
        <f aca="false">IF(Q44="","",N44/Q44)</f>
        <v/>
      </c>
      <c r="S44" s="98" t="str">
        <f aca="false">IF(Q44="","",O44/Q44)</f>
        <v/>
      </c>
      <c r="T44" s="98" t="str">
        <f aca="false">IF(Q44="","",P44/Q44)</f>
        <v/>
      </c>
      <c r="U44" s="115"/>
    </row>
    <row r="45" customFormat="false" ht="39.75" hidden="false" customHeight="true" outlineLevel="0" collapsed="false">
      <c r="A45" s="112" t="s">
        <v>228</v>
      </c>
      <c r="B45" s="112" t="s">
        <v>208</v>
      </c>
      <c r="C45" s="112" t="s">
        <v>200</v>
      </c>
      <c r="D45" s="112" t="s">
        <v>201</v>
      </c>
      <c r="E45" s="112" t="s">
        <v>230</v>
      </c>
      <c r="F45" s="112" t="s">
        <v>249</v>
      </c>
      <c r="G45" s="112" t="s">
        <v>250</v>
      </c>
      <c r="H45" s="112" t="s">
        <v>251</v>
      </c>
      <c r="I45" s="112" t="s">
        <v>252</v>
      </c>
      <c r="J45" s="112" t="s">
        <v>253</v>
      </c>
      <c r="K45" s="112" t="s">
        <v>254</v>
      </c>
      <c r="L45" s="112" t="s">
        <v>255</v>
      </c>
      <c r="M45" s="112" t="s">
        <v>256</v>
      </c>
      <c r="N45" s="112" t="s">
        <v>257</v>
      </c>
      <c r="O45" s="112" t="s">
        <v>258</v>
      </c>
      <c r="P45" s="112" t="s">
        <v>259</v>
      </c>
      <c r="Q45" s="112" t="s">
        <v>260</v>
      </c>
      <c r="R45" s="112" t="s">
        <v>261</v>
      </c>
      <c r="S45" s="112" t="s">
        <v>262</v>
      </c>
      <c r="T45" s="112" t="s">
        <v>263</v>
      </c>
      <c r="U45" s="112" t="s">
        <v>264</v>
      </c>
    </row>
    <row r="46" customFormat="false" ht="39.75" hidden="false" customHeight="true" outlineLevel="0" collapsed="false">
      <c r="A46" s="95" t="s">
        <v>295</v>
      </c>
      <c r="B46" s="96" t="s">
        <v>197</v>
      </c>
      <c r="C46" s="95" t="s">
        <v>203</v>
      </c>
      <c r="D46" s="95" t="s">
        <v>171</v>
      </c>
      <c r="E46" s="96" t="n">
        <v>1</v>
      </c>
      <c r="F46" s="98" t="n">
        <f aca="false">(Componentes!AB14/(Componentes!AB14+Componentes!AB16))*Componentes!P14+(Componentes!AB16/(Componentes!AB14+Componentes!AB16))*Componentes!P16</f>
        <v>0.924737089201878</v>
      </c>
      <c r="G46" s="113" t="n">
        <f aca="false">IF('2-phenylethanol_DES'!I48="","",'2-phenylethanol_DES'!I48*8/$B$5)</f>
        <v>4.02166499498495</v>
      </c>
      <c r="H46" s="113" t="n">
        <f aca="false">IF('2-phenylethanol_DES'!G48="","",'2-phenylethanol_DES'!G48*8/$B$4)</f>
        <v>0.172278778386844</v>
      </c>
      <c r="I46" s="113" t="n">
        <f aca="false">IF('2-phenylethanol_DES'!H48="","",'2-phenylethanol_DES'!H48*8/F46)</f>
        <v>4.13912239997157</v>
      </c>
      <c r="J46" s="114"/>
      <c r="K46" s="114"/>
      <c r="L46" s="114"/>
      <c r="M46" s="114"/>
      <c r="N46" s="98" t="str">
        <f aca="false">IF(OR(J46="",K46=""),"",K46-J46)</f>
        <v/>
      </c>
      <c r="O46" s="98" t="str">
        <f aca="false">IF(OR(K46="",L46=""),"",L46-K46)</f>
        <v/>
      </c>
      <c r="P46" s="98" t="str">
        <f aca="false">IF(OR(L46="",M46=""),"",M46-L46)</f>
        <v/>
      </c>
      <c r="Q46" s="98" t="str">
        <f aca="false">IF(OR(J46="",M46=""),"",M46-J46)</f>
        <v/>
      </c>
      <c r="R46" s="98" t="str">
        <f aca="false">IF(Q46="","",N46/Q46)</f>
        <v/>
      </c>
      <c r="S46" s="98" t="str">
        <f aca="false">IF(Q46="","",O46/Q46)</f>
        <v/>
      </c>
      <c r="T46" s="98" t="str">
        <f aca="false">IF(Q46="","",P46/Q46)</f>
        <v/>
      </c>
      <c r="U46" s="115"/>
    </row>
    <row r="47" customFormat="false" ht="39.75" hidden="false" customHeight="true" outlineLevel="0" collapsed="false">
      <c r="A47" s="95" t="s">
        <v>296</v>
      </c>
      <c r="B47" s="95"/>
      <c r="C47" s="95"/>
      <c r="D47" s="95"/>
      <c r="E47" s="96" t="n">
        <v>2</v>
      </c>
      <c r="F47" s="98" t="n">
        <f aca="false">(Componentes!AB14/(Componentes!AB14+Componentes!AB16))*Componentes!P14+(Componentes!AB16/(Componentes!AB14+Componentes!AB16))*Componentes!P16</f>
        <v>0.924737089201878</v>
      </c>
      <c r="G47" s="113" t="n">
        <f aca="false">IF('2-phenylethanol_DES'!I49="","",'2-phenylethanol_DES'!I49*8/$B$5)</f>
        <v>4.04605817452357</v>
      </c>
      <c r="H47" s="113" t="n">
        <f aca="false">IF('2-phenylethanol_DES'!G49="","",'2-phenylethanol_DES'!G49*8/$B$4)</f>
        <v>4.02226502148194</v>
      </c>
      <c r="I47" s="113" t="n">
        <f aca="false">IF('2-phenylethanol_DES'!H49="","",'2-phenylethanol_DES'!H49*8/F47)</f>
        <v>0.178558859515964</v>
      </c>
      <c r="J47" s="114"/>
      <c r="K47" s="114"/>
      <c r="L47" s="114"/>
      <c r="M47" s="114"/>
      <c r="N47" s="98" t="str">
        <f aca="false">IF(OR(J47="",K47=""),"",K47-J47)</f>
        <v/>
      </c>
      <c r="O47" s="98" t="str">
        <f aca="false">IF(OR(K47="",L47=""),"",L47-K47)</f>
        <v/>
      </c>
      <c r="P47" s="98" t="str">
        <f aca="false">IF(OR(L47="",M47=""),"",M47-L47)</f>
        <v/>
      </c>
      <c r="Q47" s="98" t="str">
        <f aca="false">IF(OR(J47="",M47=""),"",M47-J47)</f>
        <v/>
      </c>
      <c r="R47" s="98" t="str">
        <f aca="false">IF(Q47="","",N47/Q47)</f>
        <v/>
      </c>
      <c r="S47" s="98" t="str">
        <f aca="false">IF(Q47="","",O47/Q47)</f>
        <v/>
      </c>
      <c r="T47" s="98" t="str">
        <f aca="false">IF(Q47="","",P47/Q47)</f>
        <v/>
      </c>
      <c r="U47" s="115"/>
    </row>
    <row r="48" customFormat="false" ht="39.75" hidden="false" customHeight="true" outlineLevel="0" collapsed="false">
      <c r="A48" s="95" t="s">
        <v>297</v>
      </c>
      <c r="B48" s="95"/>
      <c r="C48" s="95"/>
      <c r="D48" s="95"/>
      <c r="E48" s="96" t="n">
        <v>3</v>
      </c>
      <c r="F48" s="98" t="n">
        <f aca="false">(Componentes!AB14/(Componentes!AB14+Componentes!AB16))*Componentes!P14+(Componentes!AB16/(Componentes!AB14+Componentes!AB16))*Componentes!P16</f>
        <v>0.924737089201878</v>
      </c>
      <c r="G48" s="113" t="n">
        <f aca="false">IF('2-phenylethanol_DES'!I50="","",'2-phenylethanol_DES'!I50*8/$B$5)</f>
        <v>4.01195586760281</v>
      </c>
      <c r="H48" s="113" t="n">
        <f aca="false">IF('2-phenylethanol_DES'!G50="","",'2-phenylethanol_DES'!G50*8/$B$4)</f>
        <v>2.06776863002392</v>
      </c>
      <c r="I48" s="113" t="n">
        <f aca="false">IF('2-phenylethanol_DES'!H50="","",'2-phenylethanol_DES'!H50*8/F48)</f>
        <v>2.2126937741472</v>
      </c>
      <c r="J48" s="114"/>
      <c r="K48" s="114"/>
      <c r="L48" s="114"/>
      <c r="M48" s="114"/>
      <c r="N48" s="98" t="str">
        <f aca="false">IF(OR(J48="",K48=""),"",K48-J48)</f>
        <v/>
      </c>
      <c r="O48" s="98" t="str">
        <f aca="false">IF(OR(K48="",L48=""),"",L48-K48)</f>
        <v/>
      </c>
      <c r="P48" s="98" t="str">
        <f aca="false">IF(OR(L48="",M48=""),"",M48-L48)</f>
        <v/>
      </c>
      <c r="Q48" s="98" t="str">
        <f aca="false">IF(OR(J48="",M48=""),"",M48-J48)</f>
        <v/>
      </c>
      <c r="R48" s="98" t="str">
        <f aca="false">IF(Q48="","",N48/Q48)</f>
        <v/>
      </c>
      <c r="S48" s="98" t="str">
        <f aca="false">IF(Q48="","",O48/Q48)</f>
        <v/>
      </c>
      <c r="T48" s="98" t="str">
        <f aca="false">IF(Q48="","",P48/Q48)</f>
        <v/>
      </c>
      <c r="U48" s="115"/>
    </row>
    <row r="49" customFormat="false" ht="39.75" hidden="false" customHeight="true" outlineLevel="0" collapsed="false">
      <c r="A49" s="95" t="s">
        <v>298</v>
      </c>
      <c r="B49" s="95"/>
      <c r="C49" s="95"/>
      <c r="D49" s="95"/>
      <c r="E49" s="96" t="n">
        <v>4</v>
      </c>
      <c r="F49" s="98" t="n">
        <f aca="false">(Componentes!AB14/(Componentes!AB14+Componentes!AB16))*Componentes!P14+(Componentes!AB16/(Componentes!AB14+Componentes!AB16))*Componentes!P16</f>
        <v>0.924737089201878</v>
      </c>
      <c r="G49" s="113" t="n">
        <f aca="false">IF('2-phenylethanol_DES'!I51="","",'2-phenylethanol_DES'!I51*8/$B$5)</f>
        <v>4.02278836509529</v>
      </c>
      <c r="H49" s="113" t="n">
        <f aca="false">IF('2-phenylethanol_DES'!G51="","",'2-phenylethanol_DES'!G51*8/$B$4)</f>
        <v>3.03633939342632</v>
      </c>
      <c r="I49" s="113" t="n">
        <f aca="false">IF('2-phenylethanol_DES'!H51="","",'2-phenylethanol_DES'!H51*8/F49)</f>
        <v>1.21115505485635</v>
      </c>
      <c r="J49" s="114"/>
      <c r="K49" s="114"/>
      <c r="L49" s="114"/>
      <c r="M49" s="114"/>
      <c r="N49" s="98" t="str">
        <f aca="false">IF(OR(J49="",K49=""),"",K49-J49)</f>
        <v/>
      </c>
      <c r="O49" s="98" t="str">
        <f aca="false">IF(OR(K49="",L49=""),"",L49-K49)</f>
        <v/>
      </c>
      <c r="P49" s="98" t="str">
        <f aca="false">IF(OR(L49="",M49=""),"",M49-L49)</f>
        <v/>
      </c>
      <c r="Q49" s="98" t="str">
        <f aca="false">IF(OR(J49="",M49=""),"",M49-J49)</f>
        <v/>
      </c>
      <c r="R49" s="98" t="str">
        <f aca="false">IF(Q49="","",N49/Q49)</f>
        <v/>
      </c>
      <c r="S49" s="98" t="str">
        <f aca="false">IF(Q49="","",O49/Q49)</f>
        <v/>
      </c>
      <c r="T49" s="98" t="str">
        <f aca="false">IF(Q49="","",P49/Q49)</f>
        <v/>
      </c>
      <c r="U49" s="115"/>
    </row>
    <row r="50" customFormat="false" ht="39.75" hidden="false" customHeight="true" outlineLevel="0" collapsed="false">
      <c r="A50" s="95" t="s">
        <v>299</v>
      </c>
      <c r="B50" s="95"/>
      <c r="C50" s="95"/>
      <c r="D50" s="95"/>
      <c r="E50" s="96" t="n">
        <v>5</v>
      </c>
      <c r="F50" s="98" t="n">
        <f aca="false">(Componentes!AB14/(Componentes!AB14+Componentes!AB16))*Componentes!P14+(Componentes!AB16/(Componentes!AB14+Componentes!AB16))*Componentes!P16</f>
        <v>0.924737089201878</v>
      </c>
      <c r="G50" s="113" t="n">
        <f aca="false">IF('2-phenylethanol_DES'!I52="","",'2-phenylethanol_DES'!I52*8/$B$5)</f>
        <v>4.01171514543631</v>
      </c>
      <c r="H50" s="113" t="n">
        <f aca="false">IF('2-phenylethanol_DES'!G52="","",'2-phenylethanol_DES'!G52*8/$B$4)</f>
        <v>1.11841520455459</v>
      </c>
      <c r="I50" s="113" t="n">
        <f aca="false">IF('2-phenylethanol_DES'!H52="","",'2-phenylethanol_DES'!H52*8/F50)</f>
        <v>3.18300199523783</v>
      </c>
      <c r="J50" s="114"/>
      <c r="K50" s="114"/>
      <c r="L50" s="114"/>
      <c r="M50" s="114"/>
      <c r="N50" s="98" t="str">
        <f aca="false">IF(OR(J50="",K50=""),"",K50-J50)</f>
        <v/>
      </c>
      <c r="O50" s="98" t="str">
        <f aca="false">IF(OR(K50="",L50=""),"",L50-K50)</f>
        <v/>
      </c>
      <c r="P50" s="98" t="str">
        <f aca="false">IF(OR(L50="",M50=""),"",M50-L50)</f>
        <v/>
      </c>
      <c r="Q50" s="98" t="str">
        <f aca="false">IF(OR(J50="",M50=""),"",M50-J50)</f>
        <v/>
      </c>
      <c r="R50" s="98" t="str">
        <f aca="false">IF(Q50="","",N50/Q50)</f>
        <v/>
      </c>
      <c r="S50" s="98" t="str">
        <f aca="false">IF(Q50="","",O50/Q50)</f>
        <v/>
      </c>
      <c r="T50" s="98" t="str">
        <f aca="false">IF(Q50="","",P50/Q50)</f>
        <v/>
      </c>
      <c r="U50" s="115"/>
    </row>
    <row r="51" customFormat="false" ht="39.75" hidden="false" customHeight="true" outlineLevel="0" collapsed="false">
      <c r="A51" s="112" t="s">
        <v>228</v>
      </c>
      <c r="B51" s="112" t="s">
        <v>208</v>
      </c>
      <c r="C51" s="112" t="s">
        <v>200</v>
      </c>
      <c r="D51" s="112" t="s">
        <v>201</v>
      </c>
      <c r="E51" s="112" t="s">
        <v>230</v>
      </c>
      <c r="F51" s="112" t="s">
        <v>249</v>
      </c>
      <c r="G51" s="112" t="s">
        <v>250</v>
      </c>
      <c r="H51" s="112" t="s">
        <v>251</v>
      </c>
      <c r="I51" s="112" t="s">
        <v>252</v>
      </c>
      <c r="J51" s="112" t="s">
        <v>253</v>
      </c>
      <c r="K51" s="112" t="s">
        <v>254</v>
      </c>
      <c r="L51" s="112" t="s">
        <v>255</v>
      </c>
      <c r="M51" s="112" t="s">
        <v>256</v>
      </c>
      <c r="N51" s="112" t="s">
        <v>257</v>
      </c>
      <c r="O51" s="112" t="s">
        <v>258</v>
      </c>
      <c r="P51" s="112" t="s">
        <v>259</v>
      </c>
      <c r="Q51" s="112" t="s">
        <v>260</v>
      </c>
      <c r="R51" s="112" t="s">
        <v>261</v>
      </c>
      <c r="S51" s="112" t="s">
        <v>262</v>
      </c>
      <c r="T51" s="112" t="s">
        <v>263</v>
      </c>
      <c r="U51" s="112" t="s">
        <v>264</v>
      </c>
    </row>
    <row r="52" customFormat="false" ht="39.75" hidden="false" customHeight="true" outlineLevel="0" collapsed="false">
      <c r="A52" s="95" t="s">
        <v>300</v>
      </c>
      <c r="B52" s="96" t="s">
        <v>198</v>
      </c>
      <c r="C52" s="95" t="s">
        <v>203</v>
      </c>
      <c r="D52" s="95" t="s">
        <v>177</v>
      </c>
      <c r="E52" s="96" t="n">
        <v>1</v>
      </c>
      <c r="F52" s="98" t="n">
        <f aca="false">(Componentes!AB14/(Componentes!AB14+Componentes!AB17))*Componentes!P14+(Componentes!AB17/(Componentes!AB14+Componentes!AB17))*Componentes!P17</f>
        <v>0.968821261534572</v>
      </c>
      <c r="G52" s="113" t="n">
        <f aca="false">IF('2-phenylethanol_DES'!I54="","",'2-phenylethanol_DES'!I54*8/$B$5)</f>
        <v>4.03995987963892</v>
      </c>
      <c r="H52" s="113" t="n">
        <f aca="false">IF('2-phenylethanol_DES'!G54="","",'2-phenylethanol_DES'!G54*8/$B$4)</f>
        <v>4.0330165717793</v>
      </c>
      <c r="I52" s="113" t="n">
        <f aca="false">IF('2-phenylethanol_DES'!H54="","",'2-phenylethanol_DES'!H54*8/F52)</f>
        <v>0.16622261132556</v>
      </c>
      <c r="J52" s="114"/>
      <c r="K52" s="114"/>
      <c r="L52" s="114"/>
      <c r="M52" s="114"/>
      <c r="N52" s="98" t="str">
        <f aca="false">IF(OR(J52="",K52=""),"",K52-J52)</f>
        <v/>
      </c>
      <c r="O52" s="98" t="str">
        <f aca="false">IF(OR(K52="",L52=""),"",L52-K52)</f>
        <v/>
      </c>
      <c r="P52" s="98" t="str">
        <f aca="false">IF(OR(L52="",M52=""),"",M52-L52)</f>
        <v/>
      </c>
      <c r="Q52" s="98" t="str">
        <f aca="false">IF(OR(J52="",M52=""),"",M52-J52)</f>
        <v/>
      </c>
      <c r="R52" s="98" t="str">
        <f aca="false">IF(Q52="","",N52/Q52)</f>
        <v/>
      </c>
      <c r="S52" s="98" t="str">
        <f aca="false">IF(Q52="","",O52/Q52)</f>
        <v/>
      </c>
      <c r="T52" s="98" t="str">
        <f aca="false">IF(Q52="","",P52/Q52)</f>
        <v/>
      </c>
      <c r="U52" s="115"/>
    </row>
    <row r="53" customFormat="false" ht="39.75" hidden="false" customHeight="true" outlineLevel="0" collapsed="false">
      <c r="A53" s="95" t="s">
        <v>301</v>
      </c>
      <c r="B53" s="95"/>
      <c r="C53" s="95"/>
      <c r="D53" s="95"/>
      <c r="E53" s="96" t="n">
        <v>2</v>
      </c>
      <c r="F53" s="98" t="n">
        <f aca="false">(Componentes!AB14/(Componentes!AB14+Componentes!AB17))*Componentes!P14+(Componentes!AB17/(Componentes!AB14+Componentes!AB17))*Componentes!P17</f>
        <v>0.968821261534572</v>
      </c>
      <c r="G53" s="113" t="n">
        <f aca="false">IF('2-phenylethanol_DES'!I55="","",'2-phenylethanol_DES'!I55*8/$B$5)</f>
        <v>3.99454363089268</v>
      </c>
      <c r="H53" s="113" t="n">
        <f aca="false">IF('2-phenylethanol_DES'!G55="","",'2-phenylethanol_DES'!G55*8/$B$4)</f>
        <v>0.174310567419416</v>
      </c>
      <c r="I53" s="113" t="n">
        <f aca="false">IF('2-phenylethanol_DES'!H55="","",'2-phenylethanol_DES'!H55*8/F53)</f>
        <v>3.97670876245785</v>
      </c>
      <c r="J53" s="114"/>
      <c r="K53" s="114"/>
      <c r="L53" s="114"/>
      <c r="M53" s="114"/>
      <c r="N53" s="98" t="str">
        <f aca="false">IF(OR(J53="",K53=""),"",K53-J53)</f>
        <v/>
      </c>
      <c r="O53" s="98" t="str">
        <f aca="false">IF(OR(K53="",L53=""),"",L53-K53)</f>
        <v/>
      </c>
      <c r="P53" s="98" t="str">
        <f aca="false">IF(OR(L53="",M53=""),"",M53-L53)</f>
        <v/>
      </c>
      <c r="Q53" s="98" t="str">
        <f aca="false">IF(OR(J53="",M53=""),"",M53-J53)</f>
        <v/>
      </c>
      <c r="R53" s="98" t="str">
        <f aca="false">IF(Q53="","",N53/Q53)</f>
        <v/>
      </c>
      <c r="S53" s="98" t="str">
        <f aca="false">IF(Q53="","",O53/Q53)</f>
        <v/>
      </c>
      <c r="T53" s="98" t="str">
        <f aca="false">IF(Q53="","",P53/Q53)</f>
        <v/>
      </c>
      <c r="U53" s="115"/>
    </row>
    <row r="54" customFormat="false" ht="39.75" hidden="false" customHeight="true" outlineLevel="0" collapsed="false">
      <c r="A54" s="95" t="s">
        <v>302</v>
      </c>
      <c r="B54" s="95"/>
      <c r="C54" s="95"/>
      <c r="D54" s="95"/>
      <c r="E54" s="96" t="n">
        <v>3</v>
      </c>
      <c r="F54" s="98" t="n">
        <f aca="false">(Componentes!AB14/(Componentes!AB14+Componentes!AB17))*Componentes!P14+(Componentes!AB17/(Componentes!AB14+Componentes!AB17))*Componentes!P17</f>
        <v>0.968821261534572</v>
      </c>
      <c r="G54" s="113" t="n">
        <f aca="false">IF('2-phenylethanol_DES'!I56="","",'2-phenylethanol_DES'!I56*8/$B$5)</f>
        <v>3.97424272818455</v>
      </c>
      <c r="H54" s="113" t="n">
        <f aca="false">IF('2-phenylethanol_DES'!G56="","",'2-phenylethanol_DES'!G56*8/$B$4)</f>
        <v>2.06057271053356</v>
      </c>
      <c r="I54" s="113" t="n">
        <f aca="false">IF('2-phenylethanol_DES'!H56="","",'2-phenylethanol_DES'!H56*8/F54)</f>
        <v>2.15775611353612</v>
      </c>
      <c r="J54" s="114"/>
      <c r="K54" s="114"/>
      <c r="L54" s="114"/>
      <c r="M54" s="114"/>
      <c r="N54" s="98" t="str">
        <f aca="false">IF(OR(J54="",K54=""),"",K54-J54)</f>
        <v/>
      </c>
      <c r="O54" s="98" t="str">
        <f aca="false">IF(OR(K54="",L54=""),"",L54-K54)</f>
        <v/>
      </c>
      <c r="P54" s="98" t="str">
        <f aca="false">IF(OR(L54="",M54=""),"",M54-L54)</f>
        <v/>
      </c>
      <c r="Q54" s="98" t="str">
        <f aca="false">IF(OR(J54="",M54=""),"",M54-J54)</f>
        <v/>
      </c>
      <c r="R54" s="98" t="str">
        <f aca="false">IF(Q54="","",N54/Q54)</f>
        <v/>
      </c>
      <c r="S54" s="98" t="str">
        <f aca="false">IF(Q54="","",O54/Q54)</f>
        <v/>
      </c>
      <c r="T54" s="98" t="str">
        <f aca="false">IF(Q54="","",P54/Q54)</f>
        <v/>
      </c>
      <c r="U54" s="115"/>
    </row>
    <row r="55" customFormat="false" ht="39.75" hidden="false" customHeight="true" outlineLevel="0" collapsed="false">
      <c r="A55" s="95" t="s">
        <v>303</v>
      </c>
      <c r="B55" s="95"/>
      <c r="C55" s="95"/>
      <c r="D55" s="95"/>
      <c r="E55" s="96" t="n">
        <v>4</v>
      </c>
      <c r="F55" s="98" t="n">
        <f aca="false">(Componentes!AB14/(Componentes!AB14+Componentes!AB17))*Componentes!P14+(Componentes!AB17/(Componentes!AB14+Componentes!AB17))*Componentes!P17</f>
        <v>0.968821261534572</v>
      </c>
      <c r="G55" s="113" t="n">
        <f aca="false">IF('2-phenylethanol_DES'!I57="","",'2-phenylethanol_DES'!I57*8/$B$5)</f>
        <v>3.99165496489468</v>
      </c>
      <c r="H55" s="113" t="n">
        <f aca="false">IF('2-phenylethanol_DES'!G57="","",'2-phenylethanol_DES'!G57*8/$B$4)</f>
        <v>3.02702702702703</v>
      </c>
      <c r="I55" s="113" t="n">
        <f aca="false">IF('2-phenylethanol_DES'!H57="","",'2-phenylethanol_DES'!H57*8/F55)</f>
        <v>1.19724870422717</v>
      </c>
      <c r="J55" s="114"/>
      <c r="K55" s="114"/>
      <c r="L55" s="114"/>
      <c r="M55" s="114"/>
      <c r="N55" s="98" t="str">
        <f aca="false">IF(OR(J55="",K55=""),"",K55-J55)</f>
        <v/>
      </c>
      <c r="O55" s="98" t="str">
        <f aca="false">IF(OR(K55="",L55=""),"",L55-K55)</f>
        <v/>
      </c>
      <c r="P55" s="98" t="str">
        <f aca="false">IF(OR(L55="",M55=""),"",M55-L55)</f>
        <v/>
      </c>
      <c r="Q55" s="98" t="str">
        <f aca="false">IF(OR(J55="",M55=""),"",M55-J55)</f>
        <v/>
      </c>
      <c r="R55" s="98" t="str">
        <f aca="false">IF(Q55="","",N55/Q55)</f>
        <v/>
      </c>
      <c r="S55" s="98" t="str">
        <f aca="false">IF(Q55="","",O55/Q55)</f>
        <v/>
      </c>
      <c r="T55" s="98" t="str">
        <f aca="false">IF(Q55="","",P55/Q55)</f>
        <v/>
      </c>
      <c r="U55" s="115"/>
    </row>
    <row r="56" customFormat="false" ht="39.75" hidden="false" customHeight="true" outlineLevel="0" collapsed="false">
      <c r="A56" s="95" t="s">
        <v>304</v>
      </c>
      <c r="B56" s="95"/>
      <c r="C56" s="95"/>
      <c r="D56" s="95"/>
      <c r="E56" s="96" t="n">
        <v>5</v>
      </c>
      <c r="F56" s="98" t="n">
        <f aca="false">(Componentes!AB14/(Componentes!AB14+Componentes!AB17))*Componentes!P14+(Componentes!AB17/(Componentes!AB14+Componentes!AB17))*Componentes!P17</f>
        <v>0.968821261534572</v>
      </c>
      <c r="G56" s="113" t="n">
        <f aca="false">IF('2-phenylethanol_DES'!I58="","",'2-phenylethanol_DES'!I58*8/$B$5)</f>
        <v>3.97697091273822</v>
      </c>
      <c r="H56" s="113" t="n">
        <f aca="false">IF('2-phenylethanol_DES'!G58="","",'2-phenylethanol_DES'!G58*8/$B$4)</f>
        <v>1.11028804842431</v>
      </c>
      <c r="I56" s="113" t="n">
        <f aca="false">IF('2-phenylethanol_DES'!H58="","",'2-phenylethanol_DES'!H58*8/F56)</f>
        <v>3.08184813705542</v>
      </c>
      <c r="J56" s="114"/>
      <c r="K56" s="114"/>
      <c r="L56" s="114"/>
      <c r="M56" s="114"/>
      <c r="N56" s="98" t="str">
        <f aca="false">IF(OR(J56="",K56=""),"",K56-J56)</f>
        <v/>
      </c>
      <c r="O56" s="98" t="str">
        <f aca="false">IF(OR(K56="",L56=""),"",L56-K56)</f>
        <v/>
      </c>
      <c r="P56" s="98" t="str">
        <f aca="false">IF(OR(L56="",M56=""),"",M56-L56)</f>
        <v/>
      </c>
      <c r="Q56" s="98" t="str">
        <f aca="false">IF(OR(J56="",M56=""),"",M56-J56)</f>
        <v/>
      </c>
      <c r="R56" s="98" t="str">
        <f aca="false">IF(Q56="","",N56/Q56)</f>
        <v/>
      </c>
      <c r="S56" s="98" t="str">
        <f aca="false">IF(Q56="","",O56/Q56)</f>
        <v/>
      </c>
      <c r="T56" s="98" t="str">
        <f aca="false">IF(Q56="","",P56/Q56)</f>
        <v/>
      </c>
      <c r="U56" s="115"/>
    </row>
    <row r="58" customFormat="false" ht="50.25" hidden="false" customHeight="true" outlineLevel="0" collapsed="false">
      <c r="A58" s="112" t="s">
        <v>228</v>
      </c>
      <c r="B58" s="112" t="s">
        <v>208</v>
      </c>
      <c r="C58" s="112" t="s">
        <v>200</v>
      </c>
      <c r="D58" s="112" t="s">
        <v>201</v>
      </c>
      <c r="E58" s="112" t="s">
        <v>250</v>
      </c>
      <c r="F58" s="112" t="s">
        <v>252</v>
      </c>
      <c r="G58" s="112" t="s">
        <v>253</v>
      </c>
      <c r="H58" s="112" t="s">
        <v>254</v>
      </c>
      <c r="I58" s="112" t="s">
        <v>256</v>
      </c>
      <c r="J58" s="112" t="s">
        <v>264</v>
      </c>
      <c r="N58" s="112" t="s">
        <v>257</v>
      </c>
      <c r="O58" s="112" t="s">
        <v>258</v>
      </c>
      <c r="P58" s="112" t="s">
        <v>259</v>
      </c>
      <c r="Q58" s="112" t="s">
        <v>260</v>
      </c>
      <c r="R58" s="112" t="s">
        <v>261</v>
      </c>
      <c r="S58" s="112" t="s">
        <v>262</v>
      </c>
      <c r="T58" s="112" t="s">
        <v>263</v>
      </c>
    </row>
    <row r="59" customFormat="false" ht="50.25" hidden="false" customHeight="true" outlineLevel="0" collapsed="false">
      <c r="A59" s="95" t="s">
        <v>305</v>
      </c>
      <c r="B59" s="96" t="s">
        <v>191</v>
      </c>
      <c r="C59" s="95" t="s">
        <v>142</v>
      </c>
      <c r="D59" s="95" t="s">
        <v>149</v>
      </c>
      <c r="E59" s="113" t="n">
        <v>4</v>
      </c>
      <c r="F59" s="113" t="n">
        <v>4</v>
      </c>
      <c r="G59" s="114"/>
      <c r="H59" s="114"/>
      <c r="I59" s="114"/>
      <c r="J59" s="115"/>
      <c r="N59" s="98" t="str">
        <f aca="false">IF(OR(G59="",H59=""),"",H59-G59)</f>
        <v/>
      </c>
      <c r="O59" s="98" t="e">
        <f aca="false">IF(OR(H59="",#ref!=""),"",#ref!-H59)</f>
        <v>#NAME?</v>
      </c>
      <c r="P59" s="98" t="e">
        <f aca="false">IF(OR(#ref!="",I59=""),"",I59-#ref!)</f>
        <v>#NAME?</v>
      </c>
      <c r="Q59" s="98" t="str">
        <f aca="false">IF(OR(G59="",I59=""),"",I59-G59)</f>
        <v/>
      </c>
      <c r="R59" s="98" t="str">
        <f aca="false">IF(Q59="","",N59/Q59)</f>
        <v/>
      </c>
      <c r="S59" s="98" t="str">
        <f aca="false">IF(Q59="","",O59/Q59)</f>
        <v/>
      </c>
      <c r="T59" s="98" t="str">
        <f aca="false">IF(Q59="","",P59/Q59)</f>
        <v/>
      </c>
    </row>
    <row r="60" customFormat="false" ht="50.25" hidden="false" customHeight="true" outlineLevel="0" collapsed="false">
      <c r="A60" s="95" t="s">
        <v>306</v>
      </c>
      <c r="B60" s="96" t="s">
        <v>307</v>
      </c>
      <c r="C60" s="95" t="s">
        <v>142</v>
      </c>
      <c r="D60" s="95" t="s">
        <v>164</v>
      </c>
      <c r="E60" s="113" t="n">
        <v>4</v>
      </c>
      <c r="F60" s="113" t="n">
        <v>4</v>
      </c>
      <c r="G60" s="114"/>
      <c r="H60" s="114"/>
      <c r="I60" s="114"/>
      <c r="J60" s="115"/>
      <c r="N60" s="98" t="str">
        <f aca="false">IF(OR(G60="",H60=""),"",H60-G60)</f>
        <v/>
      </c>
      <c r="O60" s="98" t="e">
        <f aca="false">IF(OR(H60="",#ref!=""),"",#ref!-H60)</f>
        <v>#NAME?</v>
      </c>
      <c r="P60" s="98" t="e">
        <f aca="false">IF(OR(#ref!="",I60=""),"",I60-#ref!)</f>
        <v>#NAME?</v>
      </c>
      <c r="Q60" s="98" t="str">
        <f aca="false">IF(OR(G60="",I60=""),"",I60-G60)</f>
        <v/>
      </c>
      <c r="R60" s="98" t="str">
        <f aca="false">IF(Q60="","",N60/Q60)</f>
        <v/>
      </c>
      <c r="S60" s="98" t="str">
        <f aca="false">IF(Q60="","",O60/Q60)</f>
        <v/>
      </c>
      <c r="T60" s="98" t="str">
        <f aca="false">IF(Q60="","",P60/Q60)</f>
        <v/>
      </c>
    </row>
    <row r="61" customFormat="false" ht="50.25" hidden="false" customHeight="true" outlineLevel="0" collapsed="false">
      <c r="A61" s="95" t="s">
        <v>308</v>
      </c>
      <c r="B61" s="96" t="s">
        <v>218</v>
      </c>
      <c r="C61" s="95" t="s">
        <v>142</v>
      </c>
      <c r="D61" s="95" t="s">
        <v>171</v>
      </c>
      <c r="E61" s="113" t="n">
        <v>4</v>
      </c>
      <c r="F61" s="113" t="n">
        <v>4</v>
      </c>
      <c r="G61" s="114"/>
      <c r="H61" s="114"/>
      <c r="I61" s="114"/>
      <c r="J61" s="115"/>
      <c r="N61" s="98" t="str">
        <f aca="false">IF(OR(G61="",H61=""),"",H61-G61)</f>
        <v/>
      </c>
      <c r="O61" s="98" t="e">
        <f aca="false">IF(OR(H61="",#ref!=""),"",#ref!-H61)</f>
        <v>#NAME?</v>
      </c>
      <c r="P61" s="98" t="e">
        <f aca="false">IF(OR(#ref!="",I61=""),"",I61-#ref!)</f>
        <v>#NAME?</v>
      </c>
      <c r="Q61" s="98" t="str">
        <f aca="false">IF(OR(G61="",I61=""),"",I61-G61)</f>
        <v/>
      </c>
      <c r="R61" s="98" t="str">
        <f aca="false">IF(Q61="","",N61/Q61)</f>
        <v/>
      </c>
      <c r="S61" s="98" t="str">
        <f aca="false">IF(Q61="","",O61/Q61)</f>
        <v/>
      </c>
      <c r="T61" s="98" t="str">
        <f aca="false">IF(Q61="","",P61/Q61)</f>
        <v/>
      </c>
    </row>
    <row r="62" customFormat="false" ht="50.25" hidden="false" customHeight="true" outlineLevel="0" collapsed="false">
      <c r="A62" s="95" t="s">
        <v>309</v>
      </c>
      <c r="B62" s="96" t="s">
        <v>194</v>
      </c>
      <c r="C62" s="95" t="s">
        <v>142</v>
      </c>
      <c r="D62" s="95" t="s">
        <v>177</v>
      </c>
      <c r="E62" s="113" t="n">
        <v>4</v>
      </c>
      <c r="F62" s="113" t="n">
        <v>4</v>
      </c>
      <c r="G62" s="114"/>
      <c r="H62" s="114"/>
      <c r="I62" s="114"/>
      <c r="J62" s="115"/>
      <c r="N62" s="98" t="str">
        <f aca="false">IF(OR(G62="",H62=""),"",H62-G62)</f>
        <v/>
      </c>
      <c r="O62" s="98" t="e">
        <f aca="false">IF(OR(H62="",#ref!=""),"",#ref!-H62)</f>
        <v>#NAME?</v>
      </c>
      <c r="P62" s="98" t="e">
        <f aca="false">IF(OR(#ref!="",I62=""),"",I62-#ref!)</f>
        <v>#NAME?</v>
      </c>
      <c r="Q62" s="98" t="str">
        <f aca="false">IF(OR(G62="",I62=""),"",I62-G62)</f>
        <v/>
      </c>
      <c r="R62" s="98" t="str">
        <f aca="false">IF(Q62="","",N62/Q62)</f>
        <v/>
      </c>
      <c r="S62" s="98" t="str">
        <f aca="false">IF(Q62="","",O62/Q62)</f>
        <v/>
      </c>
      <c r="T62" s="98" t="str">
        <f aca="false">IF(Q62="","",P62/Q62)</f>
        <v/>
      </c>
    </row>
    <row r="63" customFormat="false" ht="50.25" hidden="false" customHeight="true" outlineLevel="0" collapsed="false">
      <c r="A63" s="95" t="s">
        <v>310</v>
      </c>
      <c r="B63" s="96" t="s">
        <v>219</v>
      </c>
      <c r="C63" s="95" t="s">
        <v>142</v>
      </c>
      <c r="D63" s="95" t="s">
        <v>157</v>
      </c>
      <c r="E63" s="113" t="n">
        <v>4</v>
      </c>
      <c r="F63" s="113" t="n">
        <v>4</v>
      </c>
      <c r="G63" s="114"/>
      <c r="H63" s="114"/>
      <c r="I63" s="114"/>
      <c r="J63" s="115"/>
      <c r="N63" s="98" t="str">
        <f aca="false">IF(OR(G63="",H63=""),"",H63-G63)</f>
        <v/>
      </c>
      <c r="O63" s="98" t="e">
        <f aca="false">IF(OR(H63="",#ref!=""),"",#ref!-H63)</f>
        <v>#NAME?</v>
      </c>
      <c r="P63" s="98" t="e">
        <f aca="false">IF(OR(#ref!="",I63=""),"",I63-#ref!)</f>
        <v>#NAME?</v>
      </c>
      <c r="Q63" s="98" t="str">
        <f aca="false">IF(OR(G63="",I63=""),"",I63-G63)</f>
        <v/>
      </c>
      <c r="R63" s="98" t="str">
        <f aca="false">IF(Q63="","",N63/Q63)</f>
        <v/>
      </c>
      <c r="S63" s="98" t="str">
        <f aca="false">IF(Q63="","",O63/Q63)</f>
        <v/>
      </c>
      <c r="T63" s="98" t="str">
        <f aca="false">IF(Q63="","",P63/Q63)</f>
        <v/>
      </c>
    </row>
    <row r="64" customFormat="false" ht="50.25" hidden="false" customHeight="true" outlineLevel="0" collapsed="false">
      <c r="A64" s="95" t="s">
        <v>311</v>
      </c>
      <c r="B64" s="96" t="s">
        <v>195</v>
      </c>
      <c r="C64" s="95" t="s">
        <v>203</v>
      </c>
      <c r="D64" s="95" t="s">
        <v>149</v>
      </c>
      <c r="E64" s="113" t="n">
        <v>4</v>
      </c>
      <c r="F64" s="113" t="n">
        <v>4</v>
      </c>
      <c r="G64" s="114"/>
      <c r="H64" s="114"/>
      <c r="I64" s="114"/>
      <c r="J64" s="115"/>
    </row>
    <row r="65" customFormat="false" ht="50.25" hidden="false" customHeight="true" outlineLevel="0" collapsed="false">
      <c r="A65" s="95" t="s">
        <v>312</v>
      </c>
      <c r="B65" s="96" t="s">
        <v>197</v>
      </c>
      <c r="C65" s="95" t="s">
        <v>203</v>
      </c>
      <c r="D65" s="95" t="s">
        <v>171</v>
      </c>
      <c r="E65" s="113" t="n">
        <v>4</v>
      </c>
      <c r="F65" s="113" t="n">
        <v>4</v>
      </c>
      <c r="G65" s="114"/>
      <c r="H65" s="114"/>
      <c r="I65" s="114"/>
      <c r="J65" s="115"/>
    </row>
    <row r="66" customFormat="false" ht="50.25" hidden="false" customHeight="true" outlineLevel="0" collapsed="false">
      <c r="A66" s="95" t="s">
        <v>313</v>
      </c>
      <c r="B66" s="96" t="s">
        <v>198</v>
      </c>
      <c r="C66" s="95" t="s">
        <v>203</v>
      </c>
      <c r="D66" s="95" t="s">
        <v>177</v>
      </c>
      <c r="E66" s="113" t="n">
        <v>4</v>
      </c>
      <c r="F66" s="113" t="n">
        <v>4</v>
      </c>
      <c r="G66" s="114"/>
      <c r="H66" s="114"/>
      <c r="I66" s="114"/>
      <c r="J66" s="115"/>
    </row>
    <row r="67" customFormat="false" ht="14.25" hidden="false" customHeight="false" outlineLevel="0" collapsed="false"/>
  </sheetData>
  <printOptions headings="false" gridLines="false" gridLinesSet="true" horizontalCentered="true" verticalCentered="tru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8.57421875" defaultRowHeight="14.25" customHeight="false" zeroHeight="false" outlineLevelRow="0" outlineLevelCol="0"/>
  <cols>
    <col collapsed="false" customWidth="true" hidden="false" outlineLevel="0" max="5" min="5" style="0" width="14.75"/>
    <col collapsed="false" customWidth="true" hidden="false" outlineLevel="0" max="6" min="6" style="0" width="12.75"/>
    <col collapsed="false" customWidth="true" hidden="false" outlineLevel="0" max="7" min="7" style="0" width="14.75"/>
    <col collapsed="false" customWidth="true" hidden="false" outlineLevel="0" max="8" min="8" style="0" width="16.75"/>
    <col collapsed="false" customWidth="true" hidden="false" outlineLevel="0" max="10" min="10" style="0" width="3.75"/>
    <col collapsed="false" customWidth="true" hidden="false" outlineLevel="0" max="11" min="11" style="0" width="29.5"/>
    <col collapsed="false" customWidth="true" hidden="false" outlineLevel="0" max="12" min="12" style="0" width="31.13"/>
  </cols>
  <sheetData>
    <row r="1" customFormat="false" ht="39.75" hidden="false" customHeight="true" outlineLevel="0" collapsed="false">
      <c r="A1" s="118" t="s">
        <v>314</v>
      </c>
      <c r="B1" s="119"/>
      <c r="C1" s="119"/>
      <c r="D1" s="119"/>
      <c r="E1" s="119"/>
      <c r="F1" s="119"/>
      <c r="G1" s="119"/>
      <c r="H1" s="120" t="s">
        <v>315</v>
      </c>
      <c r="I1" s="121" t="n">
        <v>300</v>
      </c>
      <c r="J1" s="122" t="s">
        <v>316</v>
      </c>
      <c r="K1" s="123" t="s">
        <v>317</v>
      </c>
      <c r="L1" s="119"/>
    </row>
    <row r="2" customFormat="false" ht="14.25" hidden="false" customHeight="false" outlineLevel="0" collapsed="false">
      <c r="A2" s="119"/>
      <c r="B2" s="119"/>
      <c r="C2" s="119"/>
      <c r="D2" s="119"/>
      <c r="E2" s="119" t="s">
        <v>318</v>
      </c>
      <c r="F2" s="119"/>
      <c r="G2" s="119"/>
      <c r="H2" s="119"/>
      <c r="I2" s="119"/>
      <c r="J2" s="119"/>
      <c r="K2" s="119"/>
      <c r="L2" s="119"/>
    </row>
    <row r="3" customFormat="false" ht="39.75" hidden="false" customHeight="true" outlineLevel="0" collapsed="false">
      <c r="A3" s="124" t="s">
        <v>319</v>
      </c>
      <c r="B3" s="124" t="s">
        <v>320</v>
      </c>
      <c r="C3" s="124" t="s">
        <v>321</v>
      </c>
      <c r="D3" s="124" t="s">
        <v>322</v>
      </c>
      <c r="E3" s="125" t="s">
        <v>323</v>
      </c>
      <c r="F3" s="125" t="s">
        <v>324</v>
      </c>
      <c r="G3" s="125" t="s">
        <v>325</v>
      </c>
      <c r="H3" s="125" t="s">
        <v>326</v>
      </c>
      <c r="I3" s="124" t="s">
        <v>38</v>
      </c>
      <c r="J3" s="124"/>
      <c r="K3" s="124"/>
    </row>
    <row r="4" customFormat="false" ht="39.75" hidden="false" customHeight="true" outlineLevel="0" collapsed="false">
      <c r="A4" s="126" t="s">
        <v>305</v>
      </c>
      <c r="B4" s="127" t="s">
        <v>327</v>
      </c>
      <c r="C4" s="128" t="n">
        <v>1</v>
      </c>
      <c r="D4" s="129" t="s">
        <v>328</v>
      </c>
      <c r="E4" s="130"/>
      <c r="F4" s="130"/>
      <c r="G4" s="130"/>
      <c r="H4" s="131"/>
      <c r="I4" s="130"/>
      <c r="J4" s="130"/>
      <c r="K4" s="130"/>
    </row>
    <row r="5" customFormat="false" ht="39.75" hidden="false" customHeight="true" outlineLevel="0" collapsed="false">
      <c r="A5" s="132"/>
      <c r="B5" s="132"/>
      <c r="C5" s="133" t="n">
        <v>2</v>
      </c>
      <c r="D5" s="134" t="s">
        <v>329</v>
      </c>
      <c r="E5" s="135"/>
      <c r="F5" s="135"/>
      <c r="G5" s="135"/>
      <c r="H5" s="136"/>
      <c r="I5" s="135"/>
      <c r="J5" s="135"/>
      <c r="K5" s="135"/>
    </row>
    <row r="6" customFormat="false" ht="39.75" hidden="false" customHeight="true" outlineLevel="0" collapsed="false">
      <c r="A6" s="137"/>
      <c r="B6" s="138" t="s">
        <v>330</v>
      </c>
      <c r="C6" s="139" t="n">
        <v>1</v>
      </c>
      <c r="D6" s="134" t="s">
        <v>331</v>
      </c>
      <c r="E6" s="135"/>
      <c r="F6" s="135"/>
      <c r="G6" s="135"/>
      <c r="H6" s="140"/>
      <c r="I6" s="135"/>
      <c r="J6" s="135"/>
      <c r="K6" s="135"/>
    </row>
    <row r="7" customFormat="false" ht="39.75" hidden="false" customHeight="true" outlineLevel="0" collapsed="false">
      <c r="A7" s="137"/>
      <c r="B7" s="137"/>
      <c r="C7" s="139" t="n">
        <v>2</v>
      </c>
      <c r="D7" s="134" t="s">
        <v>332</v>
      </c>
      <c r="E7" s="135"/>
      <c r="F7" s="135"/>
      <c r="G7" s="135"/>
      <c r="H7" s="136"/>
      <c r="I7" s="135"/>
      <c r="J7" s="135"/>
      <c r="K7" s="135"/>
    </row>
    <row r="8" customFormat="false" ht="39.75" hidden="false" customHeight="true" outlineLevel="0" collapsed="false">
      <c r="A8" s="126" t="s">
        <v>306</v>
      </c>
      <c r="B8" s="127" t="s">
        <v>327</v>
      </c>
      <c r="C8" s="128" t="n">
        <v>1</v>
      </c>
      <c r="D8" s="129" t="s">
        <v>333</v>
      </c>
      <c r="E8" s="130"/>
      <c r="F8" s="130"/>
      <c r="G8" s="130"/>
      <c r="H8" s="131"/>
      <c r="I8" s="130"/>
      <c r="J8" s="130"/>
      <c r="K8" s="130"/>
    </row>
    <row r="9" customFormat="false" ht="39.75" hidden="false" customHeight="true" outlineLevel="0" collapsed="false">
      <c r="A9" s="132"/>
      <c r="B9" s="132"/>
      <c r="C9" s="133" t="n">
        <v>2</v>
      </c>
      <c r="D9" s="134" t="s">
        <v>334</v>
      </c>
      <c r="E9" s="135"/>
      <c r="F9" s="135"/>
      <c r="G9" s="135"/>
      <c r="H9" s="136"/>
      <c r="I9" s="135"/>
      <c r="J9" s="135"/>
      <c r="K9" s="135"/>
    </row>
    <row r="10" customFormat="false" ht="39.75" hidden="false" customHeight="true" outlineLevel="0" collapsed="false">
      <c r="A10" s="137"/>
      <c r="B10" s="138" t="s">
        <v>330</v>
      </c>
      <c r="C10" s="139" t="n">
        <v>1</v>
      </c>
      <c r="D10" s="134" t="s">
        <v>335</v>
      </c>
      <c r="E10" s="135"/>
      <c r="F10" s="135"/>
      <c r="G10" s="135"/>
      <c r="H10" s="140"/>
      <c r="I10" s="135"/>
      <c r="J10" s="135"/>
      <c r="K10" s="135"/>
    </row>
    <row r="11" customFormat="false" ht="39.75" hidden="false" customHeight="true" outlineLevel="0" collapsed="false">
      <c r="A11" s="137"/>
      <c r="B11" s="137"/>
      <c r="C11" s="139" t="n">
        <v>2</v>
      </c>
      <c r="D11" s="134" t="s">
        <v>336</v>
      </c>
      <c r="E11" s="135"/>
      <c r="F11" s="135"/>
      <c r="G11" s="135"/>
      <c r="H11" s="136"/>
      <c r="I11" s="135"/>
      <c r="J11" s="135"/>
      <c r="K11" s="135"/>
    </row>
    <row r="12" customFormat="false" ht="39.75" hidden="false" customHeight="true" outlineLevel="0" collapsed="false">
      <c r="A12" s="126" t="s">
        <v>308</v>
      </c>
      <c r="B12" s="127" t="s">
        <v>327</v>
      </c>
      <c r="C12" s="128" t="n">
        <v>1</v>
      </c>
      <c r="D12" s="129" t="s">
        <v>337</v>
      </c>
      <c r="E12" s="130"/>
      <c r="F12" s="130"/>
      <c r="G12" s="130"/>
      <c r="H12" s="131"/>
      <c r="I12" s="130"/>
      <c r="J12" s="130"/>
      <c r="K12" s="130"/>
    </row>
    <row r="13" customFormat="false" ht="39.75" hidden="false" customHeight="true" outlineLevel="0" collapsed="false">
      <c r="A13" s="132"/>
      <c r="B13" s="132"/>
      <c r="C13" s="133" t="n">
        <v>2</v>
      </c>
      <c r="D13" s="134" t="s">
        <v>338</v>
      </c>
      <c r="E13" s="135"/>
      <c r="F13" s="135"/>
      <c r="G13" s="135"/>
      <c r="H13" s="136"/>
      <c r="I13" s="135"/>
      <c r="J13" s="135"/>
      <c r="K13" s="135"/>
    </row>
    <row r="14" customFormat="false" ht="39.75" hidden="false" customHeight="true" outlineLevel="0" collapsed="false">
      <c r="A14" s="137"/>
      <c r="B14" s="138" t="s">
        <v>330</v>
      </c>
      <c r="C14" s="139" t="n">
        <v>1</v>
      </c>
      <c r="D14" s="134" t="s">
        <v>339</v>
      </c>
      <c r="E14" s="135"/>
      <c r="F14" s="135"/>
      <c r="G14" s="135"/>
      <c r="H14" s="140"/>
      <c r="I14" s="135"/>
      <c r="J14" s="135"/>
      <c r="K14" s="135"/>
    </row>
    <row r="15" customFormat="false" ht="39.75" hidden="false" customHeight="true" outlineLevel="0" collapsed="false">
      <c r="A15" s="137"/>
      <c r="B15" s="137"/>
      <c r="C15" s="139" t="n">
        <v>2</v>
      </c>
      <c r="D15" s="134" t="s">
        <v>340</v>
      </c>
      <c r="E15" s="135"/>
      <c r="F15" s="135"/>
      <c r="G15" s="135"/>
      <c r="H15" s="136"/>
      <c r="I15" s="135"/>
      <c r="J15" s="135"/>
      <c r="K15" s="135"/>
    </row>
    <row r="16" customFormat="false" ht="39.75" hidden="false" customHeight="true" outlineLevel="0" collapsed="false"/>
    <row r="17" customFormat="false" ht="39.75" hidden="false" customHeight="true" outlineLevel="0" collapsed="false"/>
    <row r="18" customFormat="false" ht="39.75" hidden="false" customHeight="true" outlineLevel="0" collapsed="false"/>
    <row r="19" customFormat="false" ht="39.75" hidden="false" customHeight="true" outlineLevel="0" collapsed="false">
      <c r="A19" s="124" t="s">
        <v>319</v>
      </c>
      <c r="B19" s="124" t="s">
        <v>320</v>
      </c>
      <c r="C19" s="124" t="s">
        <v>321</v>
      </c>
      <c r="D19" s="124" t="s">
        <v>322</v>
      </c>
      <c r="E19" s="125" t="s">
        <v>323</v>
      </c>
      <c r="F19" s="125" t="s">
        <v>324</v>
      </c>
      <c r="G19" s="125" t="s">
        <v>325</v>
      </c>
      <c r="H19" s="125" t="s">
        <v>326</v>
      </c>
      <c r="I19" s="124" t="s">
        <v>38</v>
      </c>
      <c r="J19" s="124"/>
      <c r="K19" s="124"/>
    </row>
    <row r="20" customFormat="false" ht="39.75" hidden="false" customHeight="true" outlineLevel="0" collapsed="false">
      <c r="A20" s="126" t="s">
        <v>309</v>
      </c>
      <c r="B20" s="127" t="s">
        <v>327</v>
      </c>
      <c r="C20" s="128" t="n">
        <v>1</v>
      </c>
      <c r="D20" s="129" t="s">
        <v>341</v>
      </c>
      <c r="E20" s="130"/>
      <c r="F20" s="130"/>
      <c r="G20" s="130"/>
      <c r="H20" s="131"/>
      <c r="I20" s="130"/>
      <c r="J20" s="130"/>
      <c r="K20" s="130"/>
    </row>
    <row r="21" customFormat="false" ht="39.75" hidden="false" customHeight="true" outlineLevel="0" collapsed="false">
      <c r="A21" s="132"/>
      <c r="B21" s="132"/>
      <c r="C21" s="133" t="n">
        <v>2</v>
      </c>
      <c r="D21" s="134" t="s">
        <v>342</v>
      </c>
      <c r="E21" s="135"/>
      <c r="F21" s="135"/>
      <c r="G21" s="135"/>
      <c r="H21" s="136"/>
      <c r="I21" s="135"/>
      <c r="J21" s="135"/>
      <c r="K21" s="135"/>
    </row>
    <row r="22" customFormat="false" ht="39.75" hidden="false" customHeight="true" outlineLevel="0" collapsed="false">
      <c r="A22" s="137"/>
      <c r="B22" s="138" t="s">
        <v>330</v>
      </c>
      <c r="C22" s="139" t="n">
        <v>1</v>
      </c>
      <c r="D22" s="134" t="s">
        <v>343</v>
      </c>
      <c r="E22" s="135"/>
      <c r="F22" s="135"/>
      <c r="G22" s="135"/>
      <c r="H22" s="140"/>
      <c r="I22" s="135"/>
      <c r="J22" s="135"/>
      <c r="K22" s="135"/>
    </row>
    <row r="23" customFormat="false" ht="39.75" hidden="false" customHeight="true" outlineLevel="0" collapsed="false">
      <c r="A23" s="137"/>
      <c r="B23" s="137"/>
      <c r="C23" s="139" t="n">
        <v>2</v>
      </c>
      <c r="D23" s="134" t="s">
        <v>344</v>
      </c>
      <c r="E23" s="135"/>
      <c r="F23" s="135"/>
      <c r="G23" s="135"/>
      <c r="H23" s="136"/>
      <c r="I23" s="135"/>
      <c r="J23" s="135"/>
      <c r="K23" s="135"/>
    </row>
    <row r="24" customFormat="false" ht="39.75" hidden="false" customHeight="true" outlineLevel="0" collapsed="false">
      <c r="A24" s="126" t="s">
        <v>310</v>
      </c>
      <c r="B24" s="127" t="s">
        <v>327</v>
      </c>
      <c r="C24" s="128" t="n">
        <v>1</v>
      </c>
      <c r="D24" s="129" t="s">
        <v>345</v>
      </c>
      <c r="E24" s="130"/>
      <c r="F24" s="130"/>
      <c r="G24" s="130"/>
      <c r="H24" s="131"/>
      <c r="I24" s="130"/>
      <c r="J24" s="130"/>
      <c r="K24" s="130"/>
    </row>
    <row r="25" customFormat="false" ht="39.75" hidden="false" customHeight="true" outlineLevel="0" collapsed="false">
      <c r="A25" s="132"/>
      <c r="B25" s="132"/>
      <c r="C25" s="133" t="n">
        <v>2</v>
      </c>
      <c r="D25" s="134" t="s">
        <v>346</v>
      </c>
      <c r="E25" s="135"/>
      <c r="F25" s="135"/>
      <c r="G25" s="135"/>
      <c r="H25" s="136"/>
      <c r="I25" s="135"/>
      <c r="J25" s="135"/>
      <c r="K25" s="135"/>
    </row>
    <row r="26" customFormat="false" ht="39.75" hidden="false" customHeight="true" outlineLevel="0" collapsed="false">
      <c r="A26" s="137"/>
      <c r="B26" s="138" t="s">
        <v>330</v>
      </c>
      <c r="C26" s="139" t="n">
        <v>1</v>
      </c>
      <c r="D26" s="134" t="s">
        <v>347</v>
      </c>
      <c r="E26" s="135"/>
      <c r="F26" s="135"/>
      <c r="G26" s="135"/>
      <c r="H26" s="140"/>
      <c r="I26" s="135"/>
      <c r="J26" s="135"/>
      <c r="K26" s="135"/>
    </row>
    <row r="27" customFormat="false" ht="39.75" hidden="false" customHeight="true" outlineLevel="0" collapsed="false">
      <c r="A27" s="137"/>
      <c r="B27" s="137"/>
      <c r="C27" s="139" t="n">
        <v>2</v>
      </c>
      <c r="D27" s="134" t="s">
        <v>348</v>
      </c>
      <c r="E27" s="135"/>
      <c r="F27" s="135"/>
      <c r="G27" s="135"/>
      <c r="H27" s="136"/>
      <c r="I27" s="135"/>
      <c r="J27" s="135"/>
      <c r="K27" s="135"/>
    </row>
    <row r="28" customFormat="false" ht="39.75" hidden="false" customHeight="true" outlineLevel="0" collapsed="false">
      <c r="A28" s="126" t="s">
        <v>311</v>
      </c>
      <c r="B28" s="127" t="s">
        <v>327</v>
      </c>
      <c r="C28" s="128" t="n">
        <v>1</v>
      </c>
      <c r="D28" s="129" t="s">
        <v>349</v>
      </c>
      <c r="E28" s="130"/>
      <c r="F28" s="130"/>
      <c r="G28" s="130"/>
      <c r="H28" s="131"/>
      <c r="I28" s="130"/>
      <c r="J28" s="130"/>
      <c r="K28" s="130"/>
    </row>
    <row r="29" customFormat="false" ht="39.75" hidden="false" customHeight="true" outlineLevel="0" collapsed="false">
      <c r="A29" s="132"/>
      <c r="B29" s="132"/>
      <c r="C29" s="133" t="n">
        <v>2</v>
      </c>
      <c r="D29" s="134" t="s">
        <v>350</v>
      </c>
      <c r="E29" s="135"/>
      <c r="F29" s="135"/>
      <c r="G29" s="135"/>
      <c r="H29" s="136"/>
      <c r="I29" s="135"/>
      <c r="J29" s="135"/>
      <c r="K29" s="135"/>
    </row>
    <row r="30" customFormat="false" ht="39.75" hidden="false" customHeight="true" outlineLevel="0" collapsed="false">
      <c r="A30" s="137"/>
      <c r="B30" s="138" t="s">
        <v>330</v>
      </c>
      <c r="C30" s="139" t="n">
        <v>1</v>
      </c>
      <c r="D30" s="134" t="s">
        <v>351</v>
      </c>
      <c r="E30" s="135"/>
      <c r="F30" s="135"/>
      <c r="G30" s="135"/>
      <c r="H30" s="140"/>
      <c r="I30" s="135"/>
      <c r="J30" s="135"/>
      <c r="K30" s="135"/>
    </row>
    <row r="31" customFormat="false" ht="39.75" hidden="false" customHeight="true" outlineLevel="0" collapsed="false">
      <c r="A31" s="137"/>
      <c r="B31" s="137"/>
      <c r="C31" s="139" t="n">
        <v>2</v>
      </c>
      <c r="D31" s="134" t="s">
        <v>352</v>
      </c>
      <c r="E31" s="135"/>
      <c r="F31" s="135"/>
      <c r="G31" s="135"/>
      <c r="H31" s="136"/>
      <c r="I31" s="135"/>
      <c r="J31" s="135"/>
      <c r="K31" s="135"/>
    </row>
    <row r="32" customFormat="false" ht="39.75" hidden="false" customHeight="true" outlineLevel="0" collapsed="false"/>
    <row r="33" customFormat="false" ht="39.75" hidden="false" customHeight="true" outlineLevel="0" collapsed="false"/>
    <row r="34" customFormat="false" ht="39.75" hidden="false" customHeight="true" outlineLevel="0" collapsed="false">
      <c r="A34" s="124" t="s">
        <v>319</v>
      </c>
      <c r="B34" s="124" t="s">
        <v>320</v>
      </c>
      <c r="C34" s="124" t="s">
        <v>321</v>
      </c>
      <c r="D34" s="124" t="s">
        <v>322</v>
      </c>
      <c r="E34" s="125" t="s">
        <v>323</v>
      </c>
      <c r="F34" s="125" t="s">
        <v>324</v>
      </c>
      <c r="G34" s="125" t="s">
        <v>325</v>
      </c>
      <c r="H34" s="125" t="s">
        <v>326</v>
      </c>
      <c r="I34" s="124" t="s">
        <v>38</v>
      </c>
      <c r="J34" s="124"/>
      <c r="K34" s="124"/>
    </row>
    <row r="35" customFormat="false" ht="39.75" hidden="false" customHeight="true" outlineLevel="0" collapsed="false">
      <c r="A35" s="126" t="s">
        <v>312</v>
      </c>
      <c r="B35" s="127" t="s">
        <v>327</v>
      </c>
      <c r="C35" s="128" t="n">
        <v>1</v>
      </c>
      <c r="D35" s="129" t="s">
        <v>353</v>
      </c>
      <c r="E35" s="130"/>
      <c r="F35" s="130"/>
      <c r="G35" s="130"/>
      <c r="H35" s="131"/>
      <c r="I35" s="130"/>
      <c r="J35" s="130"/>
      <c r="K35" s="130"/>
    </row>
    <row r="36" customFormat="false" ht="39.75" hidden="false" customHeight="true" outlineLevel="0" collapsed="false">
      <c r="A36" s="132"/>
      <c r="B36" s="132"/>
      <c r="C36" s="133" t="n">
        <v>2</v>
      </c>
      <c r="D36" s="134" t="s">
        <v>354</v>
      </c>
      <c r="E36" s="135"/>
      <c r="F36" s="135"/>
      <c r="G36" s="135"/>
      <c r="H36" s="136"/>
      <c r="I36" s="135"/>
      <c r="J36" s="135"/>
      <c r="K36" s="135"/>
    </row>
    <row r="37" customFormat="false" ht="39.75" hidden="false" customHeight="true" outlineLevel="0" collapsed="false">
      <c r="A37" s="137"/>
      <c r="B37" s="138" t="s">
        <v>330</v>
      </c>
      <c r="C37" s="139" t="n">
        <v>1</v>
      </c>
      <c r="D37" s="134" t="s">
        <v>355</v>
      </c>
      <c r="E37" s="135"/>
      <c r="F37" s="135"/>
      <c r="G37" s="135"/>
      <c r="H37" s="140"/>
      <c r="I37" s="135"/>
      <c r="J37" s="135"/>
      <c r="K37" s="135"/>
    </row>
    <row r="38" customFormat="false" ht="39.75" hidden="false" customHeight="true" outlineLevel="0" collapsed="false">
      <c r="A38" s="137"/>
      <c r="B38" s="137"/>
      <c r="C38" s="139" t="n">
        <v>2</v>
      </c>
      <c r="D38" s="134" t="s">
        <v>356</v>
      </c>
      <c r="E38" s="135"/>
      <c r="F38" s="135"/>
      <c r="G38" s="135"/>
      <c r="H38" s="136"/>
      <c r="I38" s="135"/>
      <c r="J38" s="135"/>
      <c r="K38" s="135"/>
    </row>
    <row r="39" customFormat="false" ht="39.75" hidden="false" customHeight="true" outlineLevel="0" collapsed="false">
      <c r="A39" s="126" t="s">
        <v>313</v>
      </c>
      <c r="B39" s="127" t="s">
        <v>327</v>
      </c>
      <c r="C39" s="128" t="n">
        <v>1</v>
      </c>
      <c r="D39" s="129" t="s">
        <v>357</v>
      </c>
      <c r="E39" s="130"/>
      <c r="F39" s="130"/>
      <c r="G39" s="130"/>
      <c r="H39" s="131"/>
      <c r="I39" s="130"/>
      <c r="J39" s="130"/>
      <c r="K39" s="130"/>
    </row>
    <row r="40" customFormat="false" ht="39.75" hidden="false" customHeight="true" outlineLevel="0" collapsed="false">
      <c r="A40" s="132"/>
      <c r="B40" s="132"/>
      <c r="C40" s="133" t="n">
        <v>2</v>
      </c>
      <c r="D40" s="134" t="s">
        <v>358</v>
      </c>
      <c r="E40" s="135"/>
      <c r="F40" s="135"/>
      <c r="G40" s="135"/>
      <c r="H40" s="136"/>
      <c r="I40" s="135"/>
      <c r="J40" s="135"/>
      <c r="K40" s="135"/>
    </row>
    <row r="41" customFormat="false" ht="39.75" hidden="false" customHeight="true" outlineLevel="0" collapsed="false">
      <c r="A41" s="137"/>
      <c r="B41" s="138" t="s">
        <v>330</v>
      </c>
      <c r="C41" s="139" t="n">
        <v>1</v>
      </c>
      <c r="D41" s="134" t="s">
        <v>359</v>
      </c>
      <c r="E41" s="135"/>
      <c r="F41" s="135"/>
      <c r="G41" s="135"/>
      <c r="H41" s="140"/>
      <c r="I41" s="135"/>
      <c r="J41" s="135"/>
      <c r="K41" s="135"/>
    </row>
    <row r="42" customFormat="false" ht="39.75" hidden="false" customHeight="true" outlineLevel="0" collapsed="false">
      <c r="A42" s="137"/>
      <c r="B42" s="137"/>
      <c r="C42" s="139" t="n">
        <v>2</v>
      </c>
      <c r="D42" s="134" t="s">
        <v>360</v>
      </c>
      <c r="E42" s="135"/>
      <c r="F42" s="135"/>
      <c r="G42" s="135"/>
      <c r="H42" s="136"/>
      <c r="I42" s="135"/>
      <c r="J42" s="135"/>
      <c r="K42" s="135"/>
    </row>
  </sheetData>
  <printOptions headings="false" gridLines="false" gridLinesSet="true" horizontalCentered="true" verticalCentered="tru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4AF09D86BE3C498753070DF359B656" ma:contentTypeVersion="3" ma:contentTypeDescription="Create a new document." ma:contentTypeScope="" ma:versionID="c2f7428dc76d937ae3a2c55907c655e3">
  <xsd:schema xmlns:xsd="http://www.w3.org/2001/XMLSchema" xmlns:xs="http://www.w3.org/2001/XMLSchema" xmlns:p="http://schemas.microsoft.com/office/2006/metadata/properties" xmlns:ns2="dd1ca9db-d3a4-4bca-985f-3330e6891d7e" targetNamespace="http://schemas.microsoft.com/office/2006/metadata/properties" ma:root="true" ma:fieldsID="23d5505db414dc2d841d48123e95a740" ns2:_="">
    <xsd:import namespace="dd1ca9db-d3a4-4bca-985f-3330e6891d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1ca9db-d3a4-4bca-985f-3330e6891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F99A88-A33F-4038-8819-7C865C666CE1}"/>
</file>

<file path=customXml/itemProps2.xml><?xml version="1.0" encoding="utf-8"?>
<ds:datastoreItem xmlns:ds="http://schemas.openxmlformats.org/officeDocument/2006/customXml" ds:itemID="{AE475A58-CF72-41BE-B17E-7A7C893FFE4F}"/>
</file>

<file path=customXml/itemProps3.xml><?xml version="1.0" encoding="utf-8"?>
<ds:datastoreItem xmlns:ds="http://schemas.openxmlformats.org/officeDocument/2006/customXml" ds:itemID="{3C27870A-A74C-4B9C-8414-6A76FF3611C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2025-11-17T19:03:08Z</dcterms:created>
  <dc:creator>Roberto Canales</dc:creator>
  <dc:description/>
  <dc:language>es-CL</dc:language>
  <cp:lastModifiedBy/>
  <dcterms:modified xsi:type="dcterms:W3CDTF">2026-09-08T14:06:13Z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0x010100994AF09D86BE3C498753070DF359B656</vt:lpwstr>
  </property>
</Properties>
</file>