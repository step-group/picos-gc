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Bloque A" sheetId="1" state="visible" r:id="rId3"/>
    <sheet name="Bloque B" sheetId="2" state="visible" r:id="rId4"/>
    <sheet name="Bloque C" sheetId="3" state="visible" r:id="rId5"/>
    <sheet name="Bloque D" sheetId="4" state="visible" r:id="rId6"/>
    <sheet name="Bloque E" sheetId="5" state="visible" r:id="rId7"/>
    <sheet name="Bloque F" sheetId="6" state="visible" r:id="rId8"/>
    <sheet name="Bloque H" sheetId="7" state="visible" r:id="rId9"/>
    <sheet name="Bloque 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<sst xmlns="http://schemas.openxmlformats.org/spreadsheetml/2006/main" count="499" uniqueCount="71">
  <si>
    <t xml:space="preserve">2PhEt</t>
  </si>
  <si>
    <t xml:space="preserve">Thymol:Carvone</t>
  </si>
  <si>
    <t xml:space="preserve">Pend. CC</t>
  </si>
  <si>
    <t xml:space="preserve">Thymol</t>
  </si>
  <si>
    <t xml:space="preserve">Carvone</t>
  </si>
  <si>
    <t xml:space="preserve">Diluido</t>
  </si>
  <si>
    <t xml:space="preserve">Real</t>
  </si>
  <si>
    <t xml:space="preserve">KF - Water %m/m</t>
  </si>
  <si>
    <t xml:space="preserve">Cód. Sist</t>
  </si>
  <si>
    <t xml:space="preserve">Fase</t>
  </si>
  <si>
    <t xml:space="preserve">Cód. vial</t>
  </si>
  <si>
    <t xml:space="preserve">Vial, g</t>
  </si>
  <si>
    <t xml:space="preserve">Muestra, uL</t>
  </si>
  <si>
    <t xml:space="preserve">V + muestra, g</t>
  </si>
  <si>
    <t xml:space="preserve">2-propanol, uL</t>
  </si>
  <si>
    <t xml:space="preserve">V + M + Met, g</t>
  </si>
  <si>
    <t xml:space="preserve">Muestra, g</t>
  </si>
  <si>
    <t xml:space="preserve">2-propanol</t>
  </si>
  <si>
    <t xml:space="preserve">Mue + Met</t>
  </si>
  <si>
    <t xml:space="preserve">Area Soluto</t>
  </si>
  <si>
    <t xml:space="preserve">Area  HBA</t>
  </si>
  <si>
    <t xml:space="preserve">Area HBD</t>
  </si>
  <si>
    <t xml:space="preserve">2PhEt, %m/m</t>
  </si>
  <si>
    <t xml:space="preserve">HBA, %m/m</t>
  </si>
  <si>
    <t xml:space="preserve">HBD, %m/m</t>
  </si>
  <si>
    <t xml:space="preserve">Solute</t>
  </si>
  <si>
    <t xml:space="preserve">HBA</t>
  </si>
  <si>
    <t xml:space="preserve">HBD</t>
  </si>
  <si>
    <t xml:space="preserve">Water</t>
  </si>
  <si>
    <t xml:space="preserve">A</t>
  </si>
  <si>
    <t xml:space="preserve">A1</t>
  </si>
  <si>
    <t xml:space="preserve">Superior</t>
  </si>
  <si>
    <t xml:space="preserve">Inferior</t>
  </si>
  <si>
    <t xml:space="preserve">A2</t>
  </si>
  <si>
    <t xml:space="preserve">A3</t>
  </si>
  <si>
    <t xml:space="preserve">A4</t>
  </si>
  <si>
    <t xml:space="preserve">A5</t>
  </si>
  <si>
    <t xml:space="preserve">Bin</t>
  </si>
  <si>
    <t xml:space="preserve">Thym:Geraniol</t>
  </si>
  <si>
    <t xml:space="preserve">Geraniol</t>
  </si>
  <si>
    <t xml:space="preserve">Area HBA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</si>
  <si>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</si>
  <si>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</si>
  <si>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</si>
  <si>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</si>
  <si>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</si>
  <si>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Thym:Carvacrol</t>
  </si>
  <si>
    <t xml:space="preserve">Carvacrol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</si>
  <si>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</si>
  <si>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</si>
  <si>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</si>
  <si>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</si>
  <si>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</si>
  <si>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Thym:Eug</t>
  </si>
  <si>
    <t xml:space="preserve">Eugenol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</si>
  <si>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</si>
  <si>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</si>
  <si>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</si>
  <si>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</si>
  <si>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</si>
  <si>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Thym:Camph</t>
  </si>
  <si>
    <t xml:space="preserve">Camphor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</si>
  <si>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</si>
  <si>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</si>
  <si>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</si>
  <si>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</si>
  <si>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</si>
  <si>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Camph:Carvone</t>
  </si>
  <si>
    <t xml:space="preserve">Camph:Carv</t>
  </si>
  <si>
    <t xml:space="preserve">Camph</t>
  </si>
  <si>
    <t xml:space="preserve">Camph:Eugenol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</si>
</sst>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0.0000"/>
    <numFmt numFmtId="167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K28" activeCellId="0" sqref="K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  <col collapsed="false" customWidth="true" hidden="false" outlineLevel="0" max="28" min="28" style="1" width="5.33"/>
  </cols>
  <sheetData>
    <row r="1" customFormat="false" ht="26.25" hidden="false" customHeight="true" outlineLevel="0" collapsed="false">
      <c r="F1" s="3" t="s">
        <v>0</v>
      </c>
      <c r="G1" s="3" t="s">
        <v>1</v>
      </c>
    </row>
    <row r="2" customFormat="false" ht="14.25" hidden="false" customHeight="true" outlineLevel="0" collapsed="false">
      <c r="E2" s="1" t="s">
        <v>2</v>
      </c>
      <c r="F2" s="1" t="n">
        <v>187.3142</v>
      </c>
      <c r="G2" s="2" t="n">
        <v>176.3849</v>
      </c>
      <c r="H2" s="4" t="n">
        <v>171.2346</v>
      </c>
    </row>
    <row r="3" customFormat="false" ht="14.25" hidden="false" customHeight="true" outlineLevel="0" collapsed="false">
      <c r="M3" s="1" t="s">
        <v>3</v>
      </c>
      <c r="N3" s="1" t="s">
        <v>4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20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  <c r="AA4" s="2"/>
      <c r="AB4" s="2"/>
      <c r="AC4" s="8" t="s">
        <v>29</v>
      </c>
      <c r="AD4" s="8" t="s">
        <v>25</v>
      </c>
      <c r="AE4" s="8" t="s">
        <v>3</v>
      </c>
      <c r="AF4" s="8" t="s">
        <v>4</v>
      </c>
      <c r="AG4" s="8" t="s">
        <v>28</v>
      </c>
    </row>
    <row r="5" customFormat="false" ht="14.25" hidden="false" customHeight="true" outlineLevel="0" collapsed="false">
      <c r="A5" s="18" t="s">
        <v>30</v>
      </c>
      <c r="B5" s="19" t="s">
        <v>31</v>
      </c>
      <c r="C5" s="20" t="n">
        <v>1</v>
      </c>
      <c r="D5" s="21" t="n">
        <v>2.7385</v>
      </c>
      <c r="E5" s="19" t="n">
        <v>300</v>
      </c>
      <c r="F5" s="20" t="n">
        <v>2.9211</v>
      </c>
      <c r="G5" s="19" t="n">
        <f aca="false">1000-E5</f>
        <v>700</v>
      </c>
      <c r="H5" s="20" t="n">
        <v>3.4876</v>
      </c>
      <c r="I5" s="22" t="n">
        <f aca="false">F5-D5</f>
        <v>0.1826</v>
      </c>
      <c r="J5" s="22" t="n">
        <f aca="false">H5-F5</f>
        <v>0.5665</v>
      </c>
      <c r="K5" s="22" t="n">
        <f aca="false">J5+I5</f>
        <v>0.7491</v>
      </c>
      <c r="L5" s="23" t="n">
        <v>145.1811</v>
      </c>
      <c r="M5" s="23" t="n">
        <v>1830.9657</v>
      </c>
      <c r="N5" s="23" t="n">
        <v>1728.9399</v>
      </c>
      <c r="O5" s="24" t="n">
        <f aca="false">L5/$F$2</f>
        <v>0.775067239963655</v>
      </c>
      <c r="P5" s="24" t="n">
        <f aca="false">M5/$G$2</f>
        <v>10.3805127309651</v>
      </c>
      <c r="Q5" s="24" t="n">
        <f aca="false">N5/$H$2</f>
        <v>10.0969074007239</v>
      </c>
      <c r="R5" s="25" t="n">
        <f aca="false">O5*$K5/$I5</f>
        <v>3.17964331575451</v>
      </c>
      <c r="S5" s="25" t="n">
        <f aca="false">P5*$K5/$I5</f>
        <v>42.5851154806459</v>
      </c>
      <c r="T5" s="26" t="n">
        <f aca="false">Q5*$K5/$I5</f>
        <v>41.4216502403192</v>
      </c>
      <c r="U5" s="27" t="n">
        <v>1.9303</v>
      </c>
      <c r="V5" s="27"/>
      <c r="W5" s="28" t="n">
        <f aca="false">AVERAGE(R5:R6)/100</f>
        <v>0.0323140116447447</v>
      </c>
      <c r="X5" s="27" t="n">
        <f aca="false">AVERAGE(S5:S6)/100</f>
        <v>0.432109667920578</v>
      </c>
      <c r="Y5" s="27" t="n">
        <f aca="false">AVERAGE(T5:T6)/100</f>
        <v>0.420473345093491</v>
      </c>
      <c r="Z5" s="29" t="n">
        <f aca="false">AVERAGE(U5:V6)/100</f>
        <v>0.0194915</v>
      </c>
      <c r="AA5" s="2" t="n">
        <f aca="false">SUM(W5:Z5)</f>
        <v>0.904388524658814</v>
      </c>
      <c r="AB5" s="2"/>
      <c r="AC5" s="30" t="n">
        <v>1</v>
      </c>
      <c r="AD5" s="31" t="n">
        <f aca="false">W5/$AA5</f>
        <v>0.0357302318236903</v>
      </c>
      <c r="AE5" s="31" t="n">
        <f aca="false">X5/$AA5</f>
        <v>0.477792072918654</v>
      </c>
      <c r="AF5" s="31" t="n">
        <f aca="false">Y5/$AA5</f>
        <v>0.464925564211595</v>
      </c>
      <c r="AG5" s="31" t="n">
        <f aca="false">Z5/$AA5</f>
        <v>0.0215521310460604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2.7637</v>
      </c>
      <c r="E6" s="20" t="n">
        <v>300</v>
      </c>
      <c r="F6" s="20" t="n">
        <v>2.9548</v>
      </c>
      <c r="G6" s="19" t="n">
        <f aca="false">1000-E6</f>
        <v>700</v>
      </c>
      <c r="H6" s="20" t="n">
        <v>3.5091</v>
      </c>
      <c r="I6" s="22" t="n">
        <f aca="false">F6-D6</f>
        <v>0.1911</v>
      </c>
      <c r="J6" s="22" t="n">
        <f aca="false">H6-F6</f>
        <v>0.5543</v>
      </c>
      <c r="K6" s="22" t="n">
        <f aca="false">J6+I6</f>
        <v>0.7454</v>
      </c>
      <c r="L6" s="23" t="n">
        <v>157.6645</v>
      </c>
      <c r="M6" s="23" t="n">
        <v>1982.3107</v>
      </c>
      <c r="N6" s="23" t="n">
        <v>1873.3382</v>
      </c>
      <c r="O6" s="24" t="n">
        <f aca="false">L6/$F$2</f>
        <v>0.84171141322975</v>
      </c>
      <c r="P6" s="24" t="n">
        <f aca="false">M6/$G$2</f>
        <v>11.2385510324296</v>
      </c>
      <c r="Q6" s="24" t="n">
        <f aca="false">N6/$H$2</f>
        <v>10.9401849859783</v>
      </c>
      <c r="R6" s="25" t="n">
        <f aca="false">O6*$K6/$I6</f>
        <v>3.28315901319443</v>
      </c>
      <c r="S6" s="25" t="n">
        <f aca="false">P6*$K6/$I6</f>
        <v>43.8368181034697</v>
      </c>
      <c r="T6" s="26" t="n">
        <f aca="false">Q6*$K6/$I6</f>
        <v>42.673018778379</v>
      </c>
      <c r="U6" s="27" t="n">
        <v>1.968</v>
      </c>
      <c r="V6" s="27"/>
      <c r="W6" s="32"/>
      <c r="X6" s="2"/>
      <c r="Y6" s="2"/>
      <c r="Z6" s="33"/>
      <c r="AA6" s="2"/>
      <c r="AB6" s="2"/>
      <c r="AC6" s="30"/>
      <c r="AD6" s="31" t="n">
        <f aca="false">W7/$AA7</f>
        <v>0.000883289730783363</v>
      </c>
      <c r="AE6" s="31" t="n">
        <f aca="false">X7/$AA7</f>
        <v>0.000365861115809318</v>
      </c>
      <c r="AF6" s="31" t="n">
        <f aca="false">Y7/$AA7</f>
        <v>0.000358788930783927</v>
      </c>
      <c r="AG6" s="31" t="n">
        <f aca="false">Z7/$AA7</f>
        <v>0.998392060222623</v>
      </c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2.7229</v>
      </c>
      <c r="E7" s="34" t="n">
        <v>100</v>
      </c>
      <c r="F7" s="34" t="n">
        <v>2.924</v>
      </c>
      <c r="G7" s="30" t="n">
        <f aca="false">1000-E7</f>
        <v>900</v>
      </c>
      <c r="H7" s="34" t="n">
        <v>3.4906</v>
      </c>
      <c r="I7" s="35" t="n">
        <f aca="false">F7-D7</f>
        <v>0.2011</v>
      </c>
      <c r="J7" s="35" t="n">
        <f aca="false">H7-F7</f>
        <v>0.5666</v>
      </c>
      <c r="K7" s="35" t="n">
        <f aca="false">J7+I7</f>
        <v>0.7677</v>
      </c>
      <c r="L7" s="36" t="n">
        <v>4.1843</v>
      </c>
      <c r="M7" s="1" t="n">
        <v>3.317</v>
      </c>
      <c r="N7" s="1" t="n">
        <v>3.1579</v>
      </c>
      <c r="O7" s="37" t="n">
        <f aca="false">L7/$F$2</f>
        <v>0.0223384025343514</v>
      </c>
      <c r="P7" s="37" t="n">
        <f aca="false">M7/$G$2</f>
        <v>0.0188054646401138</v>
      </c>
      <c r="Q7" s="37" t="n">
        <f aca="false">N7/$H$2</f>
        <v>0.0184419504002112</v>
      </c>
      <c r="R7" s="38" t="n">
        <f aca="false">O7*$K7/$I7</f>
        <v>0.0852769349856866</v>
      </c>
      <c r="S7" s="38" t="n">
        <f aca="false">P7*$K7/$I7</f>
        <v>0.0717899313983856</v>
      </c>
      <c r="T7" s="39" t="n">
        <f aca="false">Q7*$K7/$I7</f>
        <v>0.0704022144318355</v>
      </c>
      <c r="U7" s="2" t="n">
        <v>97.9104</v>
      </c>
      <c r="V7" s="2"/>
      <c r="W7" s="32" t="n">
        <f aca="false">AVERAGE(R7:R8)/100</f>
        <v>0.0008666035612662</v>
      </c>
      <c r="X7" s="2" t="n">
        <f aca="false">AVERAGE(S7:S8)/100</f>
        <v>0.000358949656991928</v>
      </c>
      <c r="Y7" s="2" t="n">
        <f aca="false">AVERAGE(T7:T8)/100</f>
        <v>0.000352011072159178</v>
      </c>
      <c r="Z7" s="33" t="n">
        <f aca="false">AVERAGE(U7:V8)/100</f>
        <v>0.9795315</v>
      </c>
      <c r="AA7" s="2" t="n">
        <f aca="false">SUM(W7:Z7)</f>
        <v>0.981109064290417</v>
      </c>
      <c r="AB7" s="2"/>
      <c r="AC7" s="30" t="n">
        <v>2</v>
      </c>
      <c r="AD7" s="31" t="n">
        <f aca="false">W9/$AA9</f>
        <v>0.0180602884442693</v>
      </c>
      <c r="AE7" s="31" t="n">
        <f aca="false">X9/$AA9</f>
        <v>0</v>
      </c>
      <c r="AF7" s="31" t="n">
        <f aca="false">Y9/$AA9</f>
        <v>0</v>
      </c>
      <c r="AG7" s="31" t="n">
        <f aca="false">Z9/$AA9</f>
        <v>0.981939711555731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2.7988</v>
      </c>
      <c r="E8" s="34" t="n">
        <v>100</v>
      </c>
      <c r="F8" s="34" t="n">
        <v>3.0014</v>
      </c>
      <c r="G8" s="30" t="n">
        <f aca="false">1000-E8</f>
        <v>900</v>
      </c>
      <c r="H8" s="34" t="n">
        <v>3.5781</v>
      </c>
      <c r="I8" s="35" t="n">
        <f aca="false">F8-D8</f>
        <v>0.2026</v>
      </c>
      <c r="J8" s="35" t="n">
        <f aca="false">H8-F8</f>
        <v>0.5767</v>
      </c>
      <c r="K8" s="35" t="n">
        <f aca="false">J8+I8</f>
        <v>0.7793</v>
      </c>
      <c r="L8" s="36" t="n">
        <v>4.2875</v>
      </c>
      <c r="M8" s="36"/>
      <c r="O8" s="37" t="n">
        <f aca="false">L8/$F$2</f>
        <v>0.0228893484850588</v>
      </c>
      <c r="P8" s="37" t="n">
        <f aca="false">M8/$G$2</f>
        <v>0</v>
      </c>
      <c r="Q8" s="37" t="n">
        <f aca="false">N8/$H$2</f>
        <v>0</v>
      </c>
      <c r="R8" s="38" t="n">
        <f aca="false">O8*$K8/$I8</f>
        <v>0.0880437772675534</v>
      </c>
      <c r="S8" s="38" t="n">
        <f aca="false">P8*$K8/$I8</f>
        <v>0</v>
      </c>
      <c r="T8" s="39" t="n">
        <f aca="false">Q8*$K8/$I8</f>
        <v>0</v>
      </c>
      <c r="U8" s="2" t="n">
        <v>97.9959</v>
      </c>
      <c r="V8" s="2"/>
      <c r="W8" s="32"/>
      <c r="X8" s="2"/>
      <c r="Y8" s="2"/>
      <c r="Z8" s="33"/>
      <c r="AA8" s="2"/>
      <c r="AB8" s="2"/>
      <c r="AC8" s="30"/>
      <c r="AD8" s="31" t="n">
        <f aca="false">W11/$AA11</f>
        <v>0.865208890446224</v>
      </c>
      <c r="AE8" s="31" t="n">
        <f aca="false">X11/$AA11</f>
        <v>0.0207396185817818</v>
      </c>
      <c r="AF8" s="31" t="n">
        <f aca="false">Y11/$AA11</f>
        <v>0.0198975786384705</v>
      </c>
      <c r="AG8" s="31" t="n">
        <f aca="false">Z11/$AA11</f>
        <v>0.0941539123335241</v>
      </c>
    </row>
    <row r="9" customFormat="false" ht="14.25" hidden="false" customHeight="true" outlineLevel="0" collapsed="false">
      <c r="A9" s="18" t="s">
        <v>33</v>
      </c>
      <c r="B9" s="19" t="s">
        <v>31</v>
      </c>
      <c r="C9" s="20" t="n">
        <v>5</v>
      </c>
      <c r="D9" s="19" t="n">
        <v>2.8045</v>
      </c>
      <c r="E9" s="19" t="n">
        <v>300</v>
      </c>
      <c r="F9" s="20" t="n">
        <v>3.0039</v>
      </c>
      <c r="G9" s="19" t="n">
        <f aca="false">1000-E9</f>
        <v>700</v>
      </c>
      <c r="H9" s="20" t="n">
        <v>3.5604</v>
      </c>
      <c r="I9" s="22" t="n">
        <f aca="false">F9-D9</f>
        <v>0.1994</v>
      </c>
      <c r="J9" s="22" t="n">
        <f aca="false">H9-F9</f>
        <v>0.5565</v>
      </c>
      <c r="K9" s="22" t="n">
        <f aca="false">J9+I9</f>
        <v>0.7559</v>
      </c>
      <c r="L9" s="23" t="n">
        <v>90.2138</v>
      </c>
      <c r="M9" s="23"/>
      <c r="N9" s="23"/>
      <c r="O9" s="24" t="n">
        <f aca="false">L9/$F$2</f>
        <v>0.481617517518693</v>
      </c>
      <c r="P9" s="24" t="n">
        <f aca="false">M9/$G$2</f>
        <v>0</v>
      </c>
      <c r="Q9" s="24" t="n">
        <f aca="false">N9/$H$2</f>
        <v>0</v>
      </c>
      <c r="R9" s="25" t="n">
        <f aca="false">O9*$K9/$I9</f>
        <v>1.82575065944022</v>
      </c>
      <c r="S9" s="25" t="n">
        <f aca="false">P9*$K9/$I9</f>
        <v>0</v>
      </c>
      <c r="T9" s="26" t="n">
        <f aca="false">Q9*$K9/$I9</f>
        <v>0</v>
      </c>
      <c r="U9" s="27" t="n">
        <v>98.9515</v>
      </c>
      <c r="V9" s="27"/>
      <c r="W9" s="28" t="n">
        <f aca="false">AVERAGE(R9:R10)/100</f>
        <v>0.0181130893105097</v>
      </c>
      <c r="X9" s="27" t="n">
        <f aca="false">AVERAGE(S9:S10)/100</f>
        <v>0</v>
      </c>
      <c r="Y9" s="27" t="n">
        <f aca="false">AVERAGE(T9:T10)/100</f>
        <v>0</v>
      </c>
      <c r="Z9" s="29" t="n">
        <f aca="false">AVERAGE(U9:V10)/100</f>
        <v>0.9848105</v>
      </c>
      <c r="AA9" s="2" t="n">
        <f aca="false">SUM(W9:Z9)</f>
        <v>1.00292358931051</v>
      </c>
      <c r="AB9" s="2"/>
      <c r="AC9" s="30" t="n">
        <v>3</v>
      </c>
      <c r="AD9" s="31" t="n">
        <f aca="false">W13/$AA13</f>
        <v>0.483024878867096</v>
      </c>
      <c r="AE9" s="31" t="n">
        <f aca="false">X13/$AA13</f>
        <v>0.238755925816608</v>
      </c>
      <c r="AF9" s="31" t="n">
        <f aca="false">Y13/$AA13</f>
        <v>0.233404104019573</v>
      </c>
      <c r="AG9" s="31" t="n">
        <f aca="false">Z13/$AA13</f>
        <v>0.0448150912967227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2.766</v>
      </c>
      <c r="E10" s="20" t="n">
        <v>300</v>
      </c>
      <c r="F10" s="20" t="n">
        <v>2.972</v>
      </c>
      <c r="G10" s="19" t="n">
        <f aca="false">1000-E10</f>
        <v>700</v>
      </c>
      <c r="H10" s="20" t="n">
        <v>3.5387</v>
      </c>
      <c r="I10" s="22" t="n">
        <f aca="false">F10-D10</f>
        <v>0.206</v>
      </c>
      <c r="J10" s="22" t="n">
        <f aca="false">H10-F10</f>
        <v>0.5667</v>
      </c>
      <c r="K10" s="22" t="n">
        <f aca="false">J10+I10</f>
        <v>0.7727</v>
      </c>
      <c r="L10" s="23" t="n">
        <v>89.7311</v>
      </c>
      <c r="M10" s="23"/>
      <c r="N10" s="23"/>
      <c r="O10" s="24" t="n">
        <f aca="false">L10/$F$2</f>
        <v>0.479040563929483</v>
      </c>
      <c r="P10" s="24" t="n">
        <f aca="false">M10/$G$2</f>
        <v>0</v>
      </c>
      <c r="Q10" s="24" t="n">
        <f aca="false">N10/$H$2</f>
        <v>0</v>
      </c>
      <c r="R10" s="25" t="n">
        <f aca="false">O10*$K10/$I10</f>
        <v>1.79686720266171</v>
      </c>
      <c r="S10" s="25" t="n">
        <f aca="false">P10*$K10/$I10</f>
        <v>0</v>
      </c>
      <c r="T10" s="26" t="n">
        <f aca="false">Q10*$K10/$I10</f>
        <v>0</v>
      </c>
      <c r="U10" s="27" t="n">
        <v>98.0106</v>
      </c>
      <c r="V10" s="27"/>
      <c r="W10" s="32"/>
      <c r="X10" s="2"/>
      <c r="Y10" s="2"/>
      <c r="Z10" s="33"/>
      <c r="AA10" s="2"/>
      <c r="AB10" s="2"/>
      <c r="AC10" s="30"/>
      <c r="AD10" s="31" t="n">
        <f aca="false">W15/$AA15</f>
        <v>0.010613339958792</v>
      </c>
      <c r="AE10" s="31" t="n">
        <f aca="false">X15/$AA15</f>
        <v>0</v>
      </c>
      <c r="AF10" s="31" t="n">
        <f aca="false">Y15/$AA15</f>
        <v>0</v>
      </c>
      <c r="AG10" s="31" t="n">
        <f aca="false">Z15/$AA15</f>
        <v>0.989386660041208</v>
      </c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2.794</v>
      </c>
      <c r="E11" s="34" t="n">
        <v>100</v>
      </c>
      <c r="F11" s="34" t="n">
        <v>2.9914</v>
      </c>
      <c r="G11" s="30" t="n">
        <f aca="false">1000-E11</f>
        <v>900</v>
      </c>
      <c r="H11" s="34" t="n">
        <v>3.5716</v>
      </c>
      <c r="I11" s="35" t="n">
        <f aca="false">F11-D11</f>
        <v>0.1974</v>
      </c>
      <c r="J11" s="35" t="n">
        <f aca="false">H11-F11</f>
        <v>0.5802</v>
      </c>
      <c r="K11" s="35" t="n">
        <f aca="false">J11+I11</f>
        <v>0.7776</v>
      </c>
      <c r="L11" s="40" t="n">
        <v>3681.735</v>
      </c>
      <c r="M11" s="1" t="n">
        <v>83.1896</v>
      </c>
      <c r="N11" s="36" t="n">
        <v>77.5564</v>
      </c>
      <c r="O11" s="37" t="n">
        <f aca="false">L11/$F$2</f>
        <v>19.6553971882537</v>
      </c>
      <c r="P11" s="37" t="n">
        <f aca="false">M11/$G$2</f>
        <v>0.471636744415197</v>
      </c>
      <c r="Q11" s="37" t="n">
        <f aca="false">N11/$H$2</f>
        <v>0.452924817764634</v>
      </c>
      <c r="R11" s="38" t="n">
        <f aca="false">O11*$K11/$I11</f>
        <v>77.4267317810847</v>
      </c>
      <c r="S11" s="38" t="n">
        <f aca="false">P11*$K11/$I11</f>
        <v>1.85787605094862</v>
      </c>
      <c r="T11" s="39" t="n">
        <f aca="false">Q11*$K11/$I11</f>
        <v>1.78416584748622</v>
      </c>
      <c r="U11" s="2" t="n">
        <v>8.5693</v>
      </c>
      <c r="V11" s="2" t="n">
        <v>8.5126</v>
      </c>
      <c r="W11" s="32" t="n">
        <f aca="false">AVERAGE(R11:R12)/100</f>
        <v>0.784221299854763</v>
      </c>
      <c r="X11" s="2" t="n">
        <f aca="false">AVERAGE(S11:S12)/100</f>
        <v>0.018798293478363</v>
      </c>
      <c r="Y11" s="2" t="n">
        <f aca="false">AVERAGE(T11:T12)/100</f>
        <v>0.0180350724040481</v>
      </c>
      <c r="Z11" s="33" t="n">
        <f aca="false">AVERAGE(U11:V12)/100</f>
        <v>0.0853406666666667</v>
      </c>
      <c r="AA11" s="2" t="n">
        <f aca="false">SUM(W11:Z11)</f>
        <v>0.906395332403841</v>
      </c>
      <c r="AB11" s="2"/>
      <c r="AC11" s="30" t="n">
        <v>4</v>
      </c>
      <c r="AD11" s="31" t="n">
        <f aca="false">W17/$AA17</f>
        <v>0.240452506379702</v>
      </c>
      <c r="AE11" s="31" t="n">
        <f aca="false">X17/$AA17</f>
        <v>0.369005569976465</v>
      </c>
      <c r="AF11" s="31" t="n">
        <f aca="false">Y17/$AA17</f>
        <v>0.360678446883125</v>
      </c>
      <c r="AG11" s="31" t="n">
        <f aca="false">Z17/$AA17</f>
        <v>0.0298634767607072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2.738</v>
      </c>
      <c r="E12" s="34" t="n">
        <v>100</v>
      </c>
      <c r="F12" s="34" t="n">
        <v>2.949</v>
      </c>
      <c r="G12" s="30" t="n">
        <f aca="false">1000-E12</f>
        <v>900</v>
      </c>
      <c r="H12" s="34" t="n">
        <v>3.5288</v>
      </c>
      <c r="I12" s="35" t="n">
        <f aca="false">F12-D12</f>
        <v>0.211</v>
      </c>
      <c r="J12" s="35" t="n">
        <f aca="false">H12-F12</f>
        <v>0.5798</v>
      </c>
      <c r="K12" s="35" t="n">
        <f aca="false">J12+I12</f>
        <v>0.7908</v>
      </c>
      <c r="L12" s="36" t="n">
        <v>3969.1989</v>
      </c>
      <c r="M12" s="1" t="n">
        <v>89.5031</v>
      </c>
      <c r="N12" s="36" t="n">
        <v>83.2833</v>
      </c>
      <c r="O12" s="37" t="n">
        <f aca="false">L12/$F$2</f>
        <v>21.1900587355363</v>
      </c>
      <c r="P12" s="37" t="n">
        <f aca="false">M12/$G$2</f>
        <v>0.507430624730348</v>
      </c>
      <c r="Q12" s="37" t="n">
        <f aca="false">N12/$H$2</f>
        <v>0.486369577176575</v>
      </c>
      <c r="R12" s="38" t="n">
        <f aca="false">O12*$K12/$I12</f>
        <v>79.417528189868</v>
      </c>
      <c r="S12" s="38" t="n">
        <f aca="false">P12*$K12/$I12</f>
        <v>1.90178264472398</v>
      </c>
      <c r="T12" s="39" t="n">
        <f aca="false">Q12*$K12/$I12</f>
        <v>1.82284863332339</v>
      </c>
      <c r="U12" s="2"/>
      <c r="V12" s="2" t="n">
        <v>8.5203</v>
      </c>
      <c r="W12" s="32"/>
      <c r="X12" s="2"/>
      <c r="Y12" s="2"/>
      <c r="Z12" s="33"/>
      <c r="AA12" s="2"/>
      <c r="AB12" s="2"/>
      <c r="AC12" s="30"/>
      <c r="AD12" s="31" t="n">
        <f aca="false">W19/$AA19</f>
        <v>0.00617230786942675</v>
      </c>
      <c r="AE12" s="31" t="n">
        <f aca="false">X19/$AA19</f>
        <v>0.00044583431462068</v>
      </c>
      <c r="AF12" s="31" t="n">
        <f aca="false">Y19/$AA19</f>
        <v>0.000443413170499821</v>
      </c>
      <c r="AG12" s="31" t="n">
        <f aca="false">Z19/$AA19</f>
        <v>0.992938444645453</v>
      </c>
    </row>
    <row r="13" customFormat="false" ht="14.25" hidden="false" customHeight="true" outlineLevel="0" collapsed="false">
      <c r="A13" s="18" t="s">
        <v>34</v>
      </c>
      <c r="B13" s="19" t="s">
        <v>31</v>
      </c>
      <c r="C13" s="20" t="n">
        <v>9</v>
      </c>
      <c r="D13" s="19" t="n">
        <v>2.7535</v>
      </c>
      <c r="E13" s="19" t="n">
        <v>300</v>
      </c>
      <c r="F13" s="20" t="n">
        <v>2.946</v>
      </c>
      <c r="G13" s="19" t="n">
        <f aca="false">1000-E13</f>
        <v>700</v>
      </c>
      <c r="H13" s="20" t="n">
        <v>3.5107</v>
      </c>
      <c r="I13" s="22" t="n">
        <f aca="false">F13-D13</f>
        <v>0.1925</v>
      </c>
      <c r="J13" s="22" t="n">
        <f aca="false">H13-F13</f>
        <v>0.5647</v>
      </c>
      <c r="K13" s="22" t="n">
        <f aca="false">J13+I13</f>
        <v>0.7572</v>
      </c>
      <c r="L13" s="23" t="n">
        <v>2059.6407</v>
      </c>
      <c r="M13" s="23" t="n">
        <v>959.4937</v>
      </c>
      <c r="N13" s="23" t="n">
        <v>911.1572</v>
      </c>
      <c r="O13" s="24" t="n">
        <f aca="false">L13/$F$2</f>
        <v>10.9956463524922</v>
      </c>
      <c r="P13" s="24" t="n">
        <f aca="false">M13/$G$2</f>
        <v>5.43977233878864</v>
      </c>
      <c r="Q13" s="24" t="n">
        <f aca="false">N13/$H$2</f>
        <v>5.32110449640435</v>
      </c>
      <c r="R13" s="25" t="n">
        <f aca="false">O13*$K13/$I13</f>
        <v>43.2514463278291</v>
      </c>
      <c r="S13" s="25" t="n">
        <f aca="false">P13*$K13/$I13</f>
        <v>21.3973798178221</v>
      </c>
      <c r="T13" s="26" t="n">
        <f aca="false">Q13*$K13/$I13</f>
        <v>20.9305990892331</v>
      </c>
      <c r="U13" s="27" t="n">
        <v>4.0063</v>
      </c>
      <c r="V13" s="27"/>
      <c r="W13" s="28" t="n">
        <f aca="false">AVERAGE(R13:R14)/100</f>
        <v>0.434107149417171</v>
      </c>
      <c r="X13" s="27" t="n">
        <f aca="false">AVERAGE(S13:S14)/100</f>
        <v>0.214576223497638</v>
      </c>
      <c r="Y13" s="27" t="n">
        <f aca="false">AVERAGE(T13:T14)/100</f>
        <v>0.209766400637273</v>
      </c>
      <c r="Z13" s="29" t="n">
        <f aca="false">AVERAGE(U13:V14)/100</f>
        <v>0.0402765</v>
      </c>
      <c r="AA13" s="2" t="n">
        <f aca="false">SUM(W13:Z13)</f>
        <v>0.898726273552083</v>
      </c>
      <c r="AB13" s="2"/>
      <c r="AC13" s="30" t="n">
        <v>5</v>
      </c>
      <c r="AD13" s="31" t="n">
        <f aca="false">W21/$AA21</f>
        <v>0.0198576597977528</v>
      </c>
      <c r="AE13" s="31" t="n">
        <f aca="false">X21/$AA21</f>
        <v>0.000586180393281567</v>
      </c>
      <c r="AF13" s="31" t="n">
        <f aca="false">Y21/$AA21</f>
        <v>0.00058051241703602</v>
      </c>
      <c r="AG13" s="31" t="n">
        <f aca="false">Z21/$AA21</f>
        <v>0.97897564739193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2.775</v>
      </c>
      <c r="E14" s="20" t="n">
        <v>300</v>
      </c>
      <c r="F14" s="20" t="n">
        <v>2.976</v>
      </c>
      <c r="G14" s="19" t="n">
        <f aca="false">1000-E14</f>
        <v>700</v>
      </c>
      <c r="H14" s="20" t="n">
        <v>3.4966</v>
      </c>
      <c r="I14" s="22" t="n">
        <f aca="false">F14-D14</f>
        <v>0.201</v>
      </c>
      <c r="J14" s="22" t="n">
        <f aca="false">H14-F14</f>
        <v>0.5206</v>
      </c>
      <c r="K14" s="22" t="n">
        <f aca="false">J14+I14</f>
        <v>0.7216</v>
      </c>
      <c r="L14" s="23" t="n">
        <v>2273.3046</v>
      </c>
      <c r="M14" s="23" t="n">
        <v>1057.2072</v>
      </c>
      <c r="N14" s="23" t="n">
        <v>1002.7188</v>
      </c>
      <c r="O14" s="24" t="n">
        <f aca="false">L14/$F$2</f>
        <v>12.1363174815364</v>
      </c>
      <c r="P14" s="24" t="n">
        <f aca="false">M14/$G$2</f>
        <v>5.9937511657744</v>
      </c>
      <c r="Q14" s="24" t="n">
        <f aca="false">N14/$H$2</f>
        <v>5.855818859039</v>
      </c>
      <c r="R14" s="25" t="n">
        <f aca="false">O14*$K14/$I14</f>
        <v>43.5699835556052</v>
      </c>
      <c r="S14" s="25" t="n">
        <f aca="false">P14*$K14/$I14</f>
        <v>21.5178648817055</v>
      </c>
      <c r="T14" s="26" t="n">
        <f aca="false">Q14*$K14/$I14</f>
        <v>21.0226810382216</v>
      </c>
      <c r="U14" s="27" t="n">
        <v>4.049</v>
      </c>
      <c r="V14" s="27"/>
      <c r="W14" s="32"/>
      <c r="X14" s="2"/>
      <c r="Y14" s="2"/>
      <c r="Z14" s="33"/>
      <c r="AA14" s="2"/>
      <c r="AB14" s="2"/>
      <c r="AC14" s="30"/>
      <c r="AD14" s="31" t="n">
        <f aca="false">W23/$AA23</f>
        <v>0.715768597208433</v>
      </c>
      <c r="AE14" s="31" t="n">
        <f aca="false">X23/$AA23</f>
        <v>0.104896108871871</v>
      </c>
      <c r="AF14" s="31" t="n">
        <f aca="false">Y23/$AA23</f>
        <v>0.102109775333669</v>
      </c>
      <c r="AG14" s="31" t="n">
        <f aca="false">Z23/$AA23</f>
        <v>0.0772255185860265</v>
      </c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2.8117</v>
      </c>
      <c r="E15" s="34" t="n">
        <v>100</v>
      </c>
      <c r="F15" s="34" t="n">
        <v>3.0243</v>
      </c>
      <c r="G15" s="30" t="n">
        <f aca="false">1000-E15</f>
        <v>900</v>
      </c>
      <c r="H15" s="34" t="n">
        <v>3.5274</v>
      </c>
      <c r="I15" s="35" t="n">
        <f aca="false">F15-D15</f>
        <v>0.2126</v>
      </c>
      <c r="J15" s="35" t="n">
        <f aca="false">H15-F15</f>
        <v>0.5031</v>
      </c>
      <c r="K15" s="35" t="n">
        <f aca="false">J15+I15</f>
        <v>0.7157</v>
      </c>
      <c r="L15" s="36" t="n">
        <v>55.3586</v>
      </c>
      <c r="M15" s="36"/>
      <c r="N15" s="41"/>
      <c r="O15" s="37" t="n">
        <f aca="false">L15/$F$2</f>
        <v>0.295538725841394</v>
      </c>
      <c r="P15" s="37" t="n">
        <f aca="false">M15/$G$2</f>
        <v>0</v>
      </c>
      <c r="Q15" s="37" t="n">
        <f aca="false">N15/$H$2</f>
        <v>0</v>
      </c>
      <c r="R15" s="38" t="n">
        <f aca="false">O15*$K15/$I15</f>
        <v>0.994906237463243</v>
      </c>
      <c r="S15" s="38" t="n">
        <f aca="false">P15*$K15/$I15</f>
        <v>0</v>
      </c>
      <c r="T15" s="39" t="n">
        <f aca="false">Q15*$K15/$I15</f>
        <v>0</v>
      </c>
      <c r="U15" s="2" t="n">
        <v>97.5173</v>
      </c>
      <c r="V15" s="2"/>
      <c r="W15" s="32" t="n">
        <f aca="false">AVERAGE(R15:R16)/100</f>
        <v>0.0104893801830857</v>
      </c>
      <c r="X15" s="2" t="n">
        <f aca="false">AVERAGE(S15:S16)/100</f>
        <v>0</v>
      </c>
      <c r="Y15" s="2" t="n">
        <f aca="false">AVERAGE(T15:T16)/100</f>
        <v>0</v>
      </c>
      <c r="Z15" s="33" t="n">
        <f aca="false">AVERAGE(U15:V16)/100</f>
        <v>0.977831</v>
      </c>
      <c r="AA15" s="2" t="n">
        <f aca="false">SUM(W15:Z15)</f>
        <v>0.988320380183086</v>
      </c>
      <c r="AB15" s="2"/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2.8198</v>
      </c>
      <c r="E16" s="34" t="n">
        <v>100</v>
      </c>
      <c r="F16" s="34" t="n">
        <v>3.0125</v>
      </c>
      <c r="G16" s="30" t="n">
        <f aca="false">1000-E16</f>
        <v>900</v>
      </c>
      <c r="H16" s="34" t="n">
        <v>3.5258</v>
      </c>
      <c r="I16" s="35" t="n">
        <f aca="false">F16-D16</f>
        <v>0.1927</v>
      </c>
      <c r="J16" s="35" t="n">
        <f aca="false">H16-F16</f>
        <v>0.5133</v>
      </c>
      <c r="K16" s="35" t="n">
        <f aca="false">J16+I16</f>
        <v>0.706</v>
      </c>
      <c r="L16" s="36" t="n">
        <v>56.3912</v>
      </c>
      <c r="M16" s="36"/>
      <c r="N16" s="36"/>
      <c r="O16" s="37" t="n">
        <f aca="false">L16/$F$2</f>
        <v>0.3010513885226</v>
      </c>
      <c r="P16" s="37" t="n">
        <f aca="false">M16/$G$2</f>
        <v>0</v>
      </c>
      <c r="Q16" s="37" t="n">
        <f aca="false">N16/$H$2</f>
        <v>0</v>
      </c>
      <c r="R16" s="38" t="n">
        <f aca="false">O16*$K16/$I16</f>
        <v>1.10296979915389</v>
      </c>
      <c r="S16" s="38" t="n">
        <f aca="false">P16*$K16/$I16</f>
        <v>0</v>
      </c>
      <c r="T16" s="39" t="n">
        <f aca="false">Q16*$K16/$I16</f>
        <v>0</v>
      </c>
      <c r="U16" s="2" t="n">
        <v>97.0495</v>
      </c>
      <c r="V16" s="2" t="n">
        <v>98.7825</v>
      </c>
      <c r="W16" s="32"/>
      <c r="X16" s="2"/>
      <c r="Y16" s="2"/>
      <c r="Z16" s="33"/>
      <c r="AA16" s="2"/>
      <c r="AB16" s="2"/>
    </row>
    <row r="17" customFormat="false" ht="14.25" hidden="false" customHeight="true" outlineLevel="0" collapsed="false">
      <c r="A17" s="18" t="s">
        <v>35</v>
      </c>
      <c r="B17" s="19" t="s">
        <v>31</v>
      </c>
      <c r="C17" s="20" t="n">
        <v>13</v>
      </c>
      <c r="D17" s="19" t="n">
        <v>2.8007</v>
      </c>
      <c r="E17" s="19" t="n">
        <v>300</v>
      </c>
      <c r="F17" s="20" t="n">
        <v>2.9858</v>
      </c>
      <c r="G17" s="19" t="n">
        <f aca="false">1000-E17</f>
        <v>700</v>
      </c>
      <c r="H17" s="20" t="n">
        <v>3.5551</v>
      </c>
      <c r="I17" s="22" t="n">
        <f aca="false">F17-D17</f>
        <v>0.1851</v>
      </c>
      <c r="J17" s="22" t="n">
        <f aca="false">H17-F17</f>
        <v>0.5693</v>
      </c>
      <c r="K17" s="22" t="n">
        <f aca="false">J17+I17</f>
        <v>0.7544</v>
      </c>
      <c r="L17" s="23" t="n">
        <v>978.7764</v>
      </c>
      <c r="M17" s="23" t="n">
        <v>1412.7705</v>
      </c>
      <c r="N17" s="23" t="n">
        <v>1341.9539</v>
      </c>
      <c r="O17" s="24" t="n">
        <f aca="false">L17/$F$2</f>
        <v>5.22531874251925</v>
      </c>
      <c r="P17" s="24" t="n">
        <f aca="false">M17/$G$2</f>
        <v>8.00958868928123</v>
      </c>
      <c r="Q17" s="24" t="n">
        <f aca="false">N17/$H$2</f>
        <v>7.83693190511731</v>
      </c>
      <c r="R17" s="25" t="n">
        <f aca="false">O17*$K17/$I17</f>
        <v>21.2964908663238</v>
      </c>
      <c r="S17" s="25" t="n">
        <f aca="false">P17*$K17/$I17</f>
        <v>32.6441583316789</v>
      </c>
      <c r="T17" s="26" t="n">
        <f aca="false">Q17*$K17/$I17</f>
        <v>31.9404723350648</v>
      </c>
      <c r="U17" s="27" t="n">
        <v>2.6416</v>
      </c>
      <c r="V17" s="27"/>
      <c r="W17" s="32" t="n">
        <f aca="false">AVERAGE(R17:R18)/100</f>
        <v>0.214340948891219</v>
      </c>
      <c r="X17" s="2" t="n">
        <f aca="false">AVERAGE(S17:S18)/100</f>
        <v>0.328933997011468</v>
      </c>
      <c r="Y17" s="2" t="n">
        <f aca="false">AVERAGE(T17:T18)/100</f>
        <v>0.321511144606087</v>
      </c>
      <c r="Z17" s="33" t="n">
        <f aca="false">AVERAGE(U17:V18)/100</f>
        <v>0.0266205</v>
      </c>
      <c r="AA17" s="2" t="n">
        <f aca="false">SUM(W17:Z17)</f>
        <v>0.891406590508774</v>
      </c>
      <c r="AB17" s="2"/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2.7353</v>
      </c>
      <c r="E18" s="20" t="n">
        <v>300</v>
      </c>
      <c r="F18" s="20" t="n">
        <v>2.9248</v>
      </c>
      <c r="G18" s="19" t="n">
        <f aca="false">1000-E18</f>
        <v>700</v>
      </c>
      <c r="H18" s="20" t="n">
        <v>3.4292</v>
      </c>
      <c r="I18" s="22" t="n">
        <f aca="false">F18-D18</f>
        <v>0.1895</v>
      </c>
      <c r="J18" s="22" t="n">
        <f aca="false">H18-F18</f>
        <v>0.5044</v>
      </c>
      <c r="K18" s="22" t="n">
        <f aca="false">J18+I18</f>
        <v>0.6939</v>
      </c>
      <c r="L18" s="23" t="n">
        <v>1103.4874</v>
      </c>
      <c r="M18" s="23" t="n">
        <v>1596.4703</v>
      </c>
      <c r="N18" s="23" t="n">
        <v>1513.338</v>
      </c>
      <c r="O18" s="24" t="n">
        <f aca="false">L18/$F$2</f>
        <v>5.89110382448314</v>
      </c>
      <c r="P18" s="24" t="n">
        <f aca="false">M18/$G$2</f>
        <v>9.05105992633156</v>
      </c>
      <c r="Q18" s="24" t="n">
        <f aca="false">N18/$H$2</f>
        <v>8.83780497633072</v>
      </c>
      <c r="R18" s="25" t="n">
        <f aca="false">O18*$K18/$I18</f>
        <v>21.5716989119201</v>
      </c>
      <c r="S18" s="25" t="n">
        <f aca="false">P18*$K18/$I18</f>
        <v>33.1426410706147</v>
      </c>
      <c r="T18" s="26" t="n">
        <f aca="false">Q18*$K18/$I18</f>
        <v>32.3617565861525</v>
      </c>
      <c r="U18" s="27" t="n">
        <v>2.6825</v>
      </c>
      <c r="V18" s="27"/>
      <c r="W18" s="32"/>
      <c r="X18" s="2"/>
      <c r="Y18" s="2"/>
      <c r="Z18" s="33"/>
      <c r="AA18" s="2"/>
      <c r="AB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2.7786</v>
      </c>
      <c r="E19" s="34" t="n">
        <v>100</v>
      </c>
      <c r="F19" s="34" t="n">
        <v>2.9831</v>
      </c>
      <c r="G19" s="30" t="n">
        <f aca="false">1000-E19</f>
        <v>900</v>
      </c>
      <c r="H19" s="34" t="n">
        <v>3.5251</v>
      </c>
      <c r="I19" s="35" t="n">
        <f aca="false">F19-D19</f>
        <v>0.2045</v>
      </c>
      <c r="J19" s="35" t="n">
        <f aca="false">H19-F19</f>
        <v>0.542</v>
      </c>
      <c r="K19" s="35" t="n">
        <f aca="false">J19+I19</f>
        <v>0.7465</v>
      </c>
      <c r="L19" s="36" t="n">
        <v>32.8457</v>
      </c>
      <c r="M19" s="36" t="n">
        <v>4.189</v>
      </c>
      <c r="N19" s="36" t="n">
        <v>4.0446</v>
      </c>
      <c r="O19" s="37" t="n">
        <f aca="false">L19/$F$2</f>
        <v>0.175350827646809</v>
      </c>
      <c r="P19" s="37" t="n">
        <f aca="false">M19/$G$2</f>
        <v>0.0237491984858114</v>
      </c>
      <c r="Q19" s="37" t="n">
        <f aca="false">N19/$H$2</f>
        <v>0.0236202262860427</v>
      </c>
      <c r="R19" s="38" t="n">
        <f aca="false">O19*$K19/$I19</f>
        <v>0.640094830505347</v>
      </c>
      <c r="S19" s="38" t="n">
        <f aca="false">P19*$K19/$I19</f>
        <v>0.0866932844482066</v>
      </c>
      <c r="T19" s="39" t="n">
        <f aca="false">Q19*$K19/$I19</f>
        <v>0.0862224886187328</v>
      </c>
      <c r="U19" s="2" t="n">
        <v>96.7978</v>
      </c>
      <c r="V19" s="2"/>
      <c r="W19" s="32" t="n">
        <f aca="false">AVERAGE(R19:R20)/100</f>
        <v>0.00600108184002596</v>
      </c>
      <c r="X19" s="2" t="n">
        <f aca="false">AVERAGE(S19:S20)/100</f>
        <v>0.000433466422241033</v>
      </c>
      <c r="Y19" s="2" t="n">
        <f aca="false">AVERAGE(T19:T20)/100</f>
        <v>0.000431112443093664</v>
      </c>
      <c r="Z19" s="33" t="n">
        <f aca="false">AVERAGE(U19:V20)/100</f>
        <v>0.965393333333333</v>
      </c>
      <c r="AA19" s="2" t="n">
        <f aca="false">SUM(W19:Z19)</f>
        <v>0.972258994038694</v>
      </c>
      <c r="AB19" s="2"/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2.8286</v>
      </c>
      <c r="E20" s="34" t="n">
        <v>100</v>
      </c>
      <c r="F20" s="34" t="n">
        <v>3.0303</v>
      </c>
      <c r="G20" s="30" t="n">
        <f aca="false">1000-E20</f>
        <v>900</v>
      </c>
      <c r="H20" s="34" t="n">
        <v>3.585</v>
      </c>
      <c r="I20" s="35" t="n">
        <f aca="false">F20-D20</f>
        <v>0.2017</v>
      </c>
      <c r="J20" s="35" t="n">
        <f aca="false">H20-F20</f>
        <v>0.5547</v>
      </c>
      <c r="K20" s="35" t="n">
        <f aca="false">J20+I20</f>
        <v>0.7564</v>
      </c>
      <c r="L20" s="36" t="n">
        <v>27.9774</v>
      </c>
      <c r="M20" s="36"/>
      <c r="N20" s="36"/>
      <c r="O20" s="37" t="n">
        <f aca="false">L20/$F$2</f>
        <v>0.149360806601955</v>
      </c>
      <c r="P20" s="37" t="n">
        <f aca="false">M20/$G$2</f>
        <v>0</v>
      </c>
      <c r="Q20" s="37" t="n">
        <f aca="false">N20/$H$2</f>
        <v>0</v>
      </c>
      <c r="R20" s="38" t="n">
        <f aca="false">O20*$K20/$I20</f>
        <v>0.560121537499846</v>
      </c>
      <c r="S20" s="38" t="n">
        <f aca="false">P20*$K20/$I20</f>
        <v>0</v>
      </c>
      <c r="T20" s="39" t="n">
        <f aca="false">Q20*$K20/$I20</f>
        <v>0</v>
      </c>
      <c r="U20" s="2" t="n">
        <v>96.7891</v>
      </c>
      <c r="V20" s="2" t="n">
        <v>96.0311</v>
      </c>
      <c r="W20" s="32"/>
      <c r="X20" s="2"/>
      <c r="Y20" s="2"/>
      <c r="Z20" s="33"/>
      <c r="AA20" s="2"/>
      <c r="AB20" s="2"/>
    </row>
    <row r="21" customFormat="false" ht="14.25" hidden="false" customHeight="true" outlineLevel="0" collapsed="false">
      <c r="A21" s="18" t="s">
        <v>36</v>
      </c>
      <c r="B21" s="19" t="s">
        <v>31</v>
      </c>
      <c r="C21" s="20" t="n">
        <v>17</v>
      </c>
      <c r="D21" s="19" t="n">
        <v>2.7875</v>
      </c>
      <c r="E21" s="19" t="n">
        <v>300</v>
      </c>
      <c r="F21" s="20" t="n">
        <v>2.9887</v>
      </c>
      <c r="G21" s="19" t="n">
        <f aca="false">1000-E21</f>
        <v>700</v>
      </c>
      <c r="H21" s="20" t="n">
        <v>3.5473</v>
      </c>
      <c r="I21" s="22" t="n">
        <f aca="false">F21-D21</f>
        <v>0.2012</v>
      </c>
      <c r="J21" s="22" t="n">
        <f aca="false">H21-F21</f>
        <v>0.5586</v>
      </c>
      <c r="K21" s="22" t="n">
        <f aca="false">J21+I21</f>
        <v>0.7598</v>
      </c>
      <c r="L21" s="23" t="n">
        <v>84.5873</v>
      </c>
      <c r="M21" s="23"/>
      <c r="N21" s="23"/>
      <c r="O21" s="24" t="n">
        <f aca="false">L21/$F$2</f>
        <v>0.451579752095677</v>
      </c>
      <c r="P21" s="24" t="n">
        <f aca="false">M21/$G$2</f>
        <v>0</v>
      </c>
      <c r="Q21" s="24" t="n">
        <f aca="false">N21/$H$2</f>
        <v>0</v>
      </c>
      <c r="R21" s="25" t="n">
        <f aca="false">O21*$K21/$I21</f>
        <v>1.7053195608464</v>
      </c>
      <c r="S21" s="25" t="n">
        <f aca="false">P21*$K21/$I21</f>
        <v>0</v>
      </c>
      <c r="T21" s="26" t="n">
        <f aca="false">Q21*$K21/$I21</f>
        <v>0</v>
      </c>
      <c r="U21" s="27" t="n">
        <v>98.8196</v>
      </c>
      <c r="V21" s="27"/>
      <c r="W21" s="28" t="n">
        <f aca="false">AVERAGE(R21:R22)/100</f>
        <v>0.0200446865392189</v>
      </c>
      <c r="X21" s="27" t="n">
        <f aca="false">AVERAGE(S21:S22)/100</f>
        <v>0.000591701255758987</v>
      </c>
      <c r="Y21" s="27" t="n">
        <f aca="false">AVERAGE(T21:T22)/100</f>
        <v>0.000585979896429092</v>
      </c>
      <c r="Z21" s="29" t="n">
        <f aca="false">AVERAGE(U21:V22)/100</f>
        <v>0.988196</v>
      </c>
      <c r="AA21" s="2" t="n">
        <f aca="false">SUM(W21:Z21)</f>
        <v>1.00941836769141</v>
      </c>
      <c r="AB21" s="2"/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2.7193</v>
      </c>
      <c r="E22" s="20" t="n">
        <v>300</v>
      </c>
      <c r="F22" s="20" t="n">
        <v>2.9273</v>
      </c>
      <c r="G22" s="19" t="n">
        <f aca="false">1000-E22</f>
        <v>700</v>
      </c>
      <c r="H22" s="20" t="n">
        <v>3.4719</v>
      </c>
      <c r="I22" s="22" t="n">
        <f aca="false">F22-D22</f>
        <v>0.208</v>
      </c>
      <c r="J22" s="22" t="n">
        <f aca="false">H22-F22</f>
        <v>0.5446</v>
      </c>
      <c r="K22" s="22" t="n">
        <f aca="false">J22+I22</f>
        <v>0.7526</v>
      </c>
      <c r="L22" s="23" t="n">
        <v>119.256</v>
      </c>
      <c r="M22" s="23" t="n">
        <v>5.7689</v>
      </c>
      <c r="N22" s="23" t="n">
        <v>5.5463</v>
      </c>
      <c r="O22" s="24" t="n">
        <f aca="false">L22/$F$2</f>
        <v>0.636662890480273</v>
      </c>
      <c r="P22" s="24" t="n">
        <f aca="false">M22/$G$2</f>
        <v>0.0327063144294098</v>
      </c>
      <c r="Q22" s="24" t="n">
        <f aca="false">N22/$H$2</f>
        <v>0.0323900660263755</v>
      </c>
      <c r="R22" s="25" t="n">
        <f aca="false">O22*$K22/$I22</f>
        <v>2.30361774699738</v>
      </c>
      <c r="S22" s="25" t="n">
        <f aca="false">P22*$K22/$I22</f>
        <v>0.118340251151797</v>
      </c>
      <c r="T22" s="26" t="n">
        <f aca="false">Q22*$K22/$I22</f>
        <v>0.117195979285818</v>
      </c>
      <c r="U22" s="27" t="n">
        <v>98.8196</v>
      </c>
      <c r="V22" s="27"/>
      <c r="W22" s="32"/>
      <c r="X22" s="2"/>
      <c r="Y22" s="2"/>
      <c r="Z22" s="33"/>
      <c r="AA22" s="2"/>
      <c r="AB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2.7716</v>
      </c>
      <c r="E23" s="34" t="n">
        <v>100</v>
      </c>
      <c r="F23" s="34" t="n">
        <v>2.9588</v>
      </c>
      <c r="G23" s="30" t="n">
        <f aca="false">1000-E23</f>
        <v>900</v>
      </c>
      <c r="H23" s="34" t="n">
        <v>3.4919</v>
      </c>
      <c r="I23" s="35" t="n">
        <f aca="false">F23-D23</f>
        <v>0.1872</v>
      </c>
      <c r="J23" s="35" t="n">
        <f aca="false">H23-F23</f>
        <v>0.5331</v>
      </c>
      <c r="K23" s="35" t="n">
        <f aca="false">J23+I23</f>
        <v>0.7203</v>
      </c>
      <c r="L23" s="36" t="n">
        <v>2913.9231</v>
      </c>
      <c r="M23" s="36" t="n">
        <v>402.3202</v>
      </c>
      <c r="N23" s="36" t="n">
        <v>380.7068</v>
      </c>
      <c r="O23" s="37" t="n">
        <f aca="false">L23/$F$2</f>
        <v>15.5563384943587</v>
      </c>
      <c r="P23" s="37" t="n">
        <f aca="false">M23/$G$2</f>
        <v>2.28092200636222</v>
      </c>
      <c r="Q23" s="37" t="n">
        <f aca="false">N23/$H$2</f>
        <v>2.22330533665509</v>
      </c>
      <c r="R23" s="38" t="n">
        <f aca="false">O23*$K23/$I23</f>
        <v>59.8570011617871</v>
      </c>
      <c r="S23" s="38" t="n">
        <f aca="false">P23*$K23/$I23</f>
        <v>8.77643227127514</v>
      </c>
      <c r="T23" s="39" t="n">
        <f aca="false">Q23*$K23/$I23</f>
        <v>8.5547373610719</v>
      </c>
      <c r="U23" s="2" t="n">
        <v>6.6554</v>
      </c>
      <c r="V23" s="2"/>
      <c r="W23" s="32" t="n">
        <f aca="false">AVERAGE(R23:R24)/100</f>
        <v>0.615325146218834</v>
      </c>
      <c r="X23" s="2" t="n">
        <f aca="false">AVERAGE(S23:S24)/100</f>
        <v>0.0901760901234049</v>
      </c>
      <c r="Y23" s="2" t="n">
        <f aca="false">AVERAGE(T23:T24)/100</f>
        <v>0.0877807613837885</v>
      </c>
      <c r="Z23" s="33" t="n">
        <f aca="false">AVERAGE(U23:V24)/100</f>
        <v>0.0663885</v>
      </c>
      <c r="AA23" s="2" t="n">
        <f aca="false">SUM(W23:Z23)</f>
        <v>0.859670497726028</v>
      </c>
      <c r="AB23" s="2"/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2.7758</v>
      </c>
      <c r="E24" s="34" t="n">
        <v>100</v>
      </c>
      <c r="F24" s="34" t="n">
        <v>2.9852</v>
      </c>
      <c r="G24" s="30" t="n">
        <f aca="false">1000-E24</f>
        <v>900</v>
      </c>
      <c r="H24" s="34" t="n">
        <v>3.5446</v>
      </c>
      <c r="I24" s="35" t="n">
        <f aca="false">F24-D24</f>
        <v>0.2094</v>
      </c>
      <c r="J24" s="35" t="n">
        <f aca="false">H24-F24</f>
        <v>0.5594</v>
      </c>
      <c r="K24" s="35" t="n">
        <f aca="false">J24+I24</f>
        <v>0.7688</v>
      </c>
      <c r="L24" s="36" t="n">
        <v>3224.8257</v>
      </c>
      <c r="M24" s="36" t="n">
        <v>444.8143</v>
      </c>
      <c r="N24" s="36" t="n">
        <v>419.8224</v>
      </c>
      <c r="O24" s="37" t="n">
        <f aca="false">L24/$F$2</f>
        <v>17.2161304375216</v>
      </c>
      <c r="P24" s="37" t="n">
        <f aca="false">M24/$G$2</f>
        <v>2.52183888756917</v>
      </c>
      <c r="Q24" s="37" t="n">
        <f aca="false">N24/$H$2</f>
        <v>2.45173814170734</v>
      </c>
      <c r="R24" s="38" t="n">
        <f aca="false">O24*$K24/$I24</f>
        <v>63.2080280819798</v>
      </c>
      <c r="S24" s="38" t="n">
        <f aca="false">P24*$K24/$I24</f>
        <v>9.25878575340583</v>
      </c>
      <c r="T24" s="39" t="n">
        <f aca="false">Q24*$K24/$I24</f>
        <v>9.00141491568579</v>
      </c>
      <c r="U24" s="42" t="n">
        <v>6.6223</v>
      </c>
      <c r="V24" s="42"/>
      <c r="W24" s="43"/>
      <c r="X24" s="42"/>
      <c r="Y24" s="42"/>
      <c r="Z24" s="44"/>
      <c r="AA24" s="2"/>
      <c r="AB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2.7788</v>
      </c>
      <c r="F25" s="1" t="n">
        <v>3.0512</v>
      </c>
      <c r="G25" s="2" t="n">
        <f aca="false">1000-E25</f>
        <v>1000</v>
      </c>
      <c r="H25" s="1" t="n">
        <v>3.5279</v>
      </c>
      <c r="I25" s="1" t="n">
        <f aca="false">F25-D25</f>
        <v>0.2724</v>
      </c>
      <c r="J25" s="1" t="n">
        <f aca="false">H25-F25</f>
        <v>0.4767</v>
      </c>
      <c r="K25" s="1" t="n">
        <f aca="false">J25+I25</f>
        <v>0.7491</v>
      </c>
      <c r="P25" s="1" t="n">
        <f aca="false">M25/$G$2</f>
        <v>0</v>
      </c>
      <c r="Q25" s="1" t="n">
        <f aca="false">N25/$H$2</f>
        <v>0</v>
      </c>
      <c r="S25" s="1" t="n">
        <f aca="false">P25*$K25/$I25</f>
        <v>0</v>
      </c>
      <c r="T25" s="1" t="n">
        <f aca="false">Q25*$K25/$I25</f>
        <v>0</v>
      </c>
      <c r="U25" s="1" t="n">
        <v>1.5599</v>
      </c>
      <c r="V25" s="1" t="n">
        <v>1.6021</v>
      </c>
      <c r="X25" s="1" t="n">
        <f aca="false">AVERAGE(S25:S26)/100</f>
        <v>0</v>
      </c>
      <c r="Y25" s="1" t="n">
        <f aca="false">AVERAGE(T25:T26)/100</f>
        <v>0</v>
      </c>
      <c r="Z25" s="1" t="n">
        <f aca="false">AVERAGE(U25:V26)/100</f>
        <v>0.015452</v>
      </c>
      <c r="AA25" s="1" t="n">
        <f aca="false">SUM(W25:Z25)</f>
        <v>0.015452</v>
      </c>
      <c r="AE25" s="1" t="n">
        <f aca="false">IFERROR(X25/$AA25,"")</f>
        <v>0</v>
      </c>
      <c r="AF25" s="1" t="n">
        <f aca="false">IFERROR(Y25/$AA25,"")</f>
        <v>0</v>
      </c>
      <c r="AG25" s="1" t="n">
        <f aca="false">IFERROR(Z25/$AA25,"")</f>
        <v>1</v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2.7389</v>
      </c>
      <c r="F26" s="1" t="n">
        <v>3.0126</v>
      </c>
      <c r="G26" s="2" t="n">
        <f aca="false">1000-E26</f>
        <v>1000</v>
      </c>
      <c r="H26" s="1" t="n">
        <v>3.5168</v>
      </c>
      <c r="I26" s="1" t="n">
        <f aca="false">F26-D26</f>
        <v>0.2737</v>
      </c>
      <c r="J26" s="1" t="n">
        <f aca="false">H26-F26</f>
        <v>0.5042</v>
      </c>
      <c r="K26" s="1" t="n">
        <f aca="false">J26+I26</f>
        <v>0.7779</v>
      </c>
      <c r="P26" s="1" t="n">
        <f aca="false">M26/$G$2</f>
        <v>0</v>
      </c>
      <c r="Q26" s="1" t="n">
        <f aca="false">N26/$H$2</f>
        <v>0</v>
      </c>
      <c r="S26" s="1" t="n">
        <f aca="false">P26*$K26/$I26</f>
        <v>0</v>
      </c>
      <c r="T26" s="1" t="n">
        <f aca="false">Q26*$K26/$I26</f>
        <v>0</v>
      </c>
      <c r="U26" s="1" t="n">
        <v>1.4736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2.7895</v>
      </c>
      <c r="F27" s="1" t="n">
        <v>3.0974</v>
      </c>
      <c r="G27" s="2" t="n">
        <f aca="false">1000-E27</f>
        <v>1000</v>
      </c>
      <c r="H27" s="1" t="n">
        <v>3.5996</v>
      </c>
      <c r="I27" s="1" t="n">
        <f aca="false">F27-D27</f>
        <v>0.3079</v>
      </c>
      <c r="J27" s="1" t="n">
        <f aca="false">H27-F27</f>
        <v>0.5022</v>
      </c>
      <c r="K27" s="1" t="n">
        <f aca="false">J27+I27</f>
        <v>0.8101</v>
      </c>
      <c r="P27" s="1" t="n">
        <f aca="false">M27/$G$2</f>
        <v>0</v>
      </c>
      <c r="Q27" s="1" t="n">
        <f aca="false">N27/$H$2</f>
        <v>0</v>
      </c>
      <c r="S27" s="1" t="n">
        <f aca="false">P27*$K27/$I27</f>
        <v>0</v>
      </c>
      <c r="T27" s="1" t="n">
        <f aca="false">Q27*$K27/$I27</f>
        <v>0</v>
      </c>
      <c r="X27" s="1" t="n">
        <f aca="false">AVERAGE(S27:S28)/100</f>
        <v>0</v>
      </c>
      <c r="Y27" s="1" t="n">
        <f aca="false">AVERAGE(T27:T28)/100</f>
        <v>0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2.7396</v>
      </c>
      <c r="F28" s="1" t="n">
        <v>3.0442</v>
      </c>
      <c r="G28" s="2" t="n">
        <f aca="false">1000-E28</f>
        <v>1000</v>
      </c>
      <c r="H28" s="1" t="n">
        <v>3.5404</v>
      </c>
      <c r="I28" s="1" t="n">
        <f aca="false">F28-D28</f>
        <v>0.3046</v>
      </c>
      <c r="J28" s="1" t="n">
        <f aca="false">H28-F28</f>
        <v>0.4962</v>
      </c>
      <c r="K28" s="1" t="n">
        <f aca="false">J28+I28</f>
        <v>0.8008</v>
      </c>
      <c r="P28" s="1" t="n">
        <f aca="false">M28/$G$2</f>
        <v>0</v>
      </c>
      <c r="Q28" s="1" t="n">
        <f aca="false">N28/$H$2</f>
        <v>0</v>
      </c>
      <c r="S28" s="1" t="n">
        <f aca="false">P28*$K28/$I28</f>
        <v>0</v>
      </c>
      <c r="T28" s="1" t="n">
        <f aca="false">Q28*$K28/$I28</f>
        <v>0</v>
      </c>
    </row>
  </sheetData>
  <mergeCells count="14">
    <mergeCell ref="O3:Q3"/>
    <mergeCell ref="R3:T3"/>
    <mergeCell ref="U3:V3"/>
    <mergeCell ref="A5:A8"/>
    <mergeCell ref="AC5:AC6"/>
    <mergeCell ref="AC7:AC8"/>
    <mergeCell ref="A9:A12"/>
    <mergeCell ref="AC9:AC10"/>
    <mergeCell ref="AC11:AC12"/>
    <mergeCell ref="A13:A16"/>
    <mergeCell ref="AC13:AC14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K32" activeCellId="0" sqref="K3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4" hidden="false" customHeight="true" outlineLevel="0" collapsed="false">
      <c r="F1" s="46" t="s">
        <v>0</v>
      </c>
      <c r="G1" s="46" t="s">
        <v>38</v>
      </c>
    </row>
    <row r="2" customFormat="false" ht="14.25" hidden="false" customHeight="true" outlineLevel="0" collapsed="false">
      <c r="E2" s="1" t="s">
        <v>2</v>
      </c>
      <c r="F2" s="1" t="n">
        <v>187.3142</v>
      </c>
      <c r="G2" s="2" t="n">
        <v>176.3849</v>
      </c>
      <c r="H2" s="4" t="n">
        <v>166.2694</v>
      </c>
    </row>
    <row r="3" customFormat="false" ht="14.25" hidden="false" customHeight="true" outlineLevel="0" collapsed="false">
      <c r="M3" s="1" t="s">
        <v>3</v>
      </c>
      <c r="N3" s="1" t="s">
        <v>39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41</v>
      </c>
      <c r="B5" s="19" t="s">
        <v>31</v>
      </c>
      <c r="C5" s="20" t="n">
        <v>1</v>
      </c>
      <c r="D5" s="21" t="n">
        <v>2.7341</v>
      </c>
      <c r="E5" s="19" t="n">
        <v>300</v>
      </c>
      <c r="F5" s="20" t="n">
        <v>2.9202</v>
      </c>
      <c r="G5" s="19" t="n">
        <f aca="false">1000-E5</f>
        <v>700</v>
      </c>
      <c r="H5" s="20" t="n">
        <v>3.5688</v>
      </c>
      <c r="I5" s="22" t="n">
        <f aca="false">F5-D5</f>
        <v>0.1861</v>
      </c>
      <c r="J5" s="22" t="n">
        <f aca="false">H5-F5</f>
        <v>0.6486</v>
      </c>
      <c r="K5" s="22" t="n">
        <f aca="false">J5+I5</f>
        <v>0.8347</v>
      </c>
      <c r="L5" s="23"/>
      <c r="M5" s="23"/>
      <c r="N5" s="23"/>
      <c r="O5" s="24" t="n">
        <f aca="false">L5/$F$2</f>
        <v>0</v>
      </c>
      <c r="P5" s="24" t="n">
        <f aca="false">M5/$G$2</f>
        <v>0</v>
      </c>
      <c r="Q5" s="24" t="n">
        <f aca="false">N5/$H$2</f>
        <v>0</v>
      </c>
      <c r="R5" s="25" t="n">
        <f aca="false">O5*$K5/$I5</f>
        <v>0</v>
      </c>
      <c r="S5" s="25" t="n">
        <f aca="false">P5*$K5/$I5</f>
        <v>0</v>
      </c>
      <c r="T5" s="26" t="n">
        <f aca="false">Q5*$K5/$I5</f>
        <v>0</v>
      </c>
      <c r="U5" s="27" t="n">
        <v>93.8865</v>
      </c>
      <c r="V5" s="27"/>
      <c r="W5" s="28" t="n">
        <f aca="false">AVERAGE(R5:R6)/100</f>
        <v>0</v>
      </c>
      <c r="X5" s="27" t="n">
        <f aca="false">AVERAGE(S5:S6)/100</f>
        <v>0</v>
      </c>
      <c r="Y5" s="27" t="n">
        <f aca="false">AVERAGE(T5:T6)/100</f>
        <v>0</v>
      </c>
      <c r="Z5" s="29" t="n">
        <f aca="false">AVERAGE(U5:V6)/100</f>
        <v>0.9378455</v>
      </c>
      <c r="AA5" s="2" t="n">
        <f aca="false">SUM(W5:Z5)</f>
        <v>0.9378455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2.7246</v>
      </c>
      <c r="E6" s="20" t="n">
        <v>300</v>
      </c>
      <c r="F6" s="20" t="n">
        <v>2.8999</v>
      </c>
      <c r="G6" s="19" t="n">
        <f aca="false">1000-E6</f>
        <v>700</v>
      </c>
      <c r="H6" s="20" t="n">
        <v>3.5398</v>
      </c>
      <c r="I6" s="22" t="n">
        <f aca="false">F6-D6</f>
        <v>0.1753</v>
      </c>
      <c r="J6" s="22" t="n">
        <f aca="false">H6-F6</f>
        <v>0.6399</v>
      </c>
      <c r="K6" s="22" t="n">
        <f aca="false">J6+I6</f>
        <v>0.8152</v>
      </c>
      <c r="L6" s="23"/>
      <c r="M6" s="23"/>
      <c r="N6" s="23"/>
      <c r="O6" s="24" t="n">
        <f aca="false">L6/$F$2</f>
        <v>0</v>
      </c>
      <c r="P6" s="24" t="n">
        <f aca="false">M6/$G$2</f>
        <v>0</v>
      </c>
      <c r="Q6" s="24" t="n">
        <f aca="false">N6/$H$2</f>
        <v>0</v>
      </c>
      <c r="R6" s="25" t="n">
        <f aca="false">O6*$K6/$I6</f>
        <v>0</v>
      </c>
      <c r="S6" s="25" t="n">
        <f aca="false">P6*$K6/$I6</f>
        <v>0</v>
      </c>
      <c r="T6" s="26" t="n">
        <f aca="false">Q6*$K6/$I6</f>
        <v>0</v>
      </c>
      <c r="U6" s="27" t="n">
        <v>93.6826</v>
      </c>
      <c r="V6" s="27"/>
      <c r="W6" s="32"/>
      <c r="X6" s="2"/>
      <c r="Y6" s="2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2.8129</v>
      </c>
      <c r="E7" s="34" t="n">
        <v>100</v>
      </c>
      <c r="F7" s="34" t="n">
        <v>3.0062</v>
      </c>
      <c r="G7" s="30" t="n">
        <f aca="false">1000-E7</f>
        <v>900</v>
      </c>
      <c r="H7" s="34" t="n">
        <v>3.6126</v>
      </c>
      <c r="I7" s="35" t="n">
        <f aca="false">F7-D7</f>
        <v>0.1933</v>
      </c>
      <c r="J7" s="35" t="n">
        <f aca="false">H7-F7</f>
        <v>0.6064</v>
      </c>
      <c r="K7" s="35" t="n">
        <f aca="false">J7+I7</f>
        <v>0.7997</v>
      </c>
      <c r="N7" s="36"/>
      <c r="O7" s="37" t="n">
        <f aca="false">L7/$F$2</f>
        <v>0</v>
      </c>
      <c r="P7" s="37" t="n">
        <f aca="false">M7/$G$2</f>
        <v>0</v>
      </c>
      <c r="Q7" s="37" t="n">
        <f aca="false">N7/$H$2</f>
        <v>0</v>
      </c>
      <c r="R7" s="38" t="n">
        <f aca="false">O7*$K7/$I7</f>
        <v>0</v>
      </c>
      <c r="S7" s="38" t="n">
        <f aca="false">P7*$K7/$I7</f>
        <v>0</v>
      </c>
      <c r="T7" s="39" t="n">
        <f aca="false">Q7*$K7/$I7</f>
        <v>0</v>
      </c>
      <c r="U7" s="2" t="n">
        <v>8.9269</v>
      </c>
      <c r="V7" s="2"/>
      <c r="W7" s="32" t="n">
        <f aca="false">AVERAGE(R7:R8)/100</f>
        <v>0</v>
      </c>
      <c r="X7" s="2" t="n">
        <f aca="false">AVERAGE(S7:S8)/100</f>
        <v>0</v>
      </c>
      <c r="Y7" s="2" t="n">
        <f aca="false">AVERAGE(T7:T8)/100</f>
        <v>0</v>
      </c>
      <c r="Z7" s="33" t="n">
        <f aca="false">AVERAGE(U7:V8)/100</f>
        <v>0.088521</v>
      </c>
      <c r="AA7" s="2" t="n">
        <f aca="false">SUM(W7:Z7)</f>
        <v>0.088521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2.7708</v>
      </c>
      <c r="E8" s="34" t="n">
        <v>100</v>
      </c>
      <c r="F8" s="34" t="n">
        <v>2.9693</v>
      </c>
      <c r="G8" s="30" t="n">
        <f aca="false">1000-E8</f>
        <v>900</v>
      </c>
      <c r="H8" s="34" t="n">
        <v>3.604</v>
      </c>
      <c r="I8" s="35" t="n">
        <f aca="false">F8-D8</f>
        <v>0.1985</v>
      </c>
      <c r="J8" s="35" t="n">
        <f aca="false">H8-F8</f>
        <v>0.6347</v>
      </c>
      <c r="K8" s="35" t="n">
        <f aca="false">J8+I8</f>
        <v>0.8332</v>
      </c>
      <c r="L8" s="36"/>
      <c r="M8" s="36"/>
      <c r="N8" s="36"/>
      <c r="O8" s="37" t="n">
        <f aca="false">L8/$F$2</f>
        <v>0</v>
      </c>
      <c r="P8" s="37" t="n">
        <f aca="false">M8/$G$2</f>
        <v>0</v>
      </c>
      <c r="Q8" s="37" t="n">
        <f aca="false">N8/$H$2</f>
        <v>0</v>
      </c>
      <c r="R8" s="38" t="n">
        <f aca="false">O8*$K8/$I8</f>
        <v>0</v>
      </c>
      <c r="S8" s="38" t="n">
        <f aca="false">P8*$K8/$I8</f>
        <v>0</v>
      </c>
      <c r="T8" s="39" t="n">
        <f aca="false">Q8*$K8/$I8</f>
        <v>0</v>
      </c>
      <c r="U8" s="2" t="n">
        <v>8.7773</v>
      </c>
      <c r="V8" s="2"/>
      <c r="W8" s="32"/>
      <c r="X8" s="2"/>
      <c r="Y8" s="2"/>
      <c r="Z8" s="33"/>
      <c r="AA8" s="2"/>
    </row>
    <row r="9" customFormat="false" ht="14.25" hidden="false" customHeight="true" outlineLevel="0" collapsed="false">
      <c r="A9" s="18" t="s">
        <v>42</v>
      </c>
      <c r="B9" s="19" t="s">
        <v>31</v>
      </c>
      <c r="C9" s="20" t="n">
        <v>5</v>
      </c>
      <c r="D9" s="19" t="n">
        <v>2.7388</v>
      </c>
      <c r="E9" s="19" t="n">
        <v>300</v>
      </c>
      <c r="F9" s="20" t="n">
        <v>2.9092</v>
      </c>
      <c r="G9" s="19" t="n">
        <f aca="false">1000-E9</f>
        <v>700</v>
      </c>
      <c r="H9" s="20" t="n">
        <v>3.5437</v>
      </c>
      <c r="I9" s="22" t="n">
        <f aca="false">F9-D9</f>
        <v>0.1704</v>
      </c>
      <c r="J9" s="22" t="n">
        <f aca="false">H9-F9</f>
        <v>0.6345</v>
      </c>
      <c r="K9" s="22" t="n">
        <f aca="false">J9+I9</f>
        <v>0.8049</v>
      </c>
      <c r="L9" s="23"/>
      <c r="M9" s="23"/>
      <c r="N9" s="23"/>
      <c r="O9" s="24" t="n">
        <f aca="false">L9/$F$2</f>
        <v>0</v>
      </c>
      <c r="P9" s="24" t="n">
        <f aca="false">M9/$G$2</f>
        <v>0</v>
      </c>
      <c r="Q9" s="24" t="n">
        <f aca="false">N9/$H$2</f>
        <v>0</v>
      </c>
      <c r="R9" s="25" t="n">
        <f aca="false">O9*$K9/$I9</f>
        <v>0</v>
      </c>
      <c r="S9" s="25" t="n">
        <f aca="false">P9*$K9/$I9</f>
        <v>0</v>
      </c>
      <c r="T9" s="26" t="n">
        <f aca="false">Q9*$K9/$I9</f>
        <v>0</v>
      </c>
      <c r="U9" s="27" t="n">
        <v>2.3903</v>
      </c>
      <c r="V9" s="27"/>
      <c r="W9" s="28" t="n">
        <f aca="false">AVERAGE(R9:R10)/100</f>
        <v>0</v>
      </c>
      <c r="X9" s="27" t="n">
        <f aca="false">AVERAGE(S9:S10)/100</f>
        <v>0</v>
      </c>
      <c r="Y9" s="27" t="n">
        <f aca="false">AVERAGE(T9:T10)/100</f>
        <v>0</v>
      </c>
      <c r="Z9" s="29" t="n">
        <f aca="false">AVERAGE(U9:V10)/100</f>
        <v>0.0243065</v>
      </c>
      <c r="AA9" s="2" t="n">
        <f aca="false">SUM(W9:Z9)</f>
        <v>0.0243065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2.7302</v>
      </c>
      <c r="E10" s="20" t="n">
        <v>300</v>
      </c>
      <c r="F10" s="20" t="n">
        <v>2.9172</v>
      </c>
      <c r="G10" s="19" t="n">
        <f aca="false">1000-E10</f>
        <v>700</v>
      </c>
      <c r="H10" s="20" t="n">
        <v>3.5375</v>
      </c>
      <c r="I10" s="22" t="n">
        <f aca="false">F10-D10</f>
        <v>0.187</v>
      </c>
      <c r="J10" s="22" t="n">
        <f aca="false">H10-F10</f>
        <v>0.6203</v>
      </c>
      <c r="K10" s="22" t="n">
        <f aca="false">J10+I10</f>
        <v>0.8073</v>
      </c>
      <c r="L10" s="23"/>
      <c r="M10" s="23"/>
      <c r="N10" s="23"/>
      <c r="O10" s="24" t="n">
        <f aca="false">L10/$F$2</f>
        <v>0</v>
      </c>
      <c r="P10" s="24" t="n">
        <f aca="false">M10/$G$2</f>
        <v>0</v>
      </c>
      <c r="Q10" s="24" t="n">
        <f aca="false">N10/$H$2</f>
        <v>0</v>
      </c>
      <c r="R10" s="25" t="n">
        <f aca="false">O10*$K10/$I10</f>
        <v>0</v>
      </c>
      <c r="S10" s="25" t="n">
        <f aca="false">P10*$K10/$I10</f>
        <v>0</v>
      </c>
      <c r="T10" s="26" t="n">
        <f aca="false">Q10*$K10/$I10</f>
        <v>0</v>
      </c>
      <c r="U10" s="27" t="n">
        <v>2.471</v>
      </c>
      <c r="V10" s="27"/>
      <c r="W10" s="32"/>
      <c r="X10" s="2"/>
      <c r="Y10" s="2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2.7171</v>
      </c>
      <c r="E11" s="34" t="n">
        <v>100</v>
      </c>
      <c r="F11" s="34" t="n">
        <v>2.9165</v>
      </c>
      <c r="G11" s="30" t="n">
        <f aca="false">1000-E11</f>
        <v>900</v>
      </c>
      <c r="H11" s="34" t="n">
        <v>3.5383</v>
      </c>
      <c r="I11" s="35" t="n">
        <f aca="false">F11-D11</f>
        <v>0.1994</v>
      </c>
      <c r="J11" s="35" t="n">
        <f aca="false">H11-F11</f>
        <v>0.6218</v>
      </c>
      <c r="K11" s="35" t="n">
        <f aca="false">J11+I11</f>
        <v>0.8212</v>
      </c>
      <c r="L11" s="40"/>
      <c r="M11" s="40"/>
      <c r="N11" s="36"/>
      <c r="O11" s="37" t="n">
        <f aca="false">L11/$F$2</f>
        <v>0</v>
      </c>
      <c r="P11" s="37" t="n">
        <f aca="false">M11/$G$2</f>
        <v>0</v>
      </c>
      <c r="Q11" s="37" t="n">
        <f aca="false">N11/$H$2</f>
        <v>0</v>
      </c>
      <c r="R11" s="38" t="n">
        <f aca="false">O11*$K11/$I11</f>
        <v>0</v>
      </c>
      <c r="S11" s="38" t="n">
        <f aca="false">P11*$K11/$I11</f>
        <v>0</v>
      </c>
      <c r="T11" s="39" t="n">
        <f aca="false">Q11*$K11/$I11</f>
        <v>0</v>
      </c>
      <c r="U11" s="2" t="n">
        <v>97.4397</v>
      </c>
      <c r="V11" s="2"/>
      <c r="W11" s="32" t="n">
        <f aca="false">AVERAGE(R11:R12)/100</f>
        <v>0</v>
      </c>
      <c r="X11" s="2" t="n">
        <f aca="false">AVERAGE(S11:S12)/100</f>
        <v>0</v>
      </c>
      <c r="Y11" s="2" t="n">
        <f aca="false">AVERAGE(T11:T12)/100</f>
        <v>0</v>
      </c>
      <c r="Z11" s="33" t="n">
        <f aca="false">AVERAGE(U11:V12)/100</f>
        <v>0.981899</v>
      </c>
      <c r="AA11" s="2" t="n">
        <f aca="false">SUM(W11:Z11)</f>
        <v>0.981899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2.7208</v>
      </c>
      <c r="E12" s="34" t="n">
        <v>100</v>
      </c>
      <c r="F12" s="34" t="n">
        <v>2.9277</v>
      </c>
      <c r="G12" s="30" t="n">
        <f aca="false">1000-E12</f>
        <v>900</v>
      </c>
      <c r="H12" s="34" t="n">
        <v>3.5449</v>
      </c>
      <c r="I12" s="35" t="n">
        <f aca="false">F12-D12</f>
        <v>0.2069</v>
      </c>
      <c r="J12" s="35" t="n">
        <f aca="false">H12-F12</f>
        <v>0.6172</v>
      </c>
      <c r="K12" s="35" t="n">
        <f aca="false">J12+I12</f>
        <v>0.8241</v>
      </c>
      <c r="L12" s="36"/>
      <c r="M12" s="36"/>
      <c r="N12" s="36"/>
      <c r="O12" s="37" t="n">
        <f aca="false">L12/$F$2</f>
        <v>0</v>
      </c>
      <c r="P12" s="37" t="n">
        <f aca="false">M12/$G$2</f>
        <v>0</v>
      </c>
      <c r="Q12" s="37" t="n">
        <f aca="false">N12/$H$2</f>
        <v>0</v>
      </c>
      <c r="R12" s="38" t="n">
        <f aca="false">O12*$K12/$I12</f>
        <v>0</v>
      </c>
      <c r="S12" s="38" t="n">
        <f aca="false">P12*$K12/$I12</f>
        <v>0</v>
      </c>
      <c r="T12" s="39" t="n">
        <f aca="false">Q12*$K12/$I12</f>
        <v>0</v>
      </c>
      <c r="U12" s="2" t="n">
        <v>98.9401</v>
      </c>
      <c r="V12" s="2"/>
      <c r="W12" s="32"/>
      <c r="X12" s="2"/>
      <c r="Y12" s="2"/>
      <c r="Z12" s="33"/>
      <c r="AA12" s="2"/>
    </row>
    <row r="13" customFormat="false" ht="14.25" hidden="false" customHeight="true" outlineLevel="0" collapsed="false">
      <c r="A13" s="18" t="s">
        <v>43</v>
      </c>
      <c r="B13" s="19" t="s">
        <v>31</v>
      </c>
      <c r="C13" s="20" t="n">
        <v>9</v>
      </c>
      <c r="D13" s="19" t="n">
        <v>2.8184</v>
      </c>
      <c r="E13" s="19" t="n">
        <v>300</v>
      </c>
      <c r="F13" s="20" t="n">
        <v>2.9999</v>
      </c>
      <c r="G13" s="19" t="n">
        <f aca="false">1000-E13</f>
        <v>700</v>
      </c>
      <c r="H13" s="20" t="n">
        <v>3.6119</v>
      </c>
      <c r="I13" s="22" t="n">
        <f aca="false">F13-D13</f>
        <v>0.1815</v>
      </c>
      <c r="J13" s="22" t="n">
        <f aca="false">H13-F13</f>
        <v>0.612</v>
      </c>
      <c r="K13" s="22" t="n">
        <f aca="false">J13+I13</f>
        <v>0.7935</v>
      </c>
      <c r="L13" s="23"/>
      <c r="M13" s="23"/>
      <c r="N13" s="23"/>
      <c r="O13" s="24" t="n">
        <f aca="false">L13/$F$2</f>
        <v>0</v>
      </c>
      <c r="P13" s="24" t="n">
        <f aca="false">M13/$G$2</f>
        <v>0</v>
      </c>
      <c r="Q13" s="24" t="n">
        <f aca="false">N13/$H$2</f>
        <v>0</v>
      </c>
      <c r="R13" s="25" t="n">
        <f aca="false">O13*$K13/$I13</f>
        <v>0</v>
      </c>
      <c r="S13" s="25" t="n">
        <f aca="false">P13*$K13/$I13</f>
        <v>0</v>
      </c>
      <c r="T13" s="26" t="n">
        <f aca="false">Q13*$K13/$I13</f>
        <v>0</v>
      </c>
      <c r="U13" s="27" t="n">
        <v>4.4629</v>
      </c>
      <c r="V13" s="27"/>
      <c r="W13" s="28" t="n">
        <f aca="false">AVERAGE(R13:R14)/100</f>
        <v>0</v>
      </c>
      <c r="X13" s="27" t="n">
        <f aca="false">AVERAGE(S13:S14)/100</f>
        <v>0</v>
      </c>
      <c r="Y13" s="27" t="n">
        <f aca="false">AVERAGE(T13:T14)/100</f>
        <v>0</v>
      </c>
      <c r="Z13" s="29" t="n">
        <f aca="false">AVERAGE(U13:V14)/100</f>
        <v>0.044105</v>
      </c>
      <c r="AA13" s="2" t="n">
        <f aca="false">SUM(W13:Z13)</f>
        <v>0.044105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2.6975</v>
      </c>
      <c r="E14" s="20" t="n">
        <v>300</v>
      </c>
      <c r="F14" s="20" t="n">
        <v>2.8958</v>
      </c>
      <c r="G14" s="19" t="n">
        <f aca="false">1000-E14</f>
        <v>700</v>
      </c>
      <c r="H14" s="20" t="n">
        <v>3.5458</v>
      </c>
      <c r="I14" s="22" t="n">
        <f aca="false">F14-D14</f>
        <v>0.1983</v>
      </c>
      <c r="J14" s="22" t="n">
        <f aca="false">H14-F14</f>
        <v>0.65</v>
      </c>
      <c r="K14" s="22" t="n">
        <f aca="false">J14+I14</f>
        <v>0.8483</v>
      </c>
      <c r="L14" s="23"/>
      <c r="M14" s="23"/>
      <c r="N14" s="23"/>
      <c r="O14" s="24" t="n">
        <f aca="false">L14/$F$2</f>
        <v>0</v>
      </c>
      <c r="P14" s="24" t="n">
        <f aca="false">M14/$G$2</f>
        <v>0</v>
      </c>
      <c r="Q14" s="24" t="n">
        <f aca="false">N14/$H$2</f>
        <v>0</v>
      </c>
      <c r="R14" s="25" t="n">
        <f aca="false">O14*$K14/$I14</f>
        <v>0</v>
      </c>
      <c r="S14" s="25" t="n">
        <f aca="false">P14*$K14/$I14</f>
        <v>0</v>
      </c>
      <c r="T14" s="26" t="n">
        <f aca="false">Q14*$K14/$I14</f>
        <v>0</v>
      </c>
      <c r="U14" s="27" t="n">
        <v>4.3581</v>
      </c>
      <c r="V14" s="27"/>
      <c r="W14" s="32"/>
      <c r="X14" s="2"/>
      <c r="Y14" s="2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2.7637</v>
      </c>
      <c r="E15" s="34" t="n">
        <v>100</v>
      </c>
      <c r="F15" s="34" t="n">
        <v>2.9687</v>
      </c>
      <c r="G15" s="30" t="n">
        <f aca="false">1000-E15</f>
        <v>900</v>
      </c>
      <c r="H15" s="34" t="n">
        <v>3.6076</v>
      </c>
      <c r="I15" s="35" t="n">
        <f aca="false">F15-D15</f>
        <v>0.205</v>
      </c>
      <c r="J15" s="35" t="n">
        <f aca="false">H15-F15</f>
        <v>0.6389</v>
      </c>
      <c r="K15" s="35" t="n">
        <f aca="false">J15+I15</f>
        <v>0.8439</v>
      </c>
      <c r="L15" s="36"/>
      <c r="M15" s="36"/>
      <c r="N15" s="41"/>
      <c r="O15" s="37" t="n">
        <f aca="false">L15/$F$2</f>
        <v>0</v>
      </c>
      <c r="P15" s="37" t="n">
        <f aca="false">M15/$G$2</f>
        <v>0</v>
      </c>
      <c r="Q15" s="37" t="n">
        <f aca="false">N15/$H$2</f>
        <v>0</v>
      </c>
      <c r="R15" s="38" t="n">
        <f aca="false">O15*$K15/$I15</f>
        <v>0</v>
      </c>
      <c r="S15" s="38" t="n">
        <f aca="false">P15*$K15/$I15</f>
        <v>0</v>
      </c>
      <c r="T15" s="39" t="n">
        <f aca="false">Q15*$K15/$I15</f>
        <v>0</v>
      </c>
      <c r="U15" s="2" t="n">
        <v>99.7309</v>
      </c>
      <c r="V15" s="2"/>
      <c r="W15" s="32" t="n">
        <f aca="false">AVERAGE(R15:R16)/100</f>
        <v>0</v>
      </c>
      <c r="X15" s="2" t="n">
        <f aca="false">AVERAGE(S15:S16)/100</f>
        <v>0</v>
      </c>
      <c r="Y15" s="2" t="n">
        <f aca="false">AVERAGE(T15:T16)/100</f>
        <v>0</v>
      </c>
      <c r="Z15" s="33" t="n">
        <f aca="false">AVERAGE(U15:V16)/100</f>
        <v>0.9939365</v>
      </c>
      <c r="AA15" s="2" t="n">
        <f aca="false">SUM(W15:Z15)</f>
        <v>0.9939365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2.7028</v>
      </c>
      <c r="E16" s="34" t="n">
        <v>100</v>
      </c>
      <c r="F16" s="34" t="n">
        <v>2.9102</v>
      </c>
      <c r="G16" s="30" t="n">
        <f aca="false">1000-E16</f>
        <v>900</v>
      </c>
      <c r="H16" s="34" t="n">
        <v>3.5749</v>
      </c>
      <c r="I16" s="35" t="n">
        <f aca="false">F16-D16</f>
        <v>0.2074</v>
      </c>
      <c r="J16" s="35" t="n">
        <f aca="false">H16-F16</f>
        <v>0.6647</v>
      </c>
      <c r="K16" s="35" t="n">
        <f aca="false">J16+I16</f>
        <v>0.8721</v>
      </c>
      <c r="L16" s="36"/>
      <c r="M16" s="36"/>
      <c r="N16" s="36"/>
      <c r="O16" s="37" t="n">
        <f aca="false">L16/$F$2</f>
        <v>0</v>
      </c>
      <c r="P16" s="37" t="n">
        <f aca="false">M16/$G$2</f>
        <v>0</v>
      </c>
      <c r="Q16" s="37" t="n">
        <f aca="false">N16/$H$2</f>
        <v>0</v>
      </c>
      <c r="R16" s="38" t="n">
        <f aca="false">O16*$K16/$I16</f>
        <v>0</v>
      </c>
      <c r="S16" s="38" t="n">
        <f aca="false">P16*$K16/$I16</f>
        <v>0</v>
      </c>
      <c r="T16" s="39" t="n">
        <f aca="false">Q16*$K16/$I16</f>
        <v>0</v>
      </c>
      <c r="U16" s="2" t="n">
        <v>99.0564</v>
      </c>
      <c r="V16" s="2"/>
      <c r="W16" s="32"/>
      <c r="X16" s="2"/>
      <c r="Y16" s="2"/>
      <c r="Z16" s="33"/>
      <c r="AA16" s="2"/>
    </row>
    <row r="17" customFormat="false" ht="14.25" hidden="false" customHeight="true" outlineLevel="0" collapsed="false">
      <c r="A17" s="18" t="s">
        <v>44</v>
      </c>
      <c r="B17" s="19" t="s">
        <v>31</v>
      </c>
      <c r="C17" s="20" t="n">
        <v>13</v>
      </c>
      <c r="D17" s="19" t="n">
        <v>2.7304</v>
      </c>
      <c r="E17" s="19" t="n">
        <v>300</v>
      </c>
      <c r="F17" s="20" t="n">
        <v>2.9163</v>
      </c>
      <c r="G17" s="19" t="n">
        <f aca="false">1000-E17</f>
        <v>700</v>
      </c>
      <c r="H17" s="20" t="n">
        <v>3.4647</v>
      </c>
      <c r="I17" s="22" t="n">
        <f aca="false">F17-D17</f>
        <v>0.1859</v>
      </c>
      <c r="J17" s="22" t="n">
        <f aca="false">H17-F17</f>
        <v>0.5484</v>
      </c>
      <c r="K17" s="22" t="n">
        <f aca="false">J17+I17</f>
        <v>0.7343</v>
      </c>
      <c r="L17" s="23"/>
      <c r="M17" s="23"/>
      <c r="N17" s="23"/>
      <c r="O17" s="24" t="n">
        <f aca="false">L17/$F$2</f>
        <v>0</v>
      </c>
      <c r="P17" s="24" t="n">
        <f aca="false">M17/$G$2</f>
        <v>0</v>
      </c>
      <c r="Q17" s="24" t="n">
        <f aca="false">N17/$H$2</f>
        <v>0</v>
      </c>
      <c r="R17" s="25" t="n">
        <f aca="false">O17*$K17/$I17</f>
        <v>0</v>
      </c>
      <c r="S17" s="25" t="n">
        <f aca="false">P17*$K17/$I17</f>
        <v>0</v>
      </c>
      <c r="T17" s="26" t="n">
        <f aca="false">Q17*$K17/$I17</f>
        <v>0</v>
      </c>
      <c r="U17" s="27" t="n">
        <v>3.3914</v>
      </c>
      <c r="V17" s="27"/>
      <c r="W17" s="32" t="n">
        <f aca="false">AVERAGE(R17:R18)/100</f>
        <v>0</v>
      </c>
      <c r="X17" s="2" t="n">
        <f aca="false">AVERAGE(S17:S18)/100</f>
        <v>0</v>
      </c>
      <c r="Y17" s="2" t="n">
        <f aca="false">AVERAGE(T17:T18)/100</f>
        <v>0</v>
      </c>
      <c r="Z17" s="33" t="n">
        <f aca="false">AVERAGE(U17:V18)/100</f>
        <v>0.0334115</v>
      </c>
      <c r="AA17" s="2" t="n">
        <f aca="false">SUM(W17:Z17)</f>
        <v>0.0334115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2.7801</v>
      </c>
      <c r="E18" s="20" t="n">
        <v>300</v>
      </c>
      <c r="F18" s="20" t="n">
        <v>2.9755</v>
      </c>
      <c r="G18" s="19" t="n">
        <f aca="false">1000-E18</f>
        <v>700</v>
      </c>
      <c r="H18" s="20" t="n">
        <v>3.543</v>
      </c>
      <c r="I18" s="22" t="n">
        <f aca="false">F18-D18</f>
        <v>0.1954</v>
      </c>
      <c r="J18" s="22" t="n">
        <f aca="false">H18-F18</f>
        <v>0.5675</v>
      </c>
      <c r="K18" s="22" t="n">
        <f aca="false">J18+I18</f>
        <v>0.7629</v>
      </c>
      <c r="L18" s="23"/>
      <c r="M18" s="23"/>
      <c r="N18" s="23"/>
      <c r="O18" s="24" t="n">
        <f aca="false">L18/$F$2</f>
        <v>0</v>
      </c>
      <c r="P18" s="24" t="n">
        <f aca="false">M18/$G$2</f>
        <v>0</v>
      </c>
      <c r="Q18" s="24" t="n">
        <f aca="false">N18/$H$2</f>
        <v>0</v>
      </c>
      <c r="R18" s="25" t="n">
        <f aca="false">O18*$K18/$I18</f>
        <v>0</v>
      </c>
      <c r="S18" s="25" t="n">
        <f aca="false">P18*$K18/$I18</f>
        <v>0</v>
      </c>
      <c r="T18" s="26" t="n">
        <f aca="false">Q18*$K18/$I18</f>
        <v>0</v>
      </c>
      <c r="U18" s="27" t="n">
        <v>3.2909</v>
      </c>
      <c r="V18" s="27"/>
      <c r="W18" s="32"/>
      <c r="X18" s="2"/>
      <c r="Y18" s="2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2.736</v>
      </c>
      <c r="E19" s="34" t="n">
        <v>100</v>
      </c>
      <c r="F19" s="34" t="n">
        <v>2.9398</v>
      </c>
      <c r="G19" s="30" t="n">
        <f aca="false">1000-E19</f>
        <v>900</v>
      </c>
      <c r="H19" s="34" t="n">
        <v>3.5197</v>
      </c>
      <c r="I19" s="35" t="n">
        <f aca="false">F19-D19</f>
        <v>0.2038</v>
      </c>
      <c r="J19" s="35" t="n">
        <f aca="false">H19-F19</f>
        <v>0.5799</v>
      </c>
      <c r="K19" s="35" t="n">
        <f aca="false">J19+I19</f>
        <v>0.7837</v>
      </c>
      <c r="L19" s="36"/>
      <c r="M19" s="36"/>
      <c r="N19" s="36"/>
      <c r="O19" s="37" t="n">
        <f aca="false">L19/$F$2</f>
        <v>0</v>
      </c>
      <c r="P19" s="37" t="n">
        <f aca="false">M19/$G$2</f>
        <v>0</v>
      </c>
      <c r="Q19" s="37" t="n">
        <f aca="false">N19/$H$2</f>
        <v>0</v>
      </c>
      <c r="R19" s="38" t="n">
        <f aca="false">O19*$K19/$I19</f>
        <v>0</v>
      </c>
      <c r="S19" s="38" t="n">
        <f aca="false">P19*$K19/$I19</f>
        <v>0</v>
      </c>
      <c r="T19" s="39" t="n">
        <f aca="false">Q19*$K19/$I19</f>
        <v>0</v>
      </c>
      <c r="U19" s="2" t="n">
        <v>98.2495</v>
      </c>
      <c r="V19" s="2"/>
      <c r="W19" s="32" t="n">
        <f aca="false">AVERAGE(R19:R20)/100</f>
        <v>0</v>
      </c>
      <c r="X19" s="2" t="n">
        <f aca="false">AVERAGE(S19:S20)/100</f>
        <v>0</v>
      </c>
      <c r="Y19" s="2" t="n">
        <f aca="false">AVERAGE(T19:T20)/100</f>
        <v>0</v>
      </c>
      <c r="Z19" s="33" t="n">
        <f aca="false">AVERAGE(U19:V20)/100</f>
        <v>0.9881925</v>
      </c>
      <c r="AA19" s="2" t="n">
        <f aca="false">SUM(W19:Z19)</f>
        <v>0.9881925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2.744</v>
      </c>
      <c r="E20" s="34" t="n">
        <v>100</v>
      </c>
      <c r="F20" s="34" t="n">
        <v>2.9481</v>
      </c>
      <c r="G20" s="30" t="n">
        <f aca="false">1000-E20</f>
        <v>900</v>
      </c>
      <c r="H20" s="34" t="n">
        <v>3.5278</v>
      </c>
      <c r="I20" s="35" t="n">
        <f aca="false">F20-D20</f>
        <v>0.2041</v>
      </c>
      <c r="J20" s="35" t="n">
        <f aca="false">H20-F20</f>
        <v>0.5797</v>
      </c>
      <c r="K20" s="35" t="n">
        <f aca="false">J20+I20</f>
        <v>0.7838</v>
      </c>
      <c r="L20" s="36"/>
      <c r="M20" s="36"/>
      <c r="N20" s="36"/>
      <c r="O20" s="37" t="n">
        <f aca="false">L20/$F$2</f>
        <v>0</v>
      </c>
      <c r="P20" s="37" t="n">
        <f aca="false">M20/$G$2</f>
        <v>0</v>
      </c>
      <c r="Q20" s="37" t="n">
        <f aca="false">N20/$H$2</f>
        <v>0</v>
      </c>
      <c r="R20" s="38" t="n">
        <f aca="false">O20*$K20/$I20</f>
        <v>0</v>
      </c>
      <c r="S20" s="38" t="n">
        <f aca="false">P20*$K20/$I20</f>
        <v>0</v>
      </c>
      <c r="T20" s="39" t="n">
        <f aca="false">Q20*$K20/$I20</f>
        <v>0</v>
      </c>
      <c r="U20" s="2" t="n">
        <v>99.389</v>
      </c>
      <c r="V20" s="2"/>
      <c r="W20" s="32"/>
      <c r="X20" s="2"/>
      <c r="Y20" s="2"/>
      <c r="Z20" s="33"/>
      <c r="AA20" s="2"/>
    </row>
    <row r="21" customFormat="false" ht="14.25" hidden="false" customHeight="true" outlineLevel="0" collapsed="false">
      <c r="A21" s="18" t="s">
        <v>45</v>
      </c>
      <c r="B21" s="19" t="s">
        <v>31</v>
      </c>
      <c r="C21" s="20" t="n">
        <v>17</v>
      </c>
      <c r="D21" s="19" t="n">
        <v>2.7303</v>
      </c>
      <c r="E21" s="19" t="n">
        <v>300</v>
      </c>
      <c r="F21" s="20" t="n">
        <v>2.9152</v>
      </c>
      <c r="G21" s="19" t="n">
        <f aca="false">1000-E21</f>
        <v>700</v>
      </c>
      <c r="H21" s="20" t="n">
        <v>3.4772</v>
      </c>
      <c r="I21" s="22" t="n">
        <f aca="false">F21-D21</f>
        <v>0.1849</v>
      </c>
      <c r="J21" s="22" t="n">
        <f aca="false">H21-F21</f>
        <v>0.562</v>
      </c>
      <c r="K21" s="22" t="n">
        <f aca="false">J21+I21</f>
        <v>0.7469</v>
      </c>
      <c r="L21" s="23"/>
      <c r="M21" s="23"/>
      <c r="N21" s="23"/>
      <c r="O21" s="24" t="n">
        <f aca="false">L21/$F$2</f>
        <v>0</v>
      </c>
      <c r="P21" s="24" t="n">
        <f aca="false">M21/$G$2</f>
        <v>0</v>
      </c>
      <c r="Q21" s="24" t="n">
        <f aca="false">N21/$H$2</f>
        <v>0</v>
      </c>
      <c r="R21" s="25" t="n">
        <f aca="false">O21*$K21/$I21</f>
        <v>0</v>
      </c>
      <c r="S21" s="25" t="n">
        <f aca="false">P21*$K21/$I21</f>
        <v>0</v>
      </c>
      <c r="T21" s="26" t="n">
        <f aca="false">Q21*$K21/$I21</f>
        <v>0</v>
      </c>
      <c r="U21" s="27" t="n">
        <v>5.883</v>
      </c>
      <c r="V21" s="27"/>
      <c r="W21" s="28" t="n">
        <f aca="false">AVERAGE(R21:R22)/100</f>
        <v>0</v>
      </c>
      <c r="X21" s="27" t="n">
        <f aca="false">AVERAGE(S21:S22)/100</f>
        <v>0</v>
      </c>
      <c r="Y21" s="27" t="n">
        <f aca="false">AVERAGE(T21:T22)/100</f>
        <v>0</v>
      </c>
      <c r="Z21" s="29" t="n">
        <f aca="false">AVERAGE(U21:V22)/100</f>
        <v>0.0581</v>
      </c>
      <c r="AA21" s="2" t="n">
        <f aca="false">SUM(W21:Z21)</f>
        <v>0.0581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2.7638</v>
      </c>
      <c r="E22" s="20" t="n">
        <v>300</v>
      </c>
      <c r="F22" s="20" t="n">
        <v>2.9464</v>
      </c>
      <c r="G22" s="19" t="n">
        <f aca="false">1000-E22</f>
        <v>700</v>
      </c>
      <c r="H22" s="20" t="n">
        <v>3.5158</v>
      </c>
      <c r="I22" s="22" t="n">
        <f aca="false">F22-D22</f>
        <v>0.1826</v>
      </c>
      <c r="J22" s="22" t="n">
        <f aca="false">H22-F22</f>
        <v>0.5694</v>
      </c>
      <c r="K22" s="22" t="n">
        <f aca="false">J22+I22</f>
        <v>0.752</v>
      </c>
      <c r="L22" s="23"/>
      <c r="M22" s="23"/>
      <c r="N22" s="23"/>
      <c r="O22" s="24" t="n">
        <f aca="false">L22/$F$2</f>
        <v>0</v>
      </c>
      <c r="P22" s="24" t="n">
        <f aca="false">M22/$G$2</f>
        <v>0</v>
      </c>
      <c r="Q22" s="24" t="n">
        <f aca="false">N22/$H$2</f>
        <v>0</v>
      </c>
      <c r="R22" s="25" t="n">
        <f aca="false">O22*$K22/$I22</f>
        <v>0</v>
      </c>
      <c r="S22" s="25" t="n">
        <f aca="false">P22*$K22/$I22</f>
        <v>0</v>
      </c>
      <c r="T22" s="26" t="n">
        <f aca="false">Q22*$K22/$I22</f>
        <v>0</v>
      </c>
      <c r="U22" s="27" t="n">
        <v>5.737</v>
      </c>
      <c r="V22" s="27"/>
      <c r="W22" s="32"/>
      <c r="X22" s="2"/>
      <c r="Y22" s="2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2.748</v>
      </c>
      <c r="E23" s="34" t="n">
        <v>100</v>
      </c>
      <c r="F23" s="34" t="n">
        <v>2.9478</v>
      </c>
      <c r="G23" s="30" t="n">
        <f aca="false">1000-E23</f>
        <v>900</v>
      </c>
      <c r="H23" s="34" t="n">
        <v>3.5237</v>
      </c>
      <c r="I23" s="35" t="n">
        <f aca="false">F23-D23</f>
        <v>0.1998</v>
      </c>
      <c r="J23" s="35" t="n">
        <f aca="false">H23-F23</f>
        <v>0.5759</v>
      </c>
      <c r="K23" s="35" t="n">
        <f aca="false">J23+I23</f>
        <v>0.7757</v>
      </c>
      <c r="L23" s="36"/>
      <c r="M23" s="36"/>
      <c r="N23" s="36"/>
      <c r="O23" s="37" t="n">
        <f aca="false">L23/$F$2</f>
        <v>0</v>
      </c>
      <c r="P23" s="37" t="n">
        <f aca="false">M23/$G$2</f>
        <v>0</v>
      </c>
      <c r="Q23" s="37" t="n">
        <f aca="false">N23/$H$2</f>
        <v>0</v>
      </c>
      <c r="R23" s="38" t="n">
        <f aca="false">O23*$K23/$I23</f>
        <v>0</v>
      </c>
      <c r="S23" s="38" t="n">
        <f aca="false">P23*$K23/$I23</f>
        <v>0</v>
      </c>
      <c r="T23" s="39" t="n">
        <f aca="false">Q23*$K23/$I23</f>
        <v>0</v>
      </c>
      <c r="U23" s="2" t="n">
        <v>98.2209</v>
      </c>
      <c r="V23" s="2"/>
      <c r="W23" s="32" t="n">
        <f aca="false">AVERAGE(R23:R24)/100</f>
        <v>0</v>
      </c>
      <c r="X23" s="2" t="n">
        <f aca="false">AVERAGE(S23:S24)/100</f>
        <v>0</v>
      </c>
      <c r="Y23" s="2" t="n">
        <f aca="false">AVERAGE(T23:T24)/100</f>
        <v>0</v>
      </c>
      <c r="Z23" s="33" t="n">
        <f aca="false">AVERAGE(U23:V24)/100</f>
        <v>0.9787095</v>
      </c>
      <c r="AA23" s="2" t="n">
        <f aca="false">SUM(W23:Z23)</f>
        <v>0.9787095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2.7552</v>
      </c>
      <c r="E24" s="34" t="n">
        <v>100</v>
      </c>
      <c r="F24" s="34" t="n">
        <v>2.9608</v>
      </c>
      <c r="G24" s="30" t="n">
        <f aca="false">1000-E24</f>
        <v>900</v>
      </c>
      <c r="H24" s="34" t="n">
        <v>3.5479</v>
      </c>
      <c r="I24" s="35" t="n">
        <f aca="false">F24-D24</f>
        <v>0.2056</v>
      </c>
      <c r="J24" s="35" t="n">
        <f aca="false">H24-F24</f>
        <v>0.5871</v>
      </c>
      <c r="K24" s="35" t="n">
        <f aca="false">J24+I24</f>
        <v>0.7927</v>
      </c>
      <c r="L24" s="36"/>
      <c r="M24" s="36"/>
      <c r="N24" s="36"/>
      <c r="O24" s="37" t="n">
        <f aca="false">L24/$F$2</f>
        <v>0</v>
      </c>
      <c r="P24" s="37" t="n">
        <f aca="false">M24/$G$2</f>
        <v>0</v>
      </c>
      <c r="Q24" s="37" t="n">
        <f aca="false">N24/$H$2</f>
        <v>0</v>
      </c>
      <c r="R24" s="38" t="n">
        <f aca="false">O24*$K24/$I24</f>
        <v>0</v>
      </c>
      <c r="S24" s="38" t="n">
        <f aca="false">P24*$K24/$I24</f>
        <v>0</v>
      </c>
      <c r="T24" s="39" t="n">
        <f aca="false">Q24*$K24/$I24</f>
        <v>0</v>
      </c>
      <c r="U24" s="42" t="n">
        <v>97.521</v>
      </c>
      <c r="V24" s="42"/>
      <c r="W24" s="43"/>
      <c r="X24" s="42"/>
      <c r="Y24" s="4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2.729</v>
      </c>
      <c r="F25" s="1" t="n">
        <v>2.989</v>
      </c>
      <c r="G25" s="2" t="n">
        <f aca="false">1000-E25</f>
        <v>1000</v>
      </c>
      <c r="H25" s="1" t="n">
        <v>3.4899</v>
      </c>
      <c r="I25" s="1" t="n">
        <f aca="false">F25-D25</f>
        <v>0.26</v>
      </c>
      <c r="J25" s="1" t="n">
        <f aca="false">H25-F25</f>
        <v>0.5009</v>
      </c>
      <c r="K25" s="1" t="n">
        <f aca="false">J25+I25</f>
        <v>0.7609</v>
      </c>
      <c r="P25" s="1" t="n">
        <f aca="false">M25/$G$2</f>
        <v>0</v>
      </c>
      <c r="Q25" s="1" t="n">
        <f aca="false">N25/$H$2</f>
        <v>0</v>
      </c>
      <c r="S25" s="1" t="n">
        <f aca="false">P25*$K25/$I25</f>
        <v>0</v>
      </c>
      <c r="T25" s="1" t="n">
        <f aca="false">Q25*$K25/$I25</f>
        <v>0</v>
      </c>
      <c r="U25" s="1" t="n">
        <v>2.1978</v>
      </c>
      <c r="X25" s="1" t="n">
        <f aca="false">AVERAGE(S25:S26)/100</f>
        <v>0</v>
      </c>
      <c r="Y25" s="1" t="n">
        <f aca="false">AVERAGE(T25:T26)/100</f>
        <v>0</v>
      </c>
      <c r="Z25" s="1" t="n">
        <f aca="false">AVERAGE(U25:V26)/100</f>
        <v>0.022118</v>
      </c>
      <c r="AA25" s="1" t="n">
        <f aca="false">SUM(W25:Z25)</f>
        <v>0.022118</v>
      </c>
      <c r="AE25" s="1" t="n">
        <f aca="false">IFERROR(X25/$AA25,"")</f>
        <v>0</v>
      </c>
      <c r="AF25" s="1" t="n">
        <f aca="false">IFERROR(Y25/$AA25,"")</f>
        <v>0</v>
      </c>
      <c r="AG25" s="1" t="n">
        <f aca="false">IFERROR(Z25/$AA25,"")</f>
        <v>1</v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2.7384</v>
      </c>
      <c r="F26" s="1" t="n">
        <v>3.01</v>
      </c>
      <c r="G26" s="2" t="n">
        <f aca="false">1000-E26</f>
        <v>1000</v>
      </c>
      <c r="H26" s="1" t="n">
        <v>3.4564</v>
      </c>
      <c r="I26" s="1" t="n">
        <f aca="false">F26-D26</f>
        <v>0.2716</v>
      </c>
      <c r="J26" s="1" t="n">
        <f aca="false">H26-F26</f>
        <v>0.4464</v>
      </c>
      <c r="K26" s="1" t="n">
        <f aca="false">J26+I26</f>
        <v>0.718</v>
      </c>
      <c r="P26" s="1" t="n">
        <f aca="false">M26/$G$2</f>
        <v>0</v>
      </c>
      <c r="Q26" s="1" t="n">
        <f aca="false">N26/$H$2</f>
        <v>0</v>
      </c>
      <c r="S26" s="1" t="n">
        <f aca="false">P26*$K26/$I26</f>
        <v>0</v>
      </c>
      <c r="T26" s="1" t="n">
        <f aca="false">Q26*$K26/$I26</f>
        <v>0</v>
      </c>
      <c r="U26" s="1" t="n">
        <v>2.2258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2.7726</v>
      </c>
      <c r="F27" s="1" t="n">
        <v>3.1952</v>
      </c>
      <c r="G27" s="2" t="n">
        <f aca="false">1000-E27</f>
        <v>1000</v>
      </c>
      <c r="H27" s="1" t="n">
        <v>3.6785</v>
      </c>
      <c r="I27" s="1" t="n">
        <f aca="false">F27-D27</f>
        <v>0.4226</v>
      </c>
      <c r="J27" s="1" t="n">
        <f aca="false">H27-F27</f>
        <v>0.4833</v>
      </c>
      <c r="K27" s="1" t="n">
        <f aca="false">J27+I27</f>
        <v>0.9059</v>
      </c>
      <c r="P27" s="1" t="n">
        <f aca="false">M27/$G$2</f>
        <v>0</v>
      </c>
      <c r="Q27" s="1" t="n">
        <f aca="false">N27/$H$2</f>
        <v>0</v>
      </c>
      <c r="S27" s="1" t="n">
        <f aca="false">P27*$K27/$I27</f>
        <v>0</v>
      </c>
      <c r="T27" s="1" t="n">
        <f aca="false">Q27*$K27/$I27</f>
        <v>0</v>
      </c>
      <c r="X27" s="1" t="n">
        <f aca="false">AVERAGE(S27:S28)/100</f>
        <v>0</v>
      </c>
      <c r="Y27" s="1" t="n">
        <f aca="false">AVERAGE(T27:T28)/100</f>
        <v>0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2.7355</v>
      </c>
      <c r="F28" s="1" t="n">
        <v>2.974</v>
      </c>
      <c r="G28" s="2" t="n">
        <f aca="false">1000-E28</f>
        <v>1000</v>
      </c>
      <c r="H28" s="1" t="n">
        <v>3.4239</v>
      </c>
      <c r="I28" s="1" t="n">
        <f aca="false">F28-D28</f>
        <v>0.2385</v>
      </c>
      <c r="J28" s="1" t="n">
        <f aca="false">H28-F28</f>
        <v>0.4499</v>
      </c>
      <c r="K28" s="1" t="n">
        <f aca="false">J28+I28</f>
        <v>0.6884</v>
      </c>
      <c r="P28" s="1" t="n">
        <f aca="false">M28/$G$2</f>
        <v>0</v>
      </c>
      <c r="Q28" s="1" t="n">
        <f aca="false">N28/$H$2</f>
        <v>0</v>
      </c>
      <c r="S28" s="1" t="n">
        <f aca="false">P28*$K28/$I28</f>
        <v>0</v>
      </c>
      <c r="T28" s="1" t="n">
        <f aca="false">Q28*$K28/$I28</f>
        <v>0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46</v>
      </c>
    </row>
    <row r="2" customFormat="false" ht="14.25" hidden="false" customHeight="true" outlineLevel="0" collapsed="false">
      <c r="E2" s="1" t="s">
        <v>2</v>
      </c>
      <c r="F2" s="1" t="n">
        <v>187.3142</v>
      </c>
      <c r="G2" s="2" t="n">
        <v>176.3849</v>
      </c>
      <c r="H2" s="4"/>
    </row>
    <row r="3" customFormat="false" ht="14.25" hidden="false" customHeight="true" outlineLevel="0" collapsed="false">
      <c r="M3" s="1" t="s">
        <v>3</v>
      </c>
      <c r="N3" s="1" t="s">
        <v>47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48</v>
      </c>
      <c r="B5" s="19" t="s">
        <v>31</v>
      </c>
      <c r="C5" s="20" t="n">
        <v>1</v>
      </c>
      <c r="D5" s="21" t="n">
        <v>2.7013</v>
      </c>
      <c r="E5" s="19" t="n">
        <v>300</v>
      </c>
      <c r="F5" s="20" t="n">
        <v>2.8199</v>
      </c>
      <c r="G5" s="19" t="n">
        <f aca="false">1000-E5</f>
        <v>700</v>
      </c>
      <c r="H5" s="20" t="n">
        <v>3.3726</v>
      </c>
      <c r="I5" s="22" t="n">
        <f aca="false">F5-D5</f>
        <v>0.1186</v>
      </c>
      <c r="J5" s="22" t="n">
        <f aca="false">H5-F5</f>
        <v>0.5527</v>
      </c>
      <c r="K5" s="22" t="n">
        <f aca="false">J5+I5</f>
        <v>0.6713</v>
      </c>
      <c r="L5" s="23"/>
      <c r="M5" s="23"/>
      <c r="N5" s="23"/>
      <c r="O5" s="24" t="n">
        <f aca="false">L5/$F$2</f>
        <v>0</v>
      </c>
      <c r="P5" s="47"/>
      <c r="Q5" s="26" t="n">
        <f aca="false">N5/$G$2</f>
        <v>0</v>
      </c>
      <c r="R5" s="25" t="n">
        <f aca="false">O5*$K5/$I5</f>
        <v>0</v>
      </c>
      <c r="S5" s="47"/>
      <c r="T5" s="26" t="n">
        <f aca="false">Q5*$K5/$I5</f>
        <v>0</v>
      </c>
      <c r="U5" s="27" t="n">
        <v>94.8602</v>
      </c>
      <c r="V5" s="27"/>
      <c r="W5" s="48" t="n">
        <f aca="false">AVERAGE(R5:R6)/100</f>
        <v>0</v>
      </c>
      <c r="X5" s="49"/>
      <c r="Y5" s="49" t="n">
        <f aca="false">AVERAGE(T5:T6)/100</f>
        <v>0</v>
      </c>
      <c r="Z5" s="50" t="n">
        <f aca="false">AVERAGE(U5:V6)/100</f>
        <v>0.975035</v>
      </c>
      <c r="AA5" s="2" t="n">
        <f aca="false">SUM(W5:Z5)</f>
        <v>0.975035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2.7072</v>
      </c>
      <c r="E6" s="20" t="n">
        <v>300</v>
      </c>
      <c r="F6" s="20" t="n">
        <v>2.8274</v>
      </c>
      <c r="G6" s="19" t="n">
        <f aca="false">1000-E6</f>
        <v>700</v>
      </c>
      <c r="H6" s="20" t="n">
        <v>3.4003</v>
      </c>
      <c r="I6" s="22" t="n">
        <f aca="false">F6-D6</f>
        <v>0.1202</v>
      </c>
      <c r="J6" s="22" t="n">
        <f aca="false">H6-F6</f>
        <v>0.5729</v>
      </c>
      <c r="K6" s="22" t="n">
        <f aca="false">J6+I6</f>
        <v>0.6931</v>
      </c>
      <c r="L6" s="23"/>
      <c r="M6" s="23"/>
      <c r="N6" s="23"/>
      <c r="O6" s="24" t="n">
        <f aca="false">L6/$F$2</f>
        <v>0</v>
      </c>
      <c r="P6" s="47"/>
      <c r="Q6" s="26" t="n">
        <f aca="false">N6/$G$2</f>
        <v>0</v>
      </c>
      <c r="R6" s="25" t="n">
        <f aca="false">O6*$K6/$I6</f>
        <v>0</v>
      </c>
      <c r="S6" s="47"/>
      <c r="T6" s="26" t="n">
        <f aca="false">Q6*$K6/$I6</f>
        <v>0</v>
      </c>
      <c r="U6" s="27" t="n">
        <v>97.836</v>
      </c>
      <c r="V6" s="27" t="n">
        <v>99.8143</v>
      </c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2.7708</v>
      </c>
      <c r="E7" s="34" t="n">
        <v>100</v>
      </c>
      <c r="F7" s="34" t="n">
        <v>2.892</v>
      </c>
      <c r="G7" s="30" t="n">
        <f aca="false">1000-E7</f>
        <v>900</v>
      </c>
      <c r="H7" s="34" t="n">
        <v>3.4467</v>
      </c>
      <c r="I7" s="35" t="n">
        <f aca="false">F7-D7</f>
        <v>0.1212</v>
      </c>
      <c r="J7" s="35" t="n">
        <f aca="false">H7-F7</f>
        <v>0.5547</v>
      </c>
      <c r="K7" s="35" t="n">
        <f aca="false">J7+I7</f>
        <v>0.6759</v>
      </c>
      <c r="N7" s="36"/>
      <c r="O7" s="52" t="n">
        <f aca="false">L7/$F$2</f>
        <v>0</v>
      </c>
      <c r="P7" s="53"/>
      <c r="Q7" s="54" t="n">
        <f aca="false">N7/$G$2</f>
        <v>0</v>
      </c>
      <c r="R7" s="55" t="n">
        <f aca="false">O7*$K7/$I7</f>
        <v>0</v>
      </c>
      <c r="S7" s="53"/>
      <c r="T7" s="54" t="n">
        <f aca="false">Q7*$K7/$I7</f>
        <v>0</v>
      </c>
      <c r="U7" s="2" t="n">
        <v>8.024</v>
      </c>
      <c r="V7" s="2"/>
      <c r="W7" s="51" t="n">
        <f aca="false">AVERAGE(R7:R8)/100</f>
        <v>0</v>
      </c>
      <c r="Y7" s="1" t="n">
        <f aca="false">AVERAGE(T7:T8)/100</f>
        <v>0</v>
      </c>
      <c r="Z7" s="33" t="n">
        <f aca="false">AVERAGE(U7:V8)/100</f>
        <v>0.080074</v>
      </c>
      <c r="AA7" s="2" t="n">
        <f aca="false">SUM(W7:Z7)</f>
        <v>0.080074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2.6999</v>
      </c>
      <c r="E8" s="34" t="n">
        <v>100</v>
      </c>
      <c r="F8" s="34" t="n">
        <v>2.8161</v>
      </c>
      <c r="G8" s="30" t="n">
        <f aca="false">1000-E8</f>
        <v>900</v>
      </c>
      <c r="H8" s="34" t="n">
        <v>3.3773</v>
      </c>
      <c r="I8" s="35" t="n">
        <f aca="false">F8-D8</f>
        <v>0.1162</v>
      </c>
      <c r="J8" s="35" t="n">
        <f aca="false">H8-F8</f>
        <v>0.5612</v>
      </c>
      <c r="K8" s="35" t="n">
        <f aca="false">J8+I8</f>
        <v>0.6774</v>
      </c>
      <c r="L8" s="36"/>
      <c r="M8" s="36"/>
      <c r="N8" s="36"/>
      <c r="O8" s="52" t="n">
        <f aca="false">L8/$F$2</f>
        <v>0</v>
      </c>
      <c r="P8" s="53"/>
      <c r="Q8" s="54" t="n">
        <f aca="false">N8/$G$2</f>
        <v>0</v>
      </c>
      <c r="R8" s="55" t="n">
        <f aca="false">O8*$K8/$I8</f>
        <v>0</v>
      </c>
      <c r="S8" s="53"/>
      <c r="T8" s="54" t="n">
        <f aca="false">Q8*$K8/$I8</f>
        <v>0</v>
      </c>
      <c r="U8" s="2" t="n">
        <v>7.9908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49</v>
      </c>
      <c r="B9" s="19" t="s">
        <v>31</v>
      </c>
      <c r="C9" s="20" t="n">
        <v>5</v>
      </c>
      <c r="D9" s="19" t="n">
        <v>2.7245</v>
      </c>
      <c r="E9" s="19" t="n">
        <v>300</v>
      </c>
      <c r="F9" s="20" t="n">
        <v>2.8419</v>
      </c>
      <c r="G9" s="19" t="n">
        <f aca="false">1000-E9</f>
        <v>700</v>
      </c>
      <c r="H9" s="20" t="n">
        <v>3.4066</v>
      </c>
      <c r="I9" s="22" t="n">
        <f aca="false">F9-D9</f>
        <v>0.1174</v>
      </c>
      <c r="J9" s="22" t="n">
        <f aca="false">H9-F9</f>
        <v>0.5647</v>
      </c>
      <c r="K9" s="22" t="n">
        <f aca="false">J9+I9</f>
        <v>0.6821</v>
      </c>
      <c r="L9" s="23"/>
      <c r="M9" s="23"/>
      <c r="N9" s="23"/>
      <c r="O9" s="24" t="n">
        <f aca="false">L9/$F$2</f>
        <v>0</v>
      </c>
      <c r="P9" s="47"/>
      <c r="Q9" s="26" t="n">
        <f aca="false">N9/$G$2</f>
        <v>0</v>
      </c>
      <c r="R9" s="25" t="n">
        <f aca="false">O9*$K9/$I9</f>
        <v>0</v>
      </c>
      <c r="S9" s="47"/>
      <c r="T9" s="26" t="n">
        <f aca="false">Q9*$K9/$I9</f>
        <v>0</v>
      </c>
      <c r="U9" s="27" t="n">
        <v>3.2518</v>
      </c>
      <c r="V9" s="27"/>
      <c r="W9" s="56" t="n">
        <f aca="false">AVERAGE(R9:R10)/100</f>
        <v>0</v>
      </c>
      <c r="X9" s="57"/>
      <c r="Y9" s="57" t="n">
        <f aca="false">AVERAGE(T9:T10)/100</f>
        <v>0</v>
      </c>
      <c r="Z9" s="29" t="n">
        <f aca="false">AVERAGE(U9:V10)/100</f>
        <v>0.0324405</v>
      </c>
      <c r="AA9" s="2" t="n">
        <f aca="false">SUM(W9:Z9)</f>
        <v>0.0324405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2.7725</v>
      </c>
      <c r="E10" s="20" t="n">
        <v>300</v>
      </c>
      <c r="F10" s="20" t="n">
        <v>2.8896</v>
      </c>
      <c r="G10" s="19" t="n">
        <f aca="false">1000-E10</f>
        <v>700</v>
      </c>
      <c r="H10" s="20" t="n">
        <v>3.457</v>
      </c>
      <c r="I10" s="22" t="n">
        <f aca="false">F10-D10</f>
        <v>0.1171</v>
      </c>
      <c r="J10" s="22" t="n">
        <f aca="false">H10-F10</f>
        <v>0.5674</v>
      </c>
      <c r="K10" s="22" t="n">
        <f aca="false">J10+I10</f>
        <v>0.6845</v>
      </c>
      <c r="L10" s="23"/>
      <c r="M10" s="23"/>
      <c r="N10" s="23"/>
      <c r="O10" s="24" t="n">
        <f aca="false">L10/$F$2</f>
        <v>0</v>
      </c>
      <c r="P10" s="47"/>
      <c r="Q10" s="26" t="n">
        <f aca="false">N10/$G$2</f>
        <v>0</v>
      </c>
      <c r="R10" s="25" t="n">
        <f aca="false">O10*$K10/$I10</f>
        <v>0</v>
      </c>
      <c r="S10" s="47"/>
      <c r="T10" s="26" t="n">
        <f aca="false">Q10*$K10/$I10</f>
        <v>0</v>
      </c>
      <c r="U10" s="27" t="n">
        <v>3.2363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2.7079</v>
      </c>
      <c r="E11" s="34" t="n">
        <v>100</v>
      </c>
      <c r="F11" s="34" t="n">
        <v>2.8283</v>
      </c>
      <c r="G11" s="30" t="n">
        <f aca="false">1000-E11</f>
        <v>900</v>
      </c>
      <c r="H11" s="34" t="n">
        <v>3.3915</v>
      </c>
      <c r="I11" s="35" t="n">
        <f aca="false">F11-D11</f>
        <v>0.1204</v>
      </c>
      <c r="J11" s="35" t="n">
        <f aca="false">H11-F11</f>
        <v>0.5632</v>
      </c>
      <c r="K11" s="35" t="n">
        <f aca="false">J11+I11</f>
        <v>0.6836</v>
      </c>
      <c r="L11" s="40"/>
      <c r="M11" s="40"/>
      <c r="N11" s="36"/>
      <c r="O11" s="52" t="n">
        <f aca="false">L11/$F$2</f>
        <v>0</v>
      </c>
      <c r="P11" s="53"/>
      <c r="Q11" s="54" t="n">
        <f aca="false">N11/$G$2</f>
        <v>0</v>
      </c>
      <c r="R11" s="55" t="n">
        <f aca="false">O11*$K11/$I11</f>
        <v>0</v>
      </c>
      <c r="S11" s="53"/>
      <c r="T11" s="54" t="n">
        <f aca="false">Q11*$K11/$I11</f>
        <v>0</v>
      </c>
      <c r="U11" s="2" t="n">
        <v>85.2153</v>
      </c>
      <c r="V11" s="2"/>
      <c r="W11" s="51" t="n">
        <f aca="false">AVERAGE(R11:R12)/100</f>
        <v>0</v>
      </c>
      <c r="Y11" s="1" t="n">
        <f aca="false">AVERAGE(T11:T12)/100</f>
        <v>0</v>
      </c>
      <c r="Z11" s="33" t="n">
        <f aca="false">AVERAGE(U11:V12)/100</f>
        <v>0.844857</v>
      </c>
      <c r="AA11" s="2" t="n">
        <f aca="false">SUM(W11:Z11)</f>
        <v>0.844857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2.7899</v>
      </c>
      <c r="E12" s="34" t="n">
        <v>100</v>
      </c>
      <c r="F12" s="34" t="n">
        <v>2.911</v>
      </c>
      <c r="G12" s="30" t="n">
        <f aca="false">1000-E12</f>
        <v>900</v>
      </c>
      <c r="H12" s="34" t="n">
        <v>3.473</v>
      </c>
      <c r="I12" s="35" t="n">
        <f aca="false">F12-D12</f>
        <v>0.1211</v>
      </c>
      <c r="J12" s="35" t="n">
        <f aca="false">H12-F12</f>
        <v>0.562</v>
      </c>
      <c r="K12" s="35" t="n">
        <f aca="false">J12+I12</f>
        <v>0.6831</v>
      </c>
      <c r="L12" s="36"/>
      <c r="M12" s="36"/>
      <c r="N12" s="36"/>
      <c r="O12" s="52" t="n">
        <f aca="false">L12/$F$2</f>
        <v>0</v>
      </c>
      <c r="P12" s="53"/>
      <c r="Q12" s="54" t="n">
        <f aca="false">N12/$G$2</f>
        <v>0</v>
      </c>
      <c r="R12" s="55" t="n">
        <f aca="false">O12*$K12/$I12</f>
        <v>0</v>
      </c>
      <c r="S12" s="53"/>
      <c r="T12" s="54" t="n">
        <f aca="false">Q12*$K12/$I12</f>
        <v>0</v>
      </c>
      <c r="U12" s="2" t="n">
        <v>83.7561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50</v>
      </c>
      <c r="B13" s="19" t="s">
        <v>31</v>
      </c>
      <c r="C13" s="20" t="n">
        <v>9</v>
      </c>
      <c r="D13" s="19" t="n">
        <v>2.699</v>
      </c>
      <c r="E13" s="19" t="n">
        <v>300</v>
      </c>
      <c r="F13" s="20" t="n">
        <v>2.8788</v>
      </c>
      <c r="G13" s="19" t="n">
        <f aca="false">1000-E13</f>
        <v>700</v>
      </c>
      <c r="H13" s="20" t="n">
        <v>3.4598</v>
      </c>
      <c r="I13" s="22" t="n">
        <f aca="false">F13-D13</f>
        <v>0.1798</v>
      </c>
      <c r="J13" s="22" t="n">
        <f aca="false">H13-F13</f>
        <v>0.581</v>
      </c>
      <c r="K13" s="22" t="n">
        <f aca="false">J13+I13</f>
        <v>0.7608</v>
      </c>
      <c r="L13" s="23"/>
      <c r="M13" s="23"/>
      <c r="N13" s="23"/>
      <c r="O13" s="24" t="n">
        <f aca="false">L13/$F$2</f>
        <v>0</v>
      </c>
      <c r="P13" s="47"/>
      <c r="Q13" s="26" t="n">
        <f aca="false">N13/$G$2</f>
        <v>0</v>
      </c>
      <c r="R13" s="25" t="n">
        <f aca="false">O13*$K13/$I13</f>
        <v>0</v>
      </c>
      <c r="S13" s="47"/>
      <c r="T13" s="26" t="n">
        <f aca="false">Q13*$K13/$I13</f>
        <v>0</v>
      </c>
      <c r="U13" s="27" t="n">
        <v>4.6408</v>
      </c>
      <c r="V13" s="27"/>
      <c r="W13" s="56" t="n">
        <f aca="false">AVERAGE(R13:R14)/100</f>
        <v>0</v>
      </c>
      <c r="X13" s="57"/>
      <c r="Y13" s="57" t="n">
        <f aca="false">AVERAGE(T13:T14)/100</f>
        <v>0</v>
      </c>
      <c r="Z13" s="29" t="n">
        <f aca="false">AVERAGE(U13:V14)/100</f>
        <v>0.0429306666666667</v>
      </c>
      <c r="AA13" s="2" t="n">
        <f aca="false">SUM(W13:Z13)</f>
        <v>0.0429306666666667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2.7274</v>
      </c>
      <c r="E14" s="20" t="n">
        <v>300</v>
      </c>
      <c r="F14" s="20" t="n">
        <v>2.9304</v>
      </c>
      <c r="G14" s="19" t="n">
        <f aca="false">1000-E14</f>
        <v>700</v>
      </c>
      <c r="H14" s="20" t="n">
        <v>3.4872</v>
      </c>
      <c r="I14" s="22" t="n">
        <f aca="false">F14-D14</f>
        <v>0.203</v>
      </c>
      <c r="J14" s="22" t="n">
        <f aca="false">H14-F14</f>
        <v>0.5568</v>
      </c>
      <c r="K14" s="22" t="n">
        <f aca="false">J14+I14</f>
        <v>0.7598</v>
      </c>
      <c r="L14" s="23"/>
      <c r="M14" s="23"/>
      <c r="N14" s="23"/>
      <c r="O14" s="24" t="n">
        <f aca="false">L14/$F$2</f>
        <v>0</v>
      </c>
      <c r="P14" s="47"/>
      <c r="Q14" s="26" t="n">
        <f aca="false">N14/$G$2</f>
        <v>0</v>
      </c>
      <c r="R14" s="25" t="n">
        <f aca="false">O14*$K14/$I14</f>
        <v>0</v>
      </c>
      <c r="S14" s="47"/>
      <c r="T14" s="26" t="n">
        <f aca="false">Q14*$K14/$I14</f>
        <v>0</v>
      </c>
      <c r="U14" s="27" t="n">
        <v>4.1703</v>
      </c>
      <c r="V14" s="27" t="n">
        <v>4.0681</v>
      </c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2.6932</v>
      </c>
      <c r="E15" s="34" t="n">
        <v>100</v>
      </c>
      <c r="F15" s="34" t="n">
        <v>2.8994</v>
      </c>
      <c r="G15" s="30" t="n">
        <f aca="false">1000-E15</f>
        <v>900</v>
      </c>
      <c r="H15" s="34" t="n">
        <v>3.4787</v>
      </c>
      <c r="I15" s="35" t="n">
        <f aca="false">F15-D15</f>
        <v>0.2062</v>
      </c>
      <c r="J15" s="35" t="n">
        <f aca="false">H15-F15</f>
        <v>0.5793</v>
      </c>
      <c r="K15" s="35" t="n">
        <f aca="false">J15+I15</f>
        <v>0.7855</v>
      </c>
      <c r="L15" s="36"/>
      <c r="M15" s="36"/>
      <c r="N15" s="41"/>
      <c r="O15" s="52" t="n">
        <f aca="false">L15/$F$2</f>
        <v>0</v>
      </c>
      <c r="P15" s="53"/>
      <c r="Q15" s="54" t="n">
        <f aca="false">N15/$G$2</f>
        <v>0</v>
      </c>
      <c r="R15" s="55" t="n">
        <f aca="false">O15*$K15/$I15</f>
        <v>0</v>
      </c>
      <c r="S15" s="53"/>
      <c r="T15" s="54" t="n">
        <f aca="false">Q15*$K15/$I15</f>
        <v>0</v>
      </c>
      <c r="U15" s="2" t="n">
        <v>99.3191</v>
      </c>
      <c r="V15" s="2"/>
      <c r="W15" s="51" t="n">
        <f aca="false">AVERAGE(R15:R16)/100</f>
        <v>0</v>
      </c>
      <c r="Y15" s="1" t="n">
        <f aca="false">AVERAGE(T15:T16)/100</f>
        <v>0</v>
      </c>
      <c r="Z15" s="33" t="n">
        <f aca="false">AVERAGE(U15:V16)/100</f>
        <v>0.9965775</v>
      </c>
      <c r="AA15" s="2" t="n">
        <f aca="false">SUM(W15:Z15)</f>
        <v>0.9965775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2.7189</v>
      </c>
      <c r="E16" s="34" t="n">
        <v>100</v>
      </c>
      <c r="F16" s="34" t="n">
        <v>2.9127</v>
      </c>
      <c r="G16" s="30" t="n">
        <f aca="false">1000-E16</f>
        <v>900</v>
      </c>
      <c r="H16" s="34" t="n">
        <v>3.4667</v>
      </c>
      <c r="I16" s="35" t="n">
        <f aca="false">F16-D16</f>
        <v>0.1938</v>
      </c>
      <c r="J16" s="35" t="n">
        <f aca="false">H16-F16</f>
        <v>0.554</v>
      </c>
      <c r="K16" s="35" t="n">
        <f aca="false">J16+I16</f>
        <v>0.7478</v>
      </c>
      <c r="L16" s="36"/>
      <c r="M16" s="36"/>
      <c r="N16" s="36"/>
      <c r="O16" s="52" t="n">
        <f aca="false">L16/$F$2</f>
        <v>0</v>
      </c>
      <c r="P16" s="53"/>
      <c r="Q16" s="54" t="n">
        <f aca="false">N16/$G$2</f>
        <v>0</v>
      </c>
      <c r="R16" s="55" t="n">
        <f aca="false">O16*$K16/$I16</f>
        <v>0</v>
      </c>
      <c r="S16" s="53"/>
      <c r="T16" s="54" t="n">
        <f aca="false">Q16*$K16/$I16</f>
        <v>0</v>
      </c>
      <c r="U16" s="2" t="n">
        <v>99.9964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51</v>
      </c>
      <c r="B17" s="19" t="s">
        <v>31</v>
      </c>
      <c r="C17" s="20" t="n">
        <v>13</v>
      </c>
      <c r="D17" s="19" t="n">
        <v>2.7179</v>
      </c>
      <c r="E17" s="19" t="n">
        <v>300</v>
      </c>
      <c r="F17" s="20" t="n">
        <v>2.9029</v>
      </c>
      <c r="G17" s="19" t="n">
        <f aca="false">1000-E17</f>
        <v>700</v>
      </c>
      <c r="H17" s="20" t="n">
        <v>3.453</v>
      </c>
      <c r="I17" s="22" t="n">
        <f aca="false">F17-D17</f>
        <v>0.185</v>
      </c>
      <c r="J17" s="22" t="n">
        <f aca="false">H17-F17</f>
        <v>0.5501</v>
      </c>
      <c r="K17" s="22" t="n">
        <f aca="false">J17+I17</f>
        <v>0.7351</v>
      </c>
      <c r="L17" s="23"/>
      <c r="M17" s="23"/>
      <c r="N17" s="23"/>
      <c r="O17" s="24" t="n">
        <f aca="false">L17/$F$2</f>
        <v>0</v>
      </c>
      <c r="P17" s="47"/>
      <c r="Q17" s="26" t="n">
        <f aca="false">N17/$G$2</f>
        <v>0</v>
      </c>
      <c r="R17" s="25" t="n">
        <f aca="false">O17*$K17/$I17</f>
        <v>0</v>
      </c>
      <c r="S17" s="47"/>
      <c r="T17" s="26" t="n">
        <f aca="false">Q17*$K17/$I17</f>
        <v>0</v>
      </c>
      <c r="U17" s="27" t="n">
        <v>3.5476</v>
      </c>
      <c r="V17" s="27"/>
      <c r="W17" s="56" t="n">
        <f aca="false">AVERAGE(R17:R18)/100</f>
        <v>0</v>
      </c>
      <c r="X17" s="57"/>
      <c r="Y17" s="57" t="n">
        <f aca="false">AVERAGE(T17:T18)/100</f>
        <v>0</v>
      </c>
      <c r="Z17" s="29" t="n">
        <f aca="false">AVERAGE(U17:V18)/100</f>
        <v>0.0357665</v>
      </c>
      <c r="AA17" s="2" t="n">
        <f aca="false">SUM(W17:Z17)</f>
        <v>0.0357665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2.754</v>
      </c>
      <c r="E18" s="20" t="n">
        <v>300</v>
      </c>
      <c r="F18" s="20" t="n">
        <v>2.9499</v>
      </c>
      <c r="G18" s="19" t="n">
        <f aca="false">1000-E18</f>
        <v>700</v>
      </c>
      <c r="H18" s="20" t="n">
        <v>3.516</v>
      </c>
      <c r="I18" s="22" t="n">
        <f aca="false">F18-D18</f>
        <v>0.1959</v>
      </c>
      <c r="J18" s="22" t="n">
        <f aca="false">H18-F18</f>
        <v>0.5661</v>
      </c>
      <c r="K18" s="22" t="n">
        <f aca="false">J18+I18</f>
        <v>0.762</v>
      </c>
      <c r="L18" s="23"/>
      <c r="M18" s="23"/>
      <c r="N18" s="23"/>
      <c r="O18" s="24" t="n">
        <f aca="false">L18/$F$2</f>
        <v>0</v>
      </c>
      <c r="P18" s="47"/>
      <c r="Q18" s="26" t="n">
        <f aca="false">N18/$G$2</f>
        <v>0</v>
      </c>
      <c r="R18" s="25" t="n">
        <f aca="false">O18*$K18/$I18</f>
        <v>0</v>
      </c>
      <c r="S18" s="47"/>
      <c r="T18" s="26" t="n">
        <f aca="false">Q18*$K18/$I18</f>
        <v>0</v>
      </c>
      <c r="U18" s="27" t="n">
        <v>3.6057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2.8124</v>
      </c>
      <c r="E19" s="34" t="n">
        <v>100</v>
      </c>
      <c r="F19" s="34" t="n">
        <v>3.0131</v>
      </c>
      <c r="G19" s="30" t="n">
        <f aca="false">1000-E19</f>
        <v>900</v>
      </c>
      <c r="H19" s="34" t="n">
        <v>3.5794</v>
      </c>
      <c r="I19" s="35" t="n">
        <f aca="false">F19-D19</f>
        <v>0.2007</v>
      </c>
      <c r="J19" s="35" t="n">
        <f aca="false">H19-F19</f>
        <v>0.5663</v>
      </c>
      <c r="K19" s="35" t="n">
        <f aca="false">J19+I19</f>
        <v>0.767</v>
      </c>
      <c r="L19" s="36"/>
      <c r="M19" s="36"/>
      <c r="N19" s="36"/>
      <c r="O19" s="52" t="n">
        <f aca="false">L19/$F$2</f>
        <v>0</v>
      </c>
      <c r="P19" s="53"/>
      <c r="Q19" s="54" t="n">
        <f aca="false">N19/$G$2</f>
        <v>0</v>
      </c>
      <c r="R19" s="55" t="n">
        <f aca="false">O19*$K19/$I19</f>
        <v>0</v>
      </c>
      <c r="S19" s="53"/>
      <c r="T19" s="54" t="n">
        <f aca="false">Q19*$K19/$I19</f>
        <v>0</v>
      </c>
      <c r="U19" s="2" t="n">
        <v>101.1918</v>
      </c>
      <c r="V19" s="2" t="n">
        <v>94.5604</v>
      </c>
      <c r="W19" s="51" t="n">
        <f aca="false">AVERAGE(R19:R20)/100</f>
        <v>0</v>
      </c>
      <c r="Y19" s="1" t="n">
        <f aca="false">AVERAGE(T19:T20)/100</f>
        <v>0</v>
      </c>
      <c r="Z19" s="33" t="n">
        <f aca="false">AVERAGE(U19:V20)/100</f>
        <v>0.984174</v>
      </c>
      <c r="AA19" s="2" t="n">
        <f aca="false">SUM(W19:Z19)</f>
        <v>0.984174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2.7546</v>
      </c>
      <c r="E20" s="34" t="n">
        <v>100</v>
      </c>
      <c r="F20" s="34" t="n">
        <v>2.9584</v>
      </c>
      <c r="G20" s="30" t="n">
        <f aca="false">1000-E20</f>
        <v>900</v>
      </c>
      <c r="H20" s="34" t="n">
        <v>3.5212</v>
      </c>
      <c r="I20" s="35" t="n">
        <f aca="false">F20-D20</f>
        <v>0.2038</v>
      </c>
      <c r="J20" s="35" t="n">
        <f aca="false">H20-F20</f>
        <v>0.5628</v>
      </c>
      <c r="K20" s="35" t="n">
        <f aca="false">J20+I20</f>
        <v>0.7666</v>
      </c>
      <c r="L20" s="36"/>
      <c r="M20" s="36"/>
      <c r="N20" s="36"/>
      <c r="O20" s="52" t="n">
        <f aca="false">L20/$F$2</f>
        <v>0</v>
      </c>
      <c r="P20" s="53"/>
      <c r="Q20" s="54" t="n">
        <f aca="false">N20/$G$2</f>
        <v>0</v>
      </c>
      <c r="R20" s="55" t="n">
        <f aca="false">O20*$K20/$I20</f>
        <v>0</v>
      </c>
      <c r="S20" s="53"/>
      <c r="T20" s="54" t="n">
        <f aca="false">Q20*$K20/$I20</f>
        <v>0</v>
      </c>
      <c r="U20" s="2" t="n">
        <v>99.5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52</v>
      </c>
      <c r="B21" s="19" t="s">
        <v>31</v>
      </c>
      <c r="C21" s="20" t="n">
        <v>17</v>
      </c>
      <c r="D21" s="19" t="n">
        <v>2.7277</v>
      </c>
      <c r="E21" s="19" t="n">
        <v>300</v>
      </c>
      <c r="F21" s="20" t="n">
        <v>2.9309</v>
      </c>
      <c r="G21" s="19" t="n">
        <f aca="false">1000-E21</f>
        <v>700</v>
      </c>
      <c r="H21" s="20" t="n">
        <v>3.4876</v>
      </c>
      <c r="I21" s="22" t="n">
        <f aca="false">F21-D21</f>
        <v>0.2032</v>
      </c>
      <c r="J21" s="22" t="n">
        <f aca="false">H21-F21</f>
        <v>0.5567</v>
      </c>
      <c r="K21" s="22" t="n">
        <f aca="false">J21+I21</f>
        <v>0.7599</v>
      </c>
      <c r="L21" s="23"/>
      <c r="M21" s="23"/>
      <c r="N21" s="23"/>
      <c r="O21" s="24" t="n">
        <f aca="false">L21/$F$2</f>
        <v>0</v>
      </c>
      <c r="P21" s="47"/>
      <c r="Q21" s="26" t="n">
        <f aca="false">N21/$G$2</f>
        <v>0</v>
      </c>
      <c r="R21" s="25" t="n">
        <f aca="false">O21*$K21/$I21</f>
        <v>0</v>
      </c>
      <c r="S21" s="47"/>
      <c r="T21" s="26" t="n">
        <f aca="false">Q21*$K21/$I21</f>
        <v>0</v>
      </c>
      <c r="U21" s="27"/>
      <c r="V21" s="27"/>
      <c r="W21" s="56" t="n">
        <f aca="false">AVERAGE(R21:R22)/100</f>
        <v>0</v>
      </c>
      <c r="X21" s="57"/>
      <c r="Y21" s="57" t="n">
        <f aca="false">AVERAGE(T21:T22)/100</f>
        <v>0</v>
      </c>
      <c r="Z21" s="29" t="n">
        <f aca="false">AVERAGE(U21:V22)/100</f>
        <v>0.954764</v>
      </c>
      <c r="AA21" s="2" t="n">
        <f aca="false">SUM(W21:Z21)</f>
        <v>0.954764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2.7236</v>
      </c>
      <c r="E22" s="20" t="n">
        <v>300</v>
      </c>
      <c r="F22" s="20" t="n">
        <v>2.9478</v>
      </c>
      <c r="G22" s="19" t="n">
        <f aca="false">1000-E22</f>
        <v>700</v>
      </c>
      <c r="H22" s="20" t="n">
        <v>3.5161</v>
      </c>
      <c r="I22" s="22" t="n">
        <f aca="false">F22-D22</f>
        <v>0.2242</v>
      </c>
      <c r="J22" s="22" t="n">
        <f aca="false">H22-F22</f>
        <v>0.5683</v>
      </c>
      <c r="K22" s="22" t="n">
        <f aca="false">J22+I22</f>
        <v>0.7925</v>
      </c>
      <c r="L22" s="23"/>
      <c r="M22" s="23"/>
      <c r="N22" s="23"/>
      <c r="O22" s="24" t="n">
        <f aca="false">L22/$F$2</f>
        <v>0</v>
      </c>
      <c r="P22" s="47"/>
      <c r="Q22" s="26" t="n">
        <f aca="false">N22/$G$2</f>
        <v>0</v>
      </c>
      <c r="R22" s="25" t="n">
        <f aca="false">O22*$K22/$I22</f>
        <v>0</v>
      </c>
      <c r="S22" s="47"/>
      <c r="T22" s="26" t="n">
        <f aca="false">Q22*$K22/$I22</f>
        <v>0</v>
      </c>
      <c r="U22" s="27" t="n">
        <v>96.4875</v>
      </c>
      <c r="V22" s="27" t="n">
        <v>94.4653</v>
      </c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2.7657</v>
      </c>
      <c r="E23" s="34" t="n">
        <v>100</v>
      </c>
      <c r="F23" s="34" t="n">
        <v>2.9728</v>
      </c>
      <c r="G23" s="30" t="n">
        <f aca="false">1000-E23</f>
        <v>900</v>
      </c>
      <c r="H23" s="34" t="n">
        <v>3.682</v>
      </c>
      <c r="I23" s="35" t="n">
        <f aca="false">F23-D23</f>
        <v>0.2071</v>
      </c>
      <c r="J23" s="35" t="n">
        <f aca="false">H23-F23</f>
        <v>0.7092</v>
      </c>
      <c r="K23" s="35" t="n">
        <f aca="false">J23+I23</f>
        <v>0.9163</v>
      </c>
      <c r="L23" s="36"/>
      <c r="M23" s="36"/>
      <c r="N23" s="36"/>
      <c r="O23" s="52" t="n">
        <f aca="false">L23/$F$2</f>
        <v>0</v>
      </c>
      <c r="P23" s="53"/>
      <c r="Q23" s="54" t="n">
        <f aca="false">N23/$G$2</f>
        <v>0</v>
      </c>
      <c r="R23" s="55" t="n">
        <f aca="false">O23*$K23/$I23</f>
        <v>0</v>
      </c>
      <c r="S23" s="53"/>
      <c r="T23" s="54" t="n">
        <f aca="false">Q23*$K23/$I23</f>
        <v>0</v>
      </c>
      <c r="U23" s="2" t="n">
        <v>5.7</v>
      </c>
      <c r="V23" s="2"/>
      <c r="W23" s="51" t="n">
        <f aca="false">AVERAGE(R23:R24)/100</f>
        <v>0</v>
      </c>
      <c r="Y23" s="1" t="n">
        <f aca="false">AVERAGE(T23:T24)/100</f>
        <v>0</v>
      </c>
      <c r="Z23" s="33" t="n">
        <f aca="false">AVERAGE(U23:V24)/100</f>
        <v>0.05666</v>
      </c>
      <c r="AA23" s="2" t="n">
        <f aca="false">SUM(W23:Z23)</f>
        <v>0.05666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2.7535</v>
      </c>
      <c r="E24" s="34" t="n">
        <v>100</v>
      </c>
      <c r="F24" s="34" t="n">
        <v>2.9725</v>
      </c>
      <c r="G24" s="30" t="n">
        <f aca="false">1000-E24</f>
        <v>900</v>
      </c>
      <c r="H24" s="34" t="n">
        <v>3.5466</v>
      </c>
      <c r="I24" s="35" t="n">
        <f aca="false">F24-D24</f>
        <v>0.219</v>
      </c>
      <c r="J24" s="35" t="n">
        <f aca="false">H24-F24</f>
        <v>0.5741</v>
      </c>
      <c r="K24" s="35" t="n">
        <f aca="false">J24+I24</f>
        <v>0.7931</v>
      </c>
      <c r="L24" s="36"/>
      <c r="M24" s="36"/>
      <c r="N24" s="36"/>
      <c r="O24" s="58" t="n">
        <f aca="false">L24/$F$2</f>
        <v>0</v>
      </c>
      <c r="P24" s="59"/>
      <c r="Q24" s="60" t="n">
        <f aca="false">N24/$G$2</f>
        <v>0</v>
      </c>
      <c r="R24" s="55" t="n">
        <f aca="false">O24*$K24/$I24</f>
        <v>0</v>
      </c>
      <c r="S24" s="53"/>
      <c r="T24" s="54" t="n">
        <f aca="false">Q24*$K24/$I24</f>
        <v>0</v>
      </c>
      <c r="U24" s="42" t="n">
        <v>5.632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2.7507</v>
      </c>
      <c r="F25" s="1" t="n">
        <v>3.0125</v>
      </c>
      <c r="G25" s="2" t="n">
        <f aca="false">1000-E25</f>
        <v>1000</v>
      </c>
      <c r="H25" s="1" t="n">
        <v>3.4537</v>
      </c>
      <c r="I25" s="1" t="n">
        <f aca="false">F25-D25</f>
        <v>0.2618</v>
      </c>
      <c r="J25" s="1" t="n">
        <f aca="false">H25-F25</f>
        <v>0.4412</v>
      </c>
      <c r="K25" s="1" t="n">
        <f aca="false">J25+I25</f>
        <v>0.703</v>
      </c>
      <c r="P25" s="1" t="n">
        <f aca="false">M25/$G$2</f>
        <v>0</v>
      </c>
      <c r="Q25" s="1" t="e">
        <f aca="false">N25/$H$2</f>
        <v>#DIV/0!</v>
      </c>
      <c r="S25" s="1" t="n">
        <f aca="false">P25*$K25/$I25</f>
        <v>0</v>
      </c>
      <c r="T25" s="1" t="e">
        <f aca="false">Q25*$K25/$I25</f>
        <v>#DIV/0!</v>
      </c>
      <c r="U25" s="1" t="n">
        <v>3.2005</v>
      </c>
      <c r="X25" s="1" t="n">
        <f aca="false">AVERAGE(S25:S26)/100</f>
        <v>0</v>
      </c>
      <c r="Y25" s="1" t="e">
        <f aca="false">AVERAGE(T25:T26)/100</f>
        <v>#DIV/0!</v>
      </c>
      <c r="Z25" s="1" t="n">
        <f aca="false">AVERAGE(U25:V26)/100</f>
        <v>0.0319855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2.7564</v>
      </c>
      <c r="F26" s="1" t="n">
        <v>3.04</v>
      </c>
      <c r="G26" s="2" t="n">
        <f aca="false">1000-E26</f>
        <v>1000</v>
      </c>
      <c r="H26" s="1" t="n">
        <v>3.5266</v>
      </c>
      <c r="I26" s="1" t="n">
        <f aca="false">F26-D26</f>
        <v>0.2836</v>
      </c>
      <c r="J26" s="1" t="n">
        <f aca="false">H26-F26</f>
        <v>0.4866</v>
      </c>
      <c r="K26" s="1" t="n">
        <f aca="false">J26+I26</f>
        <v>0.7702</v>
      </c>
      <c r="P26" s="1" t="n">
        <f aca="false">M26/$G$2</f>
        <v>0</v>
      </c>
      <c r="Q26" s="1" t="e">
        <f aca="false">N26/$H$2</f>
        <v>#DIV/0!</v>
      </c>
      <c r="S26" s="1" t="n">
        <f aca="false">P26*$K26/$I26</f>
        <v>0</v>
      </c>
      <c r="T26" s="1" t="e">
        <f aca="false">Q26*$K26/$I26</f>
        <v>#DIV/0!</v>
      </c>
      <c r="U26" s="1" t="n">
        <v>3.1966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2.7665</v>
      </c>
      <c r="F27" s="1" t="n">
        <v>3.0608</v>
      </c>
      <c r="G27" s="2" t="n">
        <f aca="false">1000-E27</f>
        <v>1000</v>
      </c>
      <c r="H27" s="1" t="n">
        <v>3.4632</v>
      </c>
      <c r="I27" s="1" t="n">
        <f aca="false">F27-D27</f>
        <v>0.2943</v>
      </c>
      <c r="J27" s="1" t="n">
        <f aca="false">H27-F27</f>
        <v>0.4024</v>
      </c>
      <c r="K27" s="1" t="n">
        <f aca="false">J27+I27</f>
        <v>0.6967</v>
      </c>
      <c r="P27" s="1" t="n">
        <f aca="false">M27/$G$2</f>
        <v>0</v>
      </c>
      <c r="Q27" s="1" t="e">
        <f aca="false">N27/$H$2</f>
        <v>#DIV/0!</v>
      </c>
      <c r="S27" s="1" t="n">
        <f aca="false">P27*$K27/$I27</f>
        <v>0</v>
      </c>
      <c r="T27" s="1" t="e">
        <f aca="false">Q27*$K27/$I27</f>
        <v>#DIV/0!</v>
      </c>
      <c r="X27" s="1" t="n">
        <f aca="false">AVERAGE(S27:S28)/100</f>
        <v>0</v>
      </c>
      <c r="Y27" s="1" t="e">
        <f aca="false">AVERAGE(T27:T28)/100</f>
        <v>#DIV/0!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2.7466</v>
      </c>
      <c r="F28" s="1" t="n">
        <v>3.0467</v>
      </c>
      <c r="G28" s="2" t="n">
        <f aca="false">1000-E28</f>
        <v>1000</v>
      </c>
      <c r="H28" s="1" t="n">
        <v>3.532</v>
      </c>
      <c r="I28" s="1" t="n">
        <f aca="false">F28-D28</f>
        <v>0.3001</v>
      </c>
      <c r="J28" s="1" t="n">
        <f aca="false">H28-F28</f>
        <v>0.4853</v>
      </c>
      <c r="K28" s="1" t="n">
        <f aca="false">J28+I28</f>
        <v>0.7854</v>
      </c>
      <c r="P28" s="1" t="n">
        <f aca="false">M28/$G$2</f>
        <v>0</v>
      </c>
      <c r="Q28" s="1" t="e">
        <f aca="false">N28/$H$2</f>
        <v>#DIV/0!</v>
      </c>
      <c r="S28" s="1" t="n">
        <f aca="false">P28*$K28/$I28</f>
        <v>0</v>
      </c>
      <c r="T28" s="1" t="e">
        <f aca="false">Q28*$K28/$I28</f>
        <v>#DIV/0!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9" activeCellId="0" sqref="U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3.81"/>
    <col collapsed="false" customWidth="true" hidden="false" outlineLevel="0" max="9" min="9" style="1" width="10.76"/>
    <col collapsed="false" customWidth="true" hidden="false" outlineLevel="0" max="10" min="10" style="1" width="11.17"/>
    <col collapsed="false" customWidth="true" hidden="false" outlineLevel="0" max="11" min="11" style="1" width="11.0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53</v>
      </c>
    </row>
    <row r="2" customFormat="false" ht="14.25" hidden="false" customHeight="true" outlineLevel="0" collapsed="false">
      <c r="E2" s="1" t="s">
        <v>2</v>
      </c>
      <c r="F2" s="1" t="n">
        <v>187.3142</v>
      </c>
      <c r="G2" s="2" t="n">
        <v>176.3849</v>
      </c>
      <c r="H2" s="4"/>
    </row>
    <row r="3" customFormat="false" ht="14.25" hidden="false" customHeight="true" outlineLevel="0" collapsed="false">
      <c r="M3" s="1" t="s">
        <v>3</v>
      </c>
      <c r="N3" s="1" t="s">
        <v>54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55</v>
      </c>
      <c r="B5" s="19" t="s">
        <v>31</v>
      </c>
      <c r="C5" s="20" t="n">
        <v>1</v>
      </c>
      <c r="D5" s="21" t="n">
        <v>2.8196</v>
      </c>
      <c r="E5" s="19" t="n">
        <v>300</v>
      </c>
      <c r="F5" s="20" t="n">
        <v>3.0137</v>
      </c>
      <c r="G5" s="19" t="n">
        <f aca="false">1000-E5</f>
        <v>700</v>
      </c>
      <c r="H5" s="20" t="n">
        <v>3.5711</v>
      </c>
      <c r="I5" s="22" t="n">
        <f aca="false">F5-D5</f>
        <v>0.1941</v>
      </c>
      <c r="J5" s="22" t="n">
        <f aca="false">H5-F5</f>
        <v>0.5574</v>
      </c>
      <c r="K5" s="22" t="n">
        <f aca="false">J5+I5</f>
        <v>0.7515</v>
      </c>
      <c r="L5" s="23"/>
      <c r="M5" s="23"/>
      <c r="N5" s="23"/>
      <c r="O5" s="24" t="n">
        <f aca="false">L5/$F$2</f>
        <v>0</v>
      </c>
      <c r="P5" s="47"/>
      <c r="Q5" s="26" t="n">
        <f aca="false">N5/$G$2</f>
        <v>0</v>
      </c>
      <c r="R5" s="25" t="n">
        <f aca="false">O5*$K5/$I5</f>
        <v>0</v>
      </c>
      <c r="S5" s="47"/>
      <c r="T5" s="26" t="n">
        <f aca="false">Q5*$K5/$I5</f>
        <v>0</v>
      </c>
      <c r="U5" s="27" t="n">
        <v>96.2569</v>
      </c>
      <c r="V5" s="27"/>
      <c r="W5" s="48" t="n">
        <f aca="false">AVERAGE(R5:R6)/100</f>
        <v>0</v>
      </c>
      <c r="X5" s="49"/>
      <c r="Y5" s="49" t="n">
        <f aca="false">AVERAGE(T5:T6)/100</f>
        <v>0</v>
      </c>
      <c r="Z5" s="50" t="n">
        <f aca="false">AVERAGE(U5:V6)/100</f>
        <v>0.97173</v>
      </c>
      <c r="AA5" s="2" t="n">
        <f aca="false">SUM(W5:Z5)</f>
        <v>0.97173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2.8655</v>
      </c>
      <c r="E6" s="20" t="n">
        <v>300</v>
      </c>
      <c r="F6" s="20" t="n">
        <v>3.0706</v>
      </c>
      <c r="G6" s="19" t="n">
        <f aca="false">1000-E6</f>
        <v>700</v>
      </c>
      <c r="H6" s="20" t="n">
        <v>3.6826</v>
      </c>
      <c r="I6" s="22" t="n">
        <f aca="false">F6-D6</f>
        <v>0.2051</v>
      </c>
      <c r="J6" s="22" t="n">
        <f aca="false">H6-F6</f>
        <v>0.612</v>
      </c>
      <c r="K6" s="22" t="n">
        <f aca="false">J6+I6</f>
        <v>0.8171</v>
      </c>
      <c r="L6" s="23"/>
      <c r="M6" s="23"/>
      <c r="N6" s="23"/>
      <c r="O6" s="24" t="n">
        <f aca="false">L6/$F$2</f>
        <v>0</v>
      </c>
      <c r="P6" s="47"/>
      <c r="Q6" s="26" t="n">
        <f aca="false">N6/$G$2</f>
        <v>0</v>
      </c>
      <c r="R6" s="25" t="n">
        <f aca="false">O6*$K6/$I6</f>
        <v>0</v>
      </c>
      <c r="S6" s="47"/>
      <c r="T6" s="26" t="n">
        <f aca="false">Q6*$K6/$I6</f>
        <v>0</v>
      </c>
      <c r="U6" s="27" t="n">
        <v>98.0891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2.7973</v>
      </c>
      <c r="E7" s="34" t="n">
        <v>100</v>
      </c>
      <c r="F7" s="34" t="n">
        <v>2.9822</v>
      </c>
      <c r="G7" s="30" t="n">
        <f aca="false">1000-E7</f>
        <v>900</v>
      </c>
      <c r="H7" s="34" t="n">
        <v>3.5877</v>
      </c>
      <c r="I7" s="35" t="n">
        <f aca="false">F7-D7</f>
        <v>0.1849</v>
      </c>
      <c r="J7" s="35" t="n">
        <f aca="false">H7-F7</f>
        <v>0.6055</v>
      </c>
      <c r="K7" s="35" t="n">
        <f aca="false">J7+I7</f>
        <v>0.7904</v>
      </c>
      <c r="N7" s="36"/>
      <c r="O7" s="52" t="n">
        <f aca="false">L7/$F$2</f>
        <v>0</v>
      </c>
      <c r="P7" s="53"/>
      <c r="Q7" s="54" t="n">
        <f aca="false">N7/$G$2</f>
        <v>0</v>
      </c>
      <c r="R7" s="55" t="n">
        <f aca="false">O7*$K7/$I7</f>
        <v>0</v>
      </c>
      <c r="S7" s="53"/>
      <c r="T7" s="54" t="n">
        <f aca="false">Q7*$K7/$I7</f>
        <v>0</v>
      </c>
      <c r="U7" s="2" t="n">
        <v>7.7273</v>
      </c>
      <c r="V7" s="2"/>
      <c r="W7" s="51" t="n">
        <f aca="false">AVERAGE(R7:R8)/100</f>
        <v>0</v>
      </c>
      <c r="Y7" s="1" t="n">
        <f aca="false">AVERAGE(T7:T8)/100</f>
        <v>0</v>
      </c>
      <c r="Z7" s="33" t="n">
        <f aca="false">AVERAGE(U7:V8)/100</f>
        <v>0.0787575</v>
      </c>
      <c r="AA7" s="2" t="n">
        <f aca="false">SUM(W7:Z7)</f>
        <v>0.0787575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2.7953</v>
      </c>
      <c r="E8" s="34" t="n">
        <v>100</v>
      </c>
      <c r="F8" s="34" t="n">
        <v>3.0093</v>
      </c>
      <c r="G8" s="30" t="n">
        <f aca="false">1000-E8</f>
        <v>900</v>
      </c>
      <c r="H8" s="34" t="n">
        <v>3.5658</v>
      </c>
      <c r="I8" s="35" t="n">
        <f aca="false">F8-D8</f>
        <v>0.214</v>
      </c>
      <c r="J8" s="35" t="n">
        <f aca="false">H8-F8</f>
        <v>0.5565</v>
      </c>
      <c r="K8" s="35" t="n">
        <f aca="false">J8+I8</f>
        <v>0.7705</v>
      </c>
      <c r="L8" s="36"/>
      <c r="M8" s="36"/>
      <c r="N8" s="36"/>
      <c r="O8" s="52" t="n">
        <f aca="false">L8/$F$2</f>
        <v>0</v>
      </c>
      <c r="P8" s="53"/>
      <c r="Q8" s="54" t="n">
        <f aca="false">N8/$G$2</f>
        <v>0</v>
      </c>
      <c r="R8" s="55" t="n">
        <f aca="false">O8*$K8/$I8</f>
        <v>0</v>
      </c>
      <c r="S8" s="53"/>
      <c r="T8" s="54" t="n">
        <f aca="false">Q8*$K8/$I8</f>
        <v>0</v>
      </c>
      <c r="U8" s="2" t="n">
        <v>8.0242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56</v>
      </c>
      <c r="B9" s="19" t="s">
        <v>31</v>
      </c>
      <c r="C9" s="20" t="n">
        <v>5</v>
      </c>
      <c r="D9" s="19" t="n">
        <v>2.7911</v>
      </c>
      <c r="E9" s="19" t="n">
        <v>300</v>
      </c>
      <c r="F9" s="20" t="n">
        <v>2.9917</v>
      </c>
      <c r="G9" s="19" t="n">
        <f aca="false">1000-E9</f>
        <v>700</v>
      </c>
      <c r="H9" s="20" t="n">
        <v>3.6113</v>
      </c>
      <c r="I9" s="22" t="n">
        <f aca="false">F9-D9</f>
        <v>0.2006</v>
      </c>
      <c r="J9" s="22" t="n">
        <f aca="false">H9-F9</f>
        <v>0.6196</v>
      </c>
      <c r="K9" s="22" t="n">
        <f aca="false">J9+I9</f>
        <v>0.8202</v>
      </c>
      <c r="L9" s="23"/>
      <c r="M9" s="23"/>
      <c r="N9" s="23"/>
      <c r="O9" s="24" t="n">
        <f aca="false">L9/$F$2</f>
        <v>0</v>
      </c>
      <c r="P9" s="47"/>
      <c r="Q9" s="26" t="n">
        <f aca="false">N9/$G$2</f>
        <v>0</v>
      </c>
      <c r="R9" s="25" t="n">
        <f aca="false">O9*$K9/$I9</f>
        <v>0</v>
      </c>
      <c r="S9" s="47"/>
      <c r="T9" s="26" t="n">
        <f aca="false">Q9*$K9/$I9</f>
        <v>0</v>
      </c>
      <c r="U9" s="27" t="n">
        <v>98.7791</v>
      </c>
      <c r="V9" s="27"/>
      <c r="W9" s="56" t="n">
        <f aca="false">AVERAGE(R9:R10)/100</f>
        <v>0</v>
      </c>
      <c r="X9" s="57"/>
      <c r="Y9" s="57" t="n">
        <f aca="false">AVERAGE(T9:T10)/100</f>
        <v>0</v>
      </c>
      <c r="Z9" s="29" t="n">
        <f aca="false">AVERAGE(U9:V10)/100</f>
        <v>0.9803175</v>
      </c>
      <c r="AA9" s="2" t="n">
        <f aca="false">SUM(W9:Z9)</f>
        <v>0.9803175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2.8057</v>
      </c>
      <c r="E10" s="20" t="n">
        <v>300</v>
      </c>
      <c r="F10" s="20" t="n">
        <v>3.0124</v>
      </c>
      <c r="G10" s="19" t="n">
        <f aca="false">1000-E10</f>
        <v>700</v>
      </c>
      <c r="H10" s="20" t="n">
        <v>3.6202</v>
      </c>
      <c r="I10" s="22" t="n">
        <f aca="false">F10-D10</f>
        <v>0.2067</v>
      </c>
      <c r="J10" s="22" t="n">
        <f aca="false">H10-F10</f>
        <v>0.6078</v>
      </c>
      <c r="K10" s="22" t="n">
        <f aca="false">J10+I10</f>
        <v>0.8145</v>
      </c>
      <c r="L10" s="23"/>
      <c r="M10" s="23"/>
      <c r="N10" s="23"/>
      <c r="O10" s="24" t="n">
        <f aca="false">L10/$F$2</f>
        <v>0</v>
      </c>
      <c r="P10" s="47"/>
      <c r="Q10" s="26" t="n">
        <f aca="false">N10/$G$2</f>
        <v>0</v>
      </c>
      <c r="R10" s="25" t="n">
        <f aca="false">O10*$K10/$I10</f>
        <v>0</v>
      </c>
      <c r="S10" s="47"/>
      <c r="T10" s="26" t="n">
        <f aca="false">Q10*$K10/$I10</f>
        <v>0</v>
      </c>
      <c r="U10" s="27" t="n">
        <v>97.2844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2.8658</v>
      </c>
      <c r="E11" s="34" t="n">
        <v>100</v>
      </c>
      <c r="F11" s="34" t="n">
        <v>3.053</v>
      </c>
      <c r="G11" s="30" t="n">
        <f aca="false">1000-E11</f>
        <v>900</v>
      </c>
      <c r="H11" s="34" t="n">
        <v>3.678</v>
      </c>
      <c r="I11" s="35" t="n">
        <f aca="false">F11-D11</f>
        <v>0.1872</v>
      </c>
      <c r="J11" s="35" t="n">
        <f aca="false">H11-F11</f>
        <v>0.625</v>
      </c>
      <c r="K11" s="35" t="n">
        <f aca="false">J11+I11</f>
        <v>0.8122</v>
      </c>
      <c r="L11" s="40"/>
      <c r="M11" s="40"/>
      <c r="N11" s="36"/>
      <c r="O11" s="52" t="n">
        <f aca="false">L11/$F$2</f>
        <v>0</v>
      </c>
      <c r="P11" s="53"/>
      <c r="Q11" s="54" t="n">
        <f aca="false">N11/$G$2</f>
        <v>0</v>
      </c>
      <c r="R11" s="55" t="n">
        <f aca="false">O11*$K11/$I11</f>
        <v>0</v>
      </c>
      <c r="S11" s="53"/>
      <c r="T11" s="54" t="n">
        <f aca="false">Q11*$K11/$I11</f>
        <v>0</v>
      </c>
      <c r="U11" s="2" t="n">
        <v>2.9293</v>
      </c>
      <c r="V11" s="2"/>
      <c r="W11" s="51" t="n">
        <f aca="false">AVERAGE(R11:R12)/100</f>
        <v>0</v>
      </c>
      <c r="Y11" s="1" t="n">
        <f aca="false">AVERAGE(T11:T12)/100</f>
        <v>0</v>
      </c>
      <c r="Z11" s="33" t="n">
        <f aca="false">AVERAGE(U11:V12)/100</f>
        <v>0.02924</v>
      </c>
      <c r="AA11" s="2" t="n">
        <f aca="false">SUM(W11:Z11)</f>
        <v>0.02924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2.8543</v>
      </c>
      <c r="E12" s="34" t="n">
        <v>100</v>
      </c>
      <c r="F12" s="34" t="n">
        <v>3.0652</v>
      </c>
      <c r="G12" s="30" t="n">
        <f aca="false">1000-E12</f>
        <v>900</v>
      </c>
      <c r="H12" s="34" t="n">
        <v>3.6767</v>
      </c>
      <c r="I12" s="35" t="n">
        <f aca="false">F12-D12</f>
        <v>0.2109</v>
      </c>
      <c r="J12" s="35" t="n">
        <f aca="false">H12-F12</f>
        <v>0.6115</v>
      </c>
      <c r="K12" s="35" t="n">
        <f aca="false">J12+I12</f>
        <v>0.8224</v>
      </c>
      <c r="L12" s="36"/>
      <c r="M12" s="36"/>
      <c r="N12" s="36"/>
      <c r="O12" s="52" t="n">
        <f aca="false">L12/$F$2</f>
        <v>0</v>
      </c>
      <c r="P12" s="53"/>
      <c r="Q12" s="54" t="n">
        <f aca="false">N12/$G$2</f>
        <v>0</v>
      </c>
      <c r="R12" s="55" t="n">
        <f aca="false">O12*$K12/$I12</f>
        <v>0</v>
      </c>
      <c r="S12" s="53"/>
      <c r="T12" s="54" t="n">
        <f aca="false">Q12*$K12/$I12</f>
        <v>0</v>
      </c>
      <c r="U12" s="2" t="n">
        <v>2.9187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57</v>
      </c>
      <c r="B13" s="19" t="s">
        <v>31</v>
      </c>
      <c r="C13" s="20" t="n">
        <v>9</v>
      </c>
      <c r="D13" s="19" t="n">
        <v>2.8603</v>
      </c>
      <c r="E13" s="19" t="n">
        <v>300</v>
      </c>
      <c r="F13" s="20" t="n">
        <v>3.0593</v>
      </c>
      <c r="G13" s="19" t="n">
        <f aca="false">1000-E13</f>
        <v>700</v>
      </c>
      <c r="H13" s="20" t="n">
        <v>3.6801</v>
      </c>
      <c r="I13" s="22" t="n">
        <f aca="false">F13-D13</f>
        <v>0.199</v>
      </c>
      <c r="J13" s="22" t="n">
        <f aca="false">H13-F13</f>
        <v>0.6208</v>
      </c>
      <c r="K13" s="22" t="n">
        <f aca="false">J13+I13</f>
        <v>0.8198</v>
      </c>
      <c r="L13" s="23"/>
      <c r="M13" s="23"/>
      <c r="N13" s="23"/>
      <c r="O13" s="24" t="n">
        <f aca="false">L13/$F$2</f>
        <v>0</v>
      </c>
      <c r="P13" s="47"/>
      <c r="Q13" s="26" t="n">
        <f aca="false">N13/$G$2</f>
        <v>0</v>
      </c>
      <c r="R13" s="25" t="n">
        <f aca="false">O13*$K13/$I13</f>
        <v>0</v>
      </c>
      <c r="S13" s="47"/>
      <c r="T13" s="26" t="n">
        <f aca="false">Q13*$K13/$I13</f>
        <v>0</v>
      </c>
      <c r="U13" s="27" t="n">
        <v>97.4976</v>
      </c>
      <c r="V13" s="27"/>
      <c r="W13" s="56" t="n">
        <f aca="false">AVERAGE(R13:R14)/100</f>
        <v>0</v>
      </c>
      <c r="X13" s="57"/>
      <c r="Y13" s="57" t="n">
        <f aca="false">AVERAGE(T13:T14)/100</f>
        <v>0</v>
      </c>
      <c r="Z13" s="29" t="n">
        <f aca="false">AVERAGE(U13:V14)/100</f>
        <v>0.9728655</v>
      </c>
      <c r="AA13" s="2" t="n">
        <f aca="false">SUM(W13:Z13)</f>
        <v>0.9728655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2.8429</v>
      </c>
      <c r="E14" s="20" t="n">
        <v>300</v>
      </c>
      <c r="F14" s="20" t="n">
        <v>3.046</v>
      </c>
      <c r="G14" s="19" t="n">
        <f aca="false">1000-E14</f>
        <v>700</v>
      </c>
      <c r="H14" s="20" t="n">
        <v>3.6531</v>
      </c>
      <c r="I14" s="22" t="n">
        <f aca="false">F14-D14</f>
        <v>0.2031</v>
      </c>
      <c r="J14" s="22" t="n">
        <f aca="false">H14-F14</f>
        <v>0.6071</v>
      </c>
      <c r="K14" s="22" t="n">
        <f aca="false">J14+I14</f>
        <v>0.8102</v>
      </c>
      <c r="L14" s="23"/>
      <c r="M14" s="23"/>
      <c r="N14" s="23"/>
      <c r="O14" s="24" t="n">
        <f aca="false">L14/$F$2</f>
        <v>0</v>
      </c>
      <c r="P14" s="47"/>
      <c r="Q14" s="26" t="n">
        <f aca="false">N14/$G$2</f>
        <v>0</v>
      </c>
      <c r="R14" s="25" t="n">
        <f aca="false">O14*$K14/$I14</f>
        <v>0</v>
      </c>
      <c r="S14" s="47"/>
      <c r="T14" s="26" t="n">
        <f aca="false">Q14*$K14/$I14</f>
        <v>0</v>
      </c>
      <c r="U14" s="27" t="n">
        <v>97.0755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2.8676</v>
      </c>
      <c r="E15" s="34" t="n">
        <v>100</v>
      </c>
      <c r="F15" s="34" t="n">
        <v>3.0561</v>
      </c>
      <c r="G15" s="30" t="n">
        <f aca="false">1000-E15</f>
        <v>900</v>
      </c>
      <c r="H15" s="34" t="n">
        <v>3.6339</v>
      </c>
      <c r="I15" s="35" t="n">
        <f aca="false">F15-D15</f>
        <v>0.1885</v>
      </c>
      <c r="J15" s="35" t="n">
        <f aca="false">H15-F15</f>
        <v>0.5778</v>
      </c>
      <c r="K15" s="35" t="n">
        <f aca="false">J15+I15</f>
        <v>0.7663</v>
      </c>
      <c r="L15" s="36"/>
      <c r="M15" s="36"/>
      <c r="N15" s="41"/>
      <c r="O15" s="52" t="n">
        <f aca="false">L15/$F$2</f>
        <v>0</v>
      </c>
      <c r="P15" s="53"/>
      <c r="Q15" s="54" t="n">
        <f aca="false">N15/$G$2</f>
        <v>0</v>
      </c>
      <c r="R15" s="55" t="n">
        <f aca="false">O15*$K15/$I15</f>
        <v>0</v>
      </c>
      <c r="S15" s="53"/>
      <c r="T15" s="54" t="n">
        <f aca="false">Q15*$K15/$I15</f>
        <v>0</v>
      </c>
      <c r="U15" s="2" t="n">
        <v>4.1294</v>
      </c>
      <c r="V15" s="2"/>
      <c r="W15" s="51" t="n">
        <f aca="false">AVERAGE(R15:R16)/100</f>
        <v>0</v>
      </c>
      <c r="Y15" s="1" t="n">
        <f aca="false">AVERAGE(T15:T16)/100</f>
        <v>0</v>
      </c>
      <c r="Z15" s="33" t="n">
        <f aca="false">AVERAGE(U15:V16)/100</f>
        <v>0.04192</v>
      </c>
      <c r="AA15" s="2" t="n">
        <f aca="false">SUM(W15:Z15)</f>
        <v>0.04192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2.8544</v>
      </c>
      <c r="E16" s="34" t="n">
        <v>100</v>
      </c>
      <c r="F16" s="34" t="n">
        <v>3.0582</v>
      </c>
      <c r="G16" s="30" t="n">
        <f aca="false">1000-E16</f>
        <v>900</v>
      </c>
      <c r="H16" s="34" t="n">
        <v>3.6349</v>
      </c>
      <c r="I16" s="35" t="n">
        <f aca="false">F16-D16</f>
        <v>0.2038</v>
      </c>
      <c r="J16" s="35" t="n">
        <f aca="false">H16-F16</f>
        <v>0.5767</v>
      </c>
      <c r="K16" s="35" t="n">
        <f aca="false">J16+I16</f>
        <v>0.7805</v>
      </c>
      <c r="L16" s="36"/>
      <c r="M16" s="36"/>
      <c r="N16" s="36"/>
      <c r="O16" s="52" t="n">
        <f aca="false">L16/$F$2</f>
        <v>0</v>
      </c>
      <c r="P16" s="53"/>
      <c r="Q16" s="54" t="n">
        <f aca="false">N16/$G$2</f>
        <v>0</v>
      </c>
      <c r="R16" s="55" t="n">
        <f aca="false">O16*$K16/$I16</f>
        <v>0</v>
      </c>
      <c r="S16" s="53"/>
      <c r="T16" s="54" t="n">
        <f aca="false">Q16*$K16/$I16</f>
        <v>0</v>
      </c>
      <c r="U16" s="2" t="n">
        <v>4.2546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58</v>
      </c>
      <c r="B17" s="19" t="s">
        <v>31</v>
      </c>
      <c r="C17" s="20" t="n">
        <v>13</v>
      </c>
      <c r="D17" s="19" t="n">
        <v>2.7934</v>
      </c>
      <c r="E17" s="19" t="n">
        <v>300</v>
      </c>
      <c r="F17" s="20" t="n">
        <v>2.9943</v>
      </c>
      <c r="G17" s="19" t="n">
        <f aca="false">1000-E17</f>
        <v>700</v>
      </c>
      <c r="H17" s="20" t="n">
        <v>3.616</v>
      </c>
      <c r="I17" s="22" t="n">
        <f aca="false">F17-D17</f>
        <v>0.2009</v>
      </c>
      <c r="J17" s="22" t="n">
        <f aca="false">H17-F17</f>
        <v>0.6217</v>
      </c>
      <c r="K17" s="22" t="n">
        <f aca="false">J17+I17</f>
        <v>0.8226</v>
      </c>
      <c r="L17" s="23"/>
      <c r="M17" s="23"/>
      <c r="N17" s="23"/>
      <c r="O17" s="24" t="n">
        <f aca="false">L17/$F$2</f>
        <v>0</v>
      </c>
      <c r="P17" s="47"/>
      <c r="Q17" s="26" t="n">
        <f aca="false">N17/$G$2</f>
        <v>0</v>
      </c>
      <c r="R17" s="25" t="n">
        <f aca="false">O17*$K17/$I17</f>
        <v>0</v>
      </c>
      <c r="S17" s="47"/>
      <c r="T17" s="26" t="n">
        <f aca="false">Q17*$K17/$I17</f>
        <v>0</v>
      </c>
      <c r="U17" s="27" t="n">
        <v>98.3636</v>
      </c>
      <c r="V17" s="27"/>
      <c r="W17" s="56" t="n">
        <f aca="false">AVERAGE(R17:R18)/100</f>
        <v>0</v>
      </c>
      <c r="X17" s="57"/>
      <c r="Y17" s="57" t="n">
        <f aca="false">AVERAGE(T17:T18)/100</f>
        <v>0</v>
      </c>
      <c r="Z17" s="29" t="n">
        <f aca="false">AVERAGE(U17:V18)/100</f>
        <v>0.9848205</v>
      </c>
      <c r="AA17" s="2" t="n">
        <f aca="false">SUM(W17:Z17)</f>
        <v>0.9848205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2.8597</v>
      </c>
      <c r="E18" s="20" t="n">
        <v>300</v>
      </c>
      <c r="F18" s="20" t="n">
        <v>3.0662</v>
      </c>
      <c r="G18" s="19" t="n">
        <f aca="false">1000-E18</f>
        <v>700</v>
      </c>
      <c r="H18" s="20" t="n">
        <v>3.6961</v>
      </c>
      <c r="I18" s="22" t="n">
        <f aca="false">F18-D18</f>
        <v>0.2065</v>
      </c>
      <c r="J18" s="22" t="n">
        <f aca="false">H18-F18</f>
        <v>0.6299</v>
      </c>
      <c r="K18" s="22" t="n">
        <f aca="false">J18+I18</f>
        <v>0.8364</v>
      </c>
      <c r="L18" s="23"/>
      <c r="M18" s="23"/>
      <c r="N18" s="23"/>
      <c r="O18" s="24" t="n">
        <f aca="false">L18/$F$2</f>
        <v>0</v>
      </c>
      <c r="P18" s="47"/>
      <c r="Q18" s="26" t="n">
        <f aca="false">N18/$G$2</f>
        <v>0</v>
      </c>
      <c r="R18" s="25" t="n">
        <f aca="false">O18*$K18/$I18</f>
        <v>0</v>
      </c>
      <c r="S18" s="47"/>
      <c r="T18" s="26" t="n">
        <f aca="false">Q18*$K18/$I18</f>
        <v>0</v>
      </c>
      <c r="U18" s="27" t="n">
        <v>98.6005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2.797</v>
      </c>
      <c r="E19" s="34" t="n">
        <v>100</v>
      </c>
      <c r="F19" s="34" t="n">
        <v>2.9859</v>
      </c>
      <c r="G19" s="30" t="n">
        <f aca="false">1000-E19</f>
        <v>900</v>
      </c>
      <c r="H19" s="34" t="n">
        <v>3.5978</v>
      </c>
      <c r="I19" s="35" t="n">
        <f aca="false">F19-D19</f>
        <v>0.1889</v>
      </c>
      <c r="J19" s="35" t="n">
        <f aca="false">H19-F19</f>
        <v>0.6119</v>
      </c>
      <c r="K19" s="35" t="n">
        <f aca="false">J19+I19</f>
        <v>0.8008</v>
      </c>
      <c r="L19" s="36"/>
      <c r="M19" s="36"/>
      <c r="N19" s="36"/>
      <c r="O19" s="52" t="n">
        <f aca="false">L19/$F$2</f>
        <v>0</v>
      </c>
      <c r="P19" s="53"/>
      <c r="Q19" s="54" t="n">
        <f aca="false">N19/$G$2</f>
        <v>0</v>
      </c>
      <c r="R19" s="55" t="n">
        <f aca="false">O19*$K19/$I19</f>
        <v>0</v>
      </c>
      <c r="S19" s="53"/>
      <c r="T19" s="54" t="n">
        <f aca="false">Q19*$K19/$I19</f>
        <v>0</v>
      </c>
      <c r="U19" s="2" t="n">
        <v>5.4714</v>
      </c>
      <c r="V19" s="2"/>
      <c r="W19" s="51" t="n">
        <f aca="false">AVERAGE(R19:R20)/100</f>
        <v>0</v>
      </c>
      <c r="Y19" s="1" t="n">
        <f aca="false">AVERAGE(T19:T20)/100</f>
        <v>0</v>
      </c>
      <c r="Z19" s="33" t="n">
        <f aca="false">AVERAGE(U19:V20)/100</f>
        <v>0.0557895</v>
      </c>
      <c r="AA19" s="2" t="n">
        <f aca="false">SUM(W19:Z19)</f>
        <v>0.0557895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2.844</v>
      </c>
      <c r="E20" s="34" t="n">
        <v>100</v>
      </c>
      <c r="F20" s="34" t="n">
        <v>3.0682</v>
      </c>
      <c r="G20" s="30" t="n">
        <f aca="false">1000-E20</f>
        <v>900</v>
      </c>
      <c r="H20" s="34" t="n">
        <v>3.6788</v>
      </c>
      <c r="I20" s="35" t="n">
        <f aca="false">F20-D20</f>
        <v>0.2242</v>
      </c>
      <c r="J20" s="35" t="n">
        <f aca="false">H20-F20</f>
        <v>0.6106</v>
      </c>
      <c r="K20" s="35" t="n">
        <f aca="false">J20+I20</f>
        <v>0.8348</v>
      </c>
      <c r="L20" s="36"/>
      <c r="M20" s="36"/>
      <c r="N20" s="36"/>
      <c r="O20" s="52" t="n">
        <f aca="false">L20/$F$2</f>
        <v>0</v>
      </c>
      <c r="P20" s="53"/>
      <c r="Q20" s="54" t="n">
        <f aca="false">N20/$G$2</f>
        <v>0</v>
      </c>
      <c r="R20" s="55" t="n">
        <f aca="false">O20*$K20/$I20</f>
        <v>0</v>
      </c>
      <c r="S20" s="53"/>
      <c r="T20" s="54" t="n">
        <f aca="false">Q20*$K20/$I20</f>
        <v>0</v>
      </c>
      <c r="U20" s="2" t="n">
        <v>5.6865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59</v>
      </c>
      <c r="B21" s="19" t="s">
        <v>31</v>
      </c>
      <c r="C21" s="20" t="n">
        <v>17</v>
      </c>
      <c r="D21" s="19" t="n">
        <v>2.8171</v>
      </c>
      <c r="E21" s="19" t="n">
        <v>300</v>
      </c>
      <c r="F21" s="20" t="n">
        <v>3.0182</v>
      </c>
      <c r="G21" s="19" t="n">
        <f aca="false">1000-E21</f>
        <v>700</v>
      </c>
      <c r="H21" s="20" t="n">
        <v>3.6413</v>
      </c>
      <c r="I21" s="22" t="n">
        <f aca="false">F21-D21</f>
        <v>0.2011</v>
      </c>
      <c r="J21" s="22" t="n">
        <f aca="false">H21-F21</f>
        <v>0.6231</v>
      </c>
      <c r="K21" s="22" t="n">
        <f aca="false">J21+I21</f>
        <v>0.8242</v>
      </c>
      <c r="L21" s="23"/>
      <c r="M21" s="23"/>
      <c r="N21" s="23"/>
      <c r="O21" s="24" t="n">
        <f aca="false">L21/$F$2</f>
        <v>0</v>
      </c>
      <c r="P21" s="47"/>
      <c r="Q21" s="26" t="n">
        <f aca="false">N21/$G$2</f>
        <v>0</v>
      </c>
      <c r="R21" s="25" t="n">
        <f aca="false">O21*$K21/$I21</f>
        <v>0</v>
      </c>
      <c r="S21" s="47"/>
      <c r="T21" s="26" t="n">
        <f aca="false">Q21*$K21/$I21</f>
        <v>0</v>
      </c>
      <c r="U21" s="27" t="n">
        <v>99.6359</v>
      </c>
      <c r="V21" s="27"/>
      <c r="W21" s="56" t="n">
        <f aca="false">AVERAGE(R21:R22)/100</f>
        <v>0</v>
      </c>
      <c r="X21" s="57"/>
      <c r="Y21" s="57" t="n">
        <f aca="false">AVERAGE(T21:T22)/100</f>
        <v>0</v>
      </c>
      <c r="Z21" s="29" t="n">
        <f aca="false">AVERAGE(U21:V22)/100</f>
        <v>0.9930095</v>
      </c>
      <c r="AA21" s="2" t="n">
        <f aca="false">SUM(W21:Z21)</f>
        <v>0.9930095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2.8546</v>
      </c>
      <c r="E22" s="20" t="n">
        <v>300</v>
      </c>
      <c r="F22" s="20" t="n">
        <v>3.0634</v>
      </c>
      <c r="G22" s="19" t="n">
        <f aca="false">1000-E22</f>
        <v>700</v>
      </c>
      <c r="H22" s="20" t="n">
        <v>3.6714</v>
      </c>
      <c r="I22" s="22" t="n">
        <f aca="false">F22-D22</f>
        <v>0.2088</v>
      </c>
      <c r="J22" s="22" t="n">
        <f aca="false">H22-F22</f>
        <v>0.608</v>
      </c>
      <c r="K22" s="22" t="n">
        <f aca="false">J22+I22</f>
        <v>0.8168</v>
      </c>
      <c r="L22" s="23"/>
      <c r="M22" s="23"/>
      <c r="N22" s="23"/>
      <c r="O22" s="24" t="n">
        <f aca="false">L22/$F$2</f>
        <v>0</v>
      </c>
      <c r="P22" s="47"/>
      <c r="Q22" s="26" t="n">
        <f aca="false">N22/$G$2</f>
        <v>0</v>
      </c>
      <c r="R22" s="25" t="n">
        <f aca="false">O22*$K22/$I22</f>
        <v>0</v>
      </c>
      <c r="S22" s="47"/>
      <c r="T22" s="26" t="n">
        <f aca="false">Q22*$K22/$I22</f>
        <v>0</v>
      </c>
      <c r="U22" s="27" t="n">
        <v>98.966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2.8415</v>
      </c>
      <c r="E23" s="34" t="n">
        <v>100</v>
      </c>
      <c r="F23" s="34" t="n">
        <v>3.0318</v>
      </c>
      <c r="G23" s="30" t="n">
        <f aca="false">1000-E23</f>
        <v>900</v>
      </c>
      <c r="H23" s="34" t="n">
        <v>3.6222</v>
      </c>
      <c r="I23" s="35" t="n">
        <f aca="false">F23-D23</f>
        <v>0.1903</v>
      </c>
      <c r="J23" s="35" t="n">
        <f aca="false">H23-F23</f>
        <v>0.5904</v>
      </c>
      <c r="K23" s="35" t="n">
        <f aca="false">J23+I23</f>
        <v>0.7807</v>
      </c>
      <c r="L23" s="36"/>
      <c r="M23" s="36"/>
      <c r="N23" s="36"/>
      <c r="O23" s="52" t="n">
        <f aca="false">L23/$F$2</f>
        <v>0</v>
      </c>
      <c r="P23" s="53"/>
      <c r="Q23" s="54" t="n">
        <f aca="false">N23/$G$2</f>
        <v>0</v>
      </c>
      <c r="R23" s="55" t="n">
        <f aca="false">O23*$K23/$I23</f>
        <v>0</v>
      </c>
      <c r="S23" s="53"/>
      <c r="T23" s="54" t="n">
        <f aca="false">Q23*$K23/$I23</f>
        <v>0</v>
      </c>
      <c r="U23" s="2" t="n">
        <v>3.5236</v>
      </c>
      <c r="V23" s="2"/>
      <c r="W23" s="51" t="n">
        <f aca="false">AVERAGE(R23:R24)/100</f>
        <v>0</v>
      </c>
      <c r="Y23" s="1" t="n">
        <f aca="false">AVERAGE(T23:T24)/100</f>
        <v>0</v>
      </c>
      <c r="Z23" s="33" t="n">
        <f aca="false">AVERAGE(U23:V24)/100</f>
        <v>0.0351605</v>
      </c>
      <c r="AA23" s="2" t="n">
        <f aca="false">SUM(W23:Z23)</f>
        <v>0.0351605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2.8375</v>
      </c>
      <c r="E24" s="34" t="n">
        <v>100</v>
      </c>
      <c r="F24" s="34" t="n">
        <v>3.0545</v>
      </c>
      <c r="G24" s="30" t="n">
        <f aca="false">1000-E24</f>
        <v>900</v>
      </c>
      <c r="H24" s="34" t="n">
        <v>3.6628</v>
      </c>
      <c r="I24" s="35" t="n">
        <f aca="false">F24-D24</f>
        <v>0.217</v>
      </c>
      <c r="J24" s="35" t="n">
        <f aca="false">H24-F24</f>
        <v>0.6083</v>
      </c>
      <c r="K24" s="35" t="n">
        <f aca="false">J24+I24</f>
        <v>0.8253</v>
      </c>
      <c r="L24" s="36"/>
      <c r="M24" s="36"/>
      <c r="N24" s="36"/>
      <c r="O24" s="58" t="n">
        <f aca="false">L24/$F$2</f>
        <v>0</v>
      </c>
      <c r="P24" s="59"/>
      <c r="Q24" s="60" t="n">
        <f aca="false">N24/$G$2</f>
        <v>0</v>
      </c>
      <c r="R24" s="55" t="n">
        <f aca="false">O24*$K24/$I24</f>
        <v>0</v>
      </c>
      <c r="S24" s="53"/>
      <c r="T24" s="54" t="n">
        <f aca="false">Q24*$K24/$I24</f>
        <v>0</v>
      </c>
      <c r="U24" s="42" t="n">
        <v>3.5085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2.7782</v>
      </c>
      <c r="F25" s="1" t="n">
        <v>3.0825</v>
      </c>
      <c r="G25" s="2" t="n">
        <f aca="false">1000-E25</f>
        <v>1000</v>
      </c>
      <c r="H25" s="1" t="n">
        <v>3.5059</v>
      </c>
      <c r="I25" s="1" t="n">
        <f aca="false">F25-D25</f>
        <v>0.3043</v>
      </c>
      <c r="J25" s="1" t="n">
        <f aca="false">H25-F25</f>
        <v>0.4234</v>
      </c>
      <c r="K25" s="1" t="n">
        <f aca="false">J25+I25</f>
        <v>0.7277</v>
      </c>
      <c r="P25" s="1" t="n">
        <f aca="false">M25/$G$2</f>
        <v>0</v>
      </c>
      <c r="Q25" s="1" t="e">
        <f aca="false">N25/$H$2</f>
        <v>#DIV/0!</v>
      </c>
      <c r="S25" s="1" t="n">
        <f aca="false">P25*$K25/$I25</f>
        <v>0</v>
      </c>
      <c r="T25" s="1" t="e">
        <f aca="false">Q25*$K25/$I25</f>
        <v>#DIV/0!</v>
      </c>
      <c r="X25" s="1" t="n">
        <f aca="false">AVERAGE(S25:S26)/100</f>
        <v>0</v>
      </c>
      <c r="Y25" s="1" t="e">
        <f aca="false">AVERAGE(T25:T26)/100</f>
        <v>#DIV/0!</v>
      </c>
      <c r="Z25" s="1" t="e">
        <f aca="false">AVERAGE(U25:V26)/100</f>
        <v>#DIV/0!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2.7759</v>
      </c>
      <c r="F26" s="1" t="n">
        <v>3.0842</v>
      </c>
      <c r="G26" s="2" t="n">
        <f aca="false">1000-E26</f>
        <v>1000</v>
      </c>
      <c r="H26" s="1" t="n">
        <v>3.524</v>
      </c>
      <c r="I26" s="1" t="n">
        <f aca="false">F26-D26</f>
        <v>0.3083</v>
      </c>
      <c r="J26" s="1" t="n">
        <f aca="false">H26-F26</f>
        <v>0.4398</v>
      </c>
      <c r="K26" s="1" t="n">
        <f aca="false">J26+I26</f>
        <v>0.7481</v>
      </c>
      <c r="P26" s="1" t="n">
        <f aca="false">M26/$G$2</f>
        <v>0</v>
      </c>
      <c r="Q26" s="1" t="e">
        <f aca="false">N26/$H$2</f>
        <v>#DIV/0!</v>
      </c>
      <c r="S26" s="1" t="n">
        <f aca="false">P26*$K26/$I26</f>
        <v>0</v>
      </c>
      <c r="T26" s="1" t="e">
        <f aca="false">Q26*$K26/$I26</f>
        <v>#DIV/0!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2.7654</v>
      </c>
      <c r="F27" s="1" t="n">
        <v>3.0632</v>
      </c>
      <c r="G27" s="2" t="n">
        <f aca="false">1000-E27</f>
        <v>1000</v>
      </c>
      <c r="H27" s="1" t="n">
        <v>3.544</v>
      </c>
      <c r="I27" s="1" t="n">
        <f aca="false">F27-D27</f>
        <v>0.2978</v>
      </c>
      <c r="J27" s="1" t="n">
        <f aca="false">H27-F27</f>
        <v>0.4808</v>
      </c>
      <c r="K27" s="1" t="n">
        <f aca="false">J27+I27</f>
        <v>0.7786</v>
      </c>
      <c r="P27" s="1" t="n">
        <f aca="false">M27/$G$2</f>
        <v>0</v>
      </c>
      <c r="Q27" s="1" t="e">
        <f aca="false">N27/$H$2</f>
        <v>#DIV/0!</v>
      </c>
      <c r="S27" s="1" t="n">
        <f aca="false">P27*$K27/$I27</f>
        <v>0</v>
      </c>
      <c r="T27" s="1" t="e">
        <f aca="false">Q27*$K27/$I27</f>
        <v>#DIV/0!</v>
      </c>
      <c r="U27" s="1" t="n">
        <v>2.9064</v>
      </c>
      <c r="X27" s="1" t="n">
        <f aca="false">AVERAGE(S27:S28)/100</f>
        <v>0</v>
      </c>
      <c r="Y27" s="1" t="e">
        <f aca="false">AVERAGE(T27:T28)/100</f>
        <v>#DIV/0!</v>
      </c>
      <c r="Z27" s="1" t="n">
        <f aca="false">AVERAGE(U27:V28)/100</f>
        <v>0.029216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2.7345</v>
      </c>
      <c r="F28" s="1" t="n">
        <v>3.038</v>
      </c>
      <c r="G28" s="2" t="n">
        <f aca="false">1000-E28</f>
        <v>1000</v>
      </c>
      <c r="H28" s="1" t="n">
        <v>3.5149</v>
      </c>
      <c r="I28" s="1" t="n">
        <f aca="false">F28-D28</f>
        <v>0.3035</v>
      </c>
      <c r="J28" s="1" t="n">
        <f aca="false">H28-F28</f>
        <v>0.4769</v>
      </c>
      <c r="K28" s="1" t="n">
        <f aca="false">J28+I28</f>
        <v>0.7804</v>
      </c>
      <c r="P28" s="1" t="n">
        <f aca="false">M28/$G$2</f>
        <v>0</v>
      </c>
      <c r="Q28" s="1" t="e">
        <f aca="false">N28/$H$2</f>
        <v>#DIV/0!</v>
      </c>
      <c r="S28" s="1" t="n">
        <f aca="false">P28*$K28/$I28</f>
        <v>0</v>
      </c>
      <c r="T28" s="1" t="e">
        <f aca="false">Q28*$K28/$I28</f>
        <v>#DIV/0!</v>
      </c>
      <c r="U28" s="1" t="n">
        <v>2.9368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60</v>
      </c>
    </row>
    <row r="2" customFormat="false" ht="14.25" hidden="false" customHeight="true" outlineLevel="0" collapsed="false">
      <c r="E2" s="1" t="s">
        <v>2</v>
      </c>
      <c r="F2" s="1" t="n">
        <v>363.5756</v>
      </c>
      <c r="H2" s="4"/>
    </row>
    <row r="3" customFormat="false" ht="14.25" hidden="false" customHeight="true" outlineLevel="0" collapsed="false">
      <c r="M3" s="1" t="s">
        <v>3</v>
      </c>
      <c r="N3" s="1" t="s">
        <v>61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62</v>
      </c>
      <c r="B5" s="19" t="s">
        <v>31</v>
      </c>
      <c r="C5" s="20" t="n">
        <v>1</v>
      </c>
      <c r="D5" s="21" t="n">
        <v>2.8242</v>
      </c>
      <c r="E5" s="19" t="n">
        <v>300</v>
      </c>
      <c r="F5" s="20" t="n">
        <v>2.9878</v>
      </c>
      <c r="G5" s="19" t="n">
        <f aca="false">1000-E5</f>
        <v>700</v>
      </c>
      <c r="H5" s="20" t="n">
        <v>3.6215</v>
      </c>
      <c r="I5" s="22" t="n">
        <f aca="false">F5-D5</f>
        <v>0.1636</v>
      </c>
      <c r="J5" s="22" t="n">
        <f aca="false">H5-F5</f>
        <v>0.6337</v>
      </c>
      <c r="K5" s="22" t="n">
        <f aca="false">J5+I5</f>
        <v>0.7973</v>
      </c>
      <c r="L5" s="23"/>
      <c r="M5" s="23"/>
      <c r="N5" s="23"/>
      <c r="O5" s="24" t="n">
        <f aca="false">L5/$F$2</f>
        <v>0</v>
      </c>
      <c r="P5" s="47"/>
      <c r="Q5" s="26" t="e">
        <f aca="false">N5/$G$2</f>
        <v>#DIV/0!</v>
      </c>
      <c r="R5" s="25" t="n">
        <f aca="false">O5*$K5/$I5</f>
        <v>0</v>
      </c>
      <c r="S5" s="47"/>
      <c r="T5" s="26" t="e">
        <f aca="false">Q5*$K5/$I5</f>
        <v>#DIV/0!</v>
      </c>
      <c r="U5" s="27" t="n">
        <v>1.6603</v>
      </c>
      <c r="V5" s="27" t="n">
        <v>1.7084</v>
      </c>
      <c r="W5" s="48" t="n">
        <f aca="false">AVERAGE(R5:R6)/100</f>
        <v>0</v>
      </c>
      <c r="X5" s="49"/>
      <c r="Y5" s="49" t="e">
        <f aca="false">AVERAGE(T5:T6)/100</f>
        <v>#DIV/0!</v>
      </c>
      <c r="Z5" s="50" t="n">
        <f aca="false">AVERAGE(U5:V6)/100</f>
        <v>0.016628</v>
      </c>
      <c r="AA5" s="2" t="e">
        <f aca="false">SUM(W5:Z5)</f>
        <v>#DIV/0!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2.8409</v>
      </c>
      <c r="E6" s="20" t="n">
        <v>300</v>
      </c>
      <c r="F6" s="20" t="n">
        <v>3.0311</v>
      </c>
      <c r="G6" s="19" t="n">
        <f aca="false">1000-E6</f>
        <v>700</v>
      </c>
      <c r="H6" s="20" t="n">
        <v>3.661</v>
      </c>
      <c r="I6" s="22" t="n">
        <f aca="false">F6-D6</f>
        <v>0.1902</v>
      </c>
      <c r="J6" s="22" t="n">
        <f aca="false">H6-F6</f>
        <v>0.6299</v>
      </c>
      <c r="K6" s="22" t="n">
        <f aca="false">J6+I6</f>
        <v>0.8201</v>
      </c>
      <c r="L6" s="23"/>
      <c r="M6" s="23"/>
      <c r="N6" s="23"/>
      <c r="O6" s="24" t="n">
        <f aca="false">L6/$F$2</f>
        <v>0</v>
      </c>
      <c r="P6" s="47"/>
      <c r="Q6" s="26" t="e">
        <f aca="false">N6/$G$2</f>
        <v>#DIV/0!</v>
      </c>
      <c r="R6" s="25" t="n">
        <f aca="false">O6*$K6/$I6</f>
        <v>0</v>
      </c>
      <c r="S6" s="47"/>
      <c r="T6" s="26" t="e">
        <f aca="false">Q6*$K6/$I6</f>
        <v>#DIV/0!</v>
      </c>
      <c r="U6" s="27" t="n">
        <v>1.6197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2.751</v>
      </c>
      <c r="E7" s="34" t="n">
        <v>100</v>
      </c>
      <c r="F7" s="34" t="n">
        <v>2.9515</v>
      </c>
      <c r="G7" s="30" t="n">
        <f aca="false">1000-E7</f>
        <v>900</v>
      </c>
      <c r="H7" s="34" t="n">
        <v>3.5894</v>
      </c>
      <c r="I7" s="35" t="n">
        <f aca="false">F7-D7</f>
        <v>0.2005</v>
      </c>
      <c r="J7" s="35" t="n">
        <f aca="false">H7-F7</f>
        <v>0.6379</v>
      </c>
      <c r="K7" s="35" t="n">
        <f aca="false">J7+I7</f>
        <v>0.8384</v>
      </c>
      <c r="N7" s="36"/>
      <c r="O7" s="52" t="n">
        <f aca="false">L7/$F$2</f>
        <v>0</v>
      </c>
      <c r="P7" s="53"/>
      <c r="Q7" s="54" t="e">
        <f aca="false">N7/$G$2</f>
        <v>#DIV/0!</v>
      </c>
      <c r="R7" s="55" t="n">
        <f aca="false">O7*$K7/$I7</f>
        <v>0</v>
      </c>
      <c r="S7" s="53"/>
      <c r="T7" s="54" t="e">
        <f aca="false">Q7*$K7/$I7</f>
        <v>#DIV/0!</v>
      </c>
      <c r="U7" s="2" t="n">
        <v>98.0875</v>
      </c>
      <c r="V7" s="2"/>
      <c r="W7" s="51" t="n">
        <f aca="false">AVERAGE(R7:R8)/100</f>
        <v>0</v>
      </c>
      <c r="Y7" s="1" t="e">
        <f aca="false">AVERAGE(T7:T8)/100</f>
        <v>#DIV/0!</v>
      </c>
      <c r="Z7" s="33" t="n">
        <f aca="false">AVERAGE(U7:V8)/100</f>
        <v>0.984287</v>
      </c>
      <c r="AA7" s="2" t="e">
        <f aca="false">SUM(W7:Z7)</f>
        <v>#DIV/0!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2.736</v>
      </c>
      <c r="E8" s="34" t="n">
        <v>100</v>
      </c>
      <c r="F8" s="34" t="n">
        <v>2.9446</v>
      </c>
      <c r="G8" s="30" t="n">
        <f aca="false">1000-E8</f>
        <v>900</v>
      </c>
      <c r="H8" s="34" t="n">
        <v>3.5794</v>
      </c>
      <c r="I8" s="35" t="n">
        <f aca="false">F8-D8</f>
        <v>0.2086</v>
      </c>
      <c r="J8" s="35" t="n">
        <f aca="false">H8-F8</f>
        <v>0.6348</v>
      </c>
      <c r="K8" s="35" t="n">
        <f aca="false">J8+I8</f>
        <v>0.8434</v>
      </c>
      <c r="L8" s="36"/>
      <c r="M8" s="36"/>
      <c r="N8" s="36"/>
      <c r="O8" s="52" t="n">
        <f aca="false">L8/$F$2</f>
        <v>0</v>
      </c>
      <c r="P8" s="53"/>
      <c r="Q8" s="54" t="e">
        <f aca="false">N8/$G$2</f>
        <v>#DIV/0!</v>
      </c>
      <c r="R8" s="55" t="n">
        <f aca="false">O8*$K8/$I8</f>
        <v>0</v>
      </c>
      <c r="S8" s="53"/>
      <c r="T8" s="54" t="e">
        <f aca="false">Q8*$K8/$I8</f>
        <v>#DIV/0!</v>
      </c>
      <c r="U8" s="2" t="n">
        <v>98.808</v>
      </c>
      <c r="V8" s="2" t="n">
        <v>98.3906</v>
      </c>
      <c r="W8" s="51"/>
      <c r="Z8" s="33"/>
      <c r="AA8" s="2"/>
    </row>
    <row r="9" customFormat="false" ht="14.25" hidden="false" customHeight="true" outlineLevel="0" collapsed="false">
      <c r="A9" s="18" t="s">
        <v>63</v>
      </c>
      <c r="B9" s="19" t="s">
        <v>31</v>
      </c>
      <c r="C9" s="20" t="n">
        <v>5</v>
      </c>
      <c r="D9" s="19" t="n">
        <v>2.752</v>
      </c>
      <c r="E9" s="19" t="n">
        <v>300</v>
      </c>
      <c r="F9" s="20" t="n">
        <v>2.8709</v>
      </c>
      <c r="G9" s="19" t="n">
        <f aca="false">1000-E9</f>
        <v>700</v>
      </c>
      <c r="H9" s="20" t="n">
        <v>3.5013</v>
      </c>
      <c r="I9" s="22" t="n">
        <f aca="false">F9-D9</f>
        <v>0.1189</v>
      </c>
      <c r="J9" s="22" t="n">
        <f aca="false">H9-F9</f>
        <v>0.6304</v>
      </c>
      <c r="K9" s="22" t="n">
        <f aca="false">J9+I9</f>
        <v>0.7493</v>
      </c>
      <c r="L9" s="23"/>
      <c r="M9" s="23"/>
      <c r="N9" s="23"/>
      <c r="O9" s="24" t="n">
        <f aca="false">L9/$F$2</f>
        <v>0</v>
      </c>
      <c r="P9" s="47"/>
      <c r="Q9" s="26" t="e">
        <f aca="false">N9/$G$2</f>
        <v>#DIV/0!</v>
      </c>
      <c r="R9" s="25" t="n">
        <f aca="false">O9*$K9/$I9</f>
        <v>0</v>
      </c>
      <c r="S9" s="47"/>
      <c r="T9" s="26" t="e">
        <f aca="false">Q9*$K9/$I9</f>
        <v>#DIV/0!</v>
      </c>
      <c r="U9" s="27" t="n">
        <v>88.714</v>
      </c>
      <c r="V9" s="27" t="n">
        <v>89.9148</v>
      </c>
      <c r="W9" s="56" t="n">
        <f aca="false">AVERAGE(R9:R10)/100</f>
        <v>0</v>
      </c>
      <c r="X9" s="57"/>
      <c r="Y9" s="57" t="e">
        <f aca="false">AVERAGE(T9:T10)/100</f>
        <v>#DIV/0!</v>
      </c>
      <c r="Z9" s="29" t="n">
        <f aca="false">AVERAGE(U9:V10)/100</f>
        <v>0.92712775</v>
      </c>
      <c r="AA9" s="2" t="e">
        <f aca="false">SUM(W9:Z9)</f>
        <v>#DIV/0!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2.8169</v>
      </c>
      <c r="E10" s="20" t="n">
        <v>300</v>
      </c>
      <c r="F10" s="20" t="n">
        <v>2.9387</v>
      </c>
      <c r="G10" s="19" t="n">
        <f aca="false">1000-E10</f>
        <v>700</v>
      </c>
      <c r="H10" s="20" t="n">
        <v>3.5666</v>
      </c>
      <c r="I10" s="22" t="n">
        <f aca="false">F10-D10</f>
        <v>0.1218</v>
      </c>
      <c r="J10" s="22" t="n">
        <f aca="false">H10-F10</f>
        <v>0.6279</v>
      </c>
      <c r="K10" s="22" t="n">
        <f aca="false">J10+I10</f>
        <v>0.7497</v>
      </c>
      <c r="L10" s="23"/>
      <c r="M10" s="23"/>
      <c r="N10" s="23"/>
      <c r="O10" s="24" t="n">
        <f aca="false">L10/$F$2</f>
        <v>0</v>
      </c>
      <c r="P10" s="47"/>
      <c r="Q10" s="26" t="e">
        <f aca="false">N10/$G$2</f>
        <v>#DIV/0!</v>
      </c>
      <c r="R10" s="25" t="n">
        <f aca="false">O10*$K10/$I10</f>
        <v>0</v>
      </c>
      <c r="S10" s="47"/>
      <c r="T10" s="26" t="e">
        <f aca="false">Q10*$K10/$I10</f>
        <v>#DIV/0!</v>
      </c>
      <c r="U10" s="27" t="n">
        <v>99.5197</v>
      </c>
      <c r="V10" s="27" t="n">
        <v>92.7026</v>
      </c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2.7959</v>
      </c>
      <c r="E11" s="34" t="n">
        <v>100</v>
      </c>
      <c r="F11" s="34" t="n">
        <v>2.9182</v>
      </c>
      <c r="G11" s="30" t="n">
        <f aca="false">1000-E11</f>
        <v>900</v>
      </c>
      <c r="H11" s="34" t="n">
        <v>3.5465</v>
      </c>
      <c r="I11" s="35" t="n">
        <f aca="false">F11-D11</f>
        <v>0.1223</v>
      </c>
      <c r="J11" s="35" t="n">
        <f aca="false">H11-F11</f>
        <v>0.6283</v>
      </c>
      <c r="K11" s="35" t="n">
        <f aca="false">J11+I11</f>
        <v>0.7506</v>
      </c>
      <c r="L11" s="40"/>
      <c r="M11" s="40"/>
      <c r="N11" s="36"/>
      <c r="O11" s="52" t="n">
        <f aca="false">L11/$F$2</f>
        <v>0</v>
      </c>
      <c r="P11" s="53"/>
      <c r="Q11" s="54" t="e">
        <f aca="false">N11/$G$2</f>
        <v>#DIV/0!</v>
      </c>
      <c r="R11" s="55" t="n">
        <f aca="false">O11*$K11/$I11</f>
        <v>0</v>
      </c>
      <c r="S11" s="53"/>
      <c r="T11" s="54" t="e">
        <f aca="false">Q11*$K11/$I11</f>
        <v>#DIV/0!</v>
      </c>
      <c r="U11" s="2" t="n">
        <v>8.078</v>
      </c>
      <c r="V11" s="2"/>
      <c r="W11" s="51" t="n">
        <f aca="false">AVERAGE(R11:R12)/100</f>
        <v>0</v>
      </c>
      <c r="Y11" s="1" t="e">
        <f aca="false">AVERAGE(T11:T12)/100</f>
        <v>#DIV/0!</v>
      </c>
      <c r="Z11" s="33" t="n">
        <f aca="false">AVERAGE(U11:V12)/100</f>
        <v>0.081533</v>
      </c>
      <c r="AA11" s="2" t="e">
        <f aca="false">SUM(W11:Z11)</f>
        <v>#DIV/0!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2.8006</v>
      </c>
      <c r="E12" s="34" t="n">
        <v>100</v>
      </c>
      <c r="F12" s="34" t="n">
        <v>2.931</v>
      </c>
      <c r="G12" s="30" t="n">
        <f aca="false">1000-E12</f>
        <v>900</v>
      </c>
      <c r="H12" s="34" t="n">
        <v>3.5408</v>
      </c>
      <c r="I12" s="35" t="n">
        <f aca="false">F12-D12</f>
        <v>0.1304</v>
      </c>
      <c r="J12" s="35" t="n">
        <f aca="false">H12-F12</f>
        <v>0.6098</v>
      </c>
      <c r="K12" s="35" t="n">
        <f aca="false">J12+I12</f>
        <v>0.7402</v>
      </c>
      <c r="L12" s="36"/>
      <c r="M12" s="36"/>
      <c r="N12" s="36"/>
      <c r="O12" s="52" t="n">
        <f aca="false">L12/$F$2</f>
        <v>0</v>
      </c>
      <c r="P12" s="53"/>
      <c r="Q12" s="54" t="e">
        <f aca="false">N12/$G$2</f>
        <v>#DIV/0!</v>
      </c>
      <c r="R12" s="55" t="n">
        <f aca="false">O12*$K12/$I12</f>
        <v>0</v>
      </c>
      <c r="S12" s="53"/>
      <c r="T12" s="54" t="e">
        <f aca="false">Q12*$K12/$I12</f>
        <v>#DIV/0!</v>
      </c>
      <c r="U12" s="2" t="n">
        <v>8.2286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64</v>
      </c>
      <c r="B13" s="19" t="s">
        <v>31</v>
      </c>
      <c r="C13" s="20" t="n">
        <v>9</v>
      </c>
      <c r="D13" s="19" t="n">
        <v>2.7584</v>
      </c>
      <c r="E13" s="19" t="n">
        <v>300</v>
      </c>
      <c r="F13" s="20" t="n">
        <v>2.9397</v>
      </c>
      <c r="G13" s="19" t="n">
        <f aca="false">1000-E13</f>
        <v>700</v>
      </c>
      <c r="H13" s="20" t="n">
        <v>3.58</v>
      </c>
      <c r="I13" s="22" t="n">
        <f aca="false">F13-D13</f>
        <v>0.1813</v>
      </c>
      <c r="J13" s="22" t="n">
        <f aca="false">H13-F13</f>
        <v>0.6403</v>
      </c>
      <c r="K13" s="22" t="n">
        <f aca="false">J13+I13</f>
        <v>0.8216</v>
      </c>
      <c r="L13" s="23"/>
      <c r="M13" s="23"/>
      <c r="N13" s="23"/>
      <c r="O13" s="24" t="n">
        <f aca="false">L13/$F$2</f>
        <v>0</v>
      </c>
      <c r="P13" s="47"/>
      <c r="Q13" s="26" t="e">
        <f aca="false">N13/$G$2</f>
        <v>#DIV/0!</v>
      </c>
      <c r="R13" s="25" t="n">
        <f aca="false">O13*$K13/$I13</f>
        <v>0</v>
      </c>
      <c r="S13" s="47"/>
      <c r="T13" s="26" t="e">
        <f aca="false">Q13*$K13/$I13</f>
        <v>#DIV/0!</v>
      </c>
      <c r="U13" s="27" t="n">
        <v>3.6077</v>
      </c>
      <c r="V13" s="27"/>
      <c r="W13" s="56" t="n">
        <f aca="false">AVERAGE(R13:R14)/100</f>
        <v>0</v>
      </c>
      <c r="X13" s="57"/>
      <c r="Y13" s="57" t="e">
        <f aca="false">AVERAGE(T13:T14)/100</f>
        <v>#DIV/0!</v>
      </c>
      <c r="Z13" s="29" t="n">
        <f aca="false">AVERAGE(U13:V14)/100</f>
        <v>0.0356555</v>
      </c>
      <c r="AA13" s="2" t="e">
        <f aca="false">SUM(W13:Z13)</f>
        <v>#DIV/0!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2.7291</v>
      </c>
      <c r="E14" s="20" t="n">
        <v>300</v>
      </c>
      <c r="F14" s="20" t="n">
        <v>2.9304</v>
      </c>
      <c r="G14" s="19" t="n">
        <f aca="false">1000-E14</f>
        <v>700</v>
      </c>
      <c r="H14" s="20" t="n">
        <v>3.5726</v>
      </c>
      <c r="I14" s="22" t="n">
        <f aca="false">F14-D14</f>
        <v>0.2013</v>
      </c>
      <c r="J14" s="22" t="n">
        <f aca="false">H14-F14</f>
        <v>0.6422</v>
      </c>
      <c r="K14" s="22" t="n">
        <f aca="false">J14+I14</f>
        <v>0.8435</v>
      </c>
      <c r="L14" s="23"/>
      <c r="M14" s="23"/>
      <c r="N14" s="23"/>
      <c r="O14" s="24" t="n">
        <f aca="false">L14/$F$2</f>
        <v>0</v>
      </c>
      <c r="P14" s="47"/>
      <c r="Q14" s="26" t="e">
        <f aca="false">N14/$G$2</f>
        <v>#DIV/0!</v>
      </c>
      <c r="R14" s="25" t="n">
        <f aca="false">O14*$K14/$I14</f>
        <v>0</v>
      </c>
      <c r="S14" s="47"/>
      <c r="T14" s="26" t="e">
        <f aca="false">Q14*$K14/$I14</f>
        <v>#DIV/0!</v>
      </c>
      <c r="U14" s="27" t="n">
        <v>3.5234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2.7739</v>
      </c>
      <c r="E15" s="34" t="n">
        <v>100</v>
      </c>
      <c r="F15" s="34" t="n">
        <v>2.9727</v>
      </c>
      <c r="G15" s="30" t="n">
        <f aca="false">1000-E15</f>
        <v>900</v>
      </c>
      <c r="H15" s="34" t="n">
        <v>3.6067</v>
      </c>
      <c r="I15" s="35" t="n">
        <f aca="false">F15-D15</f>
        <v>0.1988</v>
      </c>
      <c r="J15" s="35" t="n">
        <f aca="false">H15-F15</f>
        <v>0.634</v>
      </c>
      <c r="K15" s="35" t="n">
        <f aca="false">J15+I15</f>
        <v>0.8328</v>
      </c>
      <c r="L15" s="36"/>
      <c r="M15" s="36"/>
      <c r="N15" s="41"/>
      <c r="O15" s="52" t="n">
        <f aca="false">L15/$F$2</f>
        <v>0</v>
      </c>
      <c r="P15" s="53"/>
      <c r="Q15" s="54" t="e">
        <f aca="false">N15/$G$2</f>
        <v>#DIV/0!</v>
      </c>
      <c r="R15" s="55" t="n">
        <f aca="false">O15*$K15/$I15</f>
        <v>0</v>
      </c>
      <c r="S15" s="53"/>
      <c r="T15" s="54" t="e">
        <f aca="false">Q15*$K15/$I15</f>
        <v>#DIV/0!</v>
      </c>
      <c r="U15" s="2" t="n">
        <v>98.1203</v>
      </c>
      <c r="V15" s="2"/>
      <c r="W15" s="51" t="n">
        <f aca="false">AVERAGE(R15:R16)/100</f>
        <v>0</v>
      </c>
      <c r="Y15" s="1" t="e">
        <f aca="false">AVERAGE(T15:T16)/100</f>
        <v>#DIV/0!</v>
      </c>
      <c r="Z15" s="33" t="n">
        <f aca="false">AVERAGE(U15:V16)/100</f>
        <v>0.9756095</v>
      </c>
      <c r="AA15" s="2" t="e">
        <f aca="false">SUM(W15:Z15)</f>
        <v>#DIV/0!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2.7729</v>
      </c>
      <c r="E16" s="34" t="n">
        <v>100</v>
      </c>
      <c r="F16" s="34" t="n">
        <v>2.9821</v>
      </c>
      <c r="G16" s="30" t="n">
        <f aca="false">1000-E16</f>
        <v>900</v>
      </c>
      <c r="H16" s="34" t="n">
        <v>3.6175</v>
      </c>
      <c r="I16" s="35" t="n">
        <f aca="false">F16-D16</f>
        <v>0.2092</v>
      </c>
      <c r="J16" s="35" t="n">
        <f aca="false">H16-F16</f>
        <v>0.6354</v>
      </c>
      <c r="K16" s="35" t="n">
        <f aca="false">J16+I16</f>
        <v>0.8446</v>
      </c>
      <c r="L16" s="36"/>
      <c r="M16" s="36"/>
      <c r="N16" s="36"/>
      <c r="O16" s="52" t="n">
        <f aca="false">L16/$F$2</f>
        <v>0</v>
      </c>
      <c r="P16" s="53"/>
      <c r="Q16" s="54" t="e">
        <f aca="false">N16/$G$2</f>
        <v>#DIV/0!</v>
      </c>
      <c r="R16" s="55" t="n">
        <f aca="false">O16*$K16/$I16</f>
        <v>0</v>
      </c>
      <c r="S16" s="53"/>
      <c r="T16" s="54" t="e">
        <f aca="false">Q16*$K16/$I16</f>
        <v>#DIV/0!</v>
      </c>
      <c r="U16" s="2" t="n">
        <v>97.0016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65</v>
      </c>
      <c r="B17" s="19" t="s">
        <v>31</v>
      </c>
      <c r="C17" s="20" t="n">
        <v>13</v>
      </c>
      <c r="D17" s="19" t="n">
        <v>2.7281</v>
      </c>
      <c r="E17" s="19" t="n">
        <v>300</v>
      </c>
      <c r="F17" s="20" t="n">
        <v>2.9042</v>
      </c>
      <c r="G17" s="19" t="n">
        <f aca="false">1000-E17</f>
        <v>700</v>
      </c>
      <c r="H17" s="20" t="n">
        <v>3.543</v>
      </c>
      <c r="I17" s="22" t="n">
        <f aca="false">F17-D17</f>
        <v>0.1761</v>
      </c>
      <c r="J17" s="22" t="n">
        <f aca="false">H17-F17</f>
        <v>0.6388</v>
      </c>
      <c r="K17" s="22" t="n">
        <f aca="false">J17+I17</f>
        <v>0.8149</v>
      </c>
      <c r="L17" s="23"/>
      <c r="M17" s="23"/>
      <c r="N17" s="23"/>
      <c r="O17" s="24" t="n">
        <f aca="false">L17/$F$2</f>
        <v>0</v>
      </c>
      <c r="P17" s="47"/>
      <c r="Q17" s="26" t="e">
        <f aca="false">N17/$G$2</f>
        <v>#DIV/0!</v>
      </c>
      <c r="R17" s="25" t="n">
        <f aca="false">O17*$K17/$I17</f>
        <v>0</v>
      </c>
      <c r="S17" s="47"/>
      <c r="T17" s="26" t="e">
        <f aca="false">Q17*$K17/$I17</f>
        <v>#DIV/0!</v>
      </c>
      <c r="U17" s="27" t="n">
        <v>2.3119</v>
      </c>
      <c r="V17" s="27"/>
      <c r="W17" s="56" t="n">
        <f aca="false">AVERAGE(R17:R18)/100</f>
        <v>0</v>
      </c>
      <c r="X17" s="57"/>
      <c r="Y17" s="57" t="e">
        <f aca="false">AVERAGE(T17:T18)/100</f>
        <v>#DIV/0!</v>
      </c>
      <c r="Z17" s="29" t="n">
        <f aca="false">AVERAGE(U17:V18)/100</f>
        <v>0.0234555</v>
      </c>
      <c r="AA17" s="2" t="e">
        <f aca="false">SUM(W17:Z17)</f>
        <v>#DIV/0!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2.7443</v>
      </c>
      <c r="E18" s="20" t="n">
        <v>300</v>
      </c>
      <c r="F18" s="20" t="n">
        <v>2.9446</v>
      </c>
      <c r="G18" s="19" t="n">
        <f aca="false">1000-E18</f>
        <v>700</v>
      </c>
      <c r="H18" s="20" t="n">
        <v>3.5807</v>
      </c>
      <c r="I18" s="22" t="n">
        <f aca="false">F18-D18</f>
        <v>0.2003</v>
      </c>
      <c r="J18" s="22" t="n">
        <f aca="false">H18-F18</f>
        <v>0.6361</v>
      </c>
      <c r="K18" s="22" t="n">
        <f aca="false">J18+I18</f>
        <v>0.8364</v>
      </c>
      <c r="L18" s="23"/>
      <c r="M18" s="23"/>
      <c r="N18" s="23"/>
      <c r="O18" s="24" t="n">
        <f aca="false">L18/$F$2</f>
        <v>0</v>
      </c>
      <c r="P18" s="47"/>
      <c r="Q18" s="26" t="e">
        <f aca="false">N18/$G$2</f>
        <v>#DIV/0!</v>
      </c>
      <c r="R18" s="25" t="n">
        <f aca="false">O18*$K18/$I18</f>
        <v>0</v>
      </c>
      <c r="S18" s="47"/>
      <c r="T18" s="26" t="e">
        <f aca="false">Q18*$K18/$I18</f>
        <v>#DIV/0!</v>
      </c>
      <c r="U18" s="27" t="n">
        <v>2.3792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2.8079</v>
      </c>
      <c r="E19" s="34" t="n">
        <v>100</v>
      </c>
      <c r="F19" s="34" t="n">
        <v>3.0084</v>
      </c>
      <c r="G19" s="30" t="n">
        <f aca="false">1000-E19</f>
        <v>900</v>
      </c>
      <c r="H19" s="34" t="n">
        <v>3.6429</v>
      </c>
      <c r="I19" s="35" t="n">
        <f aca="false">F19-D19</f>
        <v>0.2005</v>
      </c>
      <c r="J19" s="35" t="n">
        <f aca="false">H19-F19</f>
        <v>0.6345</v>
      </c>
      <c r="K19" s="35" t="n">
        <f aca="false">J19+I19</f>
        <v>0.835</v>
      </c>
      <c r="L19" s="36"/>
      <c r="M19" s="36"/>
      <c r="N19" s="36"/>
      <c r="O19" s="52" t="n">
        <f aca="false">L19/$F$2</f>
        <v>0</v>
      </c>
      <c r="P19" s="53"/>
      <c r="Q19" s="54" t="e">
        <f aca="false">N19/$G$2</f>
        <v>#DIV/0!</v>
      </c>
      <c r="R19" s="55" t="n">
        <f aca="false">O19*$K19/$I19</f>
        <v>0</v>
      </c>
      <c r="S19" s="53"/>
      <c r="T19" s="54" t="e">
        <f aca="false">Q19*$K19/$I19</f>
        <v>#DIV/0!</v>
      </c>
      <c r="U19" s="2" t="n">
        <v>99.6209</v>
      </c>
      <c r="V19" s="2"/>
      <c r="W19" s="51" t="n">
        <f aca="false">AVERAGE(R19:R20)/100</f>
        <v>0</v>
      </c>
      <c r="Y19" s="1" t="e">
        <f aca="false">AVERAGE(T19:T20)/100</f>
        <v>#DIV/0!</v>
      </c>
      <c r="Z19" s="33" t="n">
        <f aca="false">AVERAGE(U19:V20)/100</f>
        <v>0.998301</v>
      </c>
      <c r="AA19" s="2" t="e">
        <f aca="false">SUM(W19:Z19)</f>
        <v>#DIV/0!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2.7555</v>
      </c>
      <c r="E20" s="34" t="n">
        <v>100</v>
      </c>
      <c r="F20" s="34" t="n">
        <v>2.9621</v>
      </c>
      <c r="G20" s="30" t="n">
        <f aca="false">1000-E20</f>
        <v>900</v>
      </c>
      <c r="H20" s="34" t="n">
        <v>3.5963</v>
      </c>
      <c r="I20" s="35" t="n">
        <f aca="false">F20-D20</f>
        <v>0.2066</v>
      </c>
      <c r="J20" s="35" t="n">
        <f aca="false">H20-F20</f>
        <v>0.6342</v>
      </c>
      <c r="K20" s="35" t="n">
        <f aca="false">J20+I20</f>
        <v>0.8408</v>
      </c>
      <c r="L20" s="36"/>
      <c r="M20" s="36"/>
      <c r="N20" s="36"/>
      <c r="O20" s="52" t="n">
        <f aca="false">L20/$F$2</f>
        <v>0</v>
      </c>
      <c r="P20" s="53"/>
      <c r="Q20" s="54" t="e">
        <f aca="false">N20/$G$2</f>
        <v>#DIV/0!</v>
      </c>
      <c r="R20" s="55" t="n">
        <f aca="false">O20*$K20/$I20</f>
        <v>0</v>
      </c>
      <c r="S20" s="53"/>
      <c r="T20" s="54" t="e">
        <f aca="false">Q20*$K20/$I20</f>
        <v>#DIV/0!</v>
      </c>
      <c r="U20" s="2" t="n">
        <v>99.2358</v>
      </c>
      <c r="V20" s="2" t="n">
        <v>100.6336</v>
      </c>
      <c r="W20" s="51"/>
      <c r="Z20" s="33"/>
      <c r="AA20" s="2"/>
    </row>
    <row r="21" customFormat="false" ht="14.25" hidden="false" customHeight="true" outlineLevel="0" collapsed="false">
      <c r="A21" s="18" t="s">
        <v>66</v>
      </c>
      <c r="B21" s="19" t="s">
        <v>31</v>
      </c>
      <c r="C21" s="20" t="n">
        <v>17</v>
      </c>
      <c r="D21" s="19" t="n">
        <v>2.7621</v>
      </c>
      <c r="E21" s="19" t="n">
        <v>300</v>
      </c>
      <c r="F21" s="20" t="n">
        <v>2.9638</v>
      </c>
      <c r="G21" s="19" t="n">
        <f aca="false">1000-E21</f>
        <v>700</v>
      </c>
      <c r="H21" s="20" t="n">
        <v>3.5998</v>
      </c>
      <c r="I21" s="22" t="n">
        <f aca="false">F21-D21</f>
        <v>0.2017</v>
      </c>
      <c r="J21" s="22" t="n">
        <f aca="false">H21-F21</f>
        <v>0.636</v>
      </c>
      <c r="K21" s="22" t="n">
        <f aca="false">J21+I21</f>
        <v>0.8377</v>
      </c>
      <c r="L21" s="23"/>
      <c r="M21" s="23"/>
      <c r="N21" s="23"/>
      <c r="O21" s="24" t="n">
        <f aca="false">L21/$F$2</f>
        <v>0</v>
      </c>
      <c r="P21" s="47"/>
      <c r="Q21" s="26" t="e">
        <f aca="false">N21/$G$2</f>
        <v>#DIV/0!</v>
      </c>
      <c r="R21" s="25" t="n">
        <f aca="false">O21*$K21/$I21</f>
        <v>0</v>
      </c>
      <c r="S21" s="47"/>
      <c r="T21" s="26" t="e">
        <f aca="false">Q21*$K21/$I21</f>
        <v>#DIV/0!</v>
      </c>
      <c r="U21" s="27" t="n">
        <v>97.6309</v>
      </c>
      <c r="V21" s="27"/>
      <c r="W21" s="56" t="n">
        <f aca="false">AVERAGE(R21:R22)/100</f>
        <v>0</v>
      </c>
      <c r="X21" s="57"/>
      <c r="Y21" s="57" t="e">
        <f aca="false">AVERAGE(T21:T22)/100</f>
        <v>#DIV/0!</v>
      </c>
      <c r="Z21" s="29" t="n">
        <f aca="false">AVERAGE(U21:V22)/100</f>
        <v>0.976993</v>
      </c>
      <c r="AA21" s="2" t="e">
        <f aca="false">SUM(W21:Z21)</f>
        <v>#DIV/0!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2.7709</v>
      </c>
      <c r="E22" s="20" t="n">
        <v>300</v>
      </c>
      <c r="F22" s="20" t="n">
        <v>2.9761</v>
      </c>
      <c r="G22" s="19" t="n">
        <f aca="false">1000-E22</f>
        <v>700</v>
      </c>
      <c r="H22" s="20" t="n">
        <v>3.6116</v>
      </c>
      <c r="I22" s="22" t="n">
        <f aca="false">F22-D22</f>
        <v>0.2052</v>
      </c>
      <c r="J22" s="22" t="n">
        <f aca="false">H22-F22</f>
        <v>0.6355</v>
      </c>
      <c r="K22" s="22" t="n">
        <f aca="false">J22+I22</f>
        <v>0.8407</v>
      </c>
      <c r="L22" s="23"/>
      <c r="M22" s="23"/>
      <c r="N22" s="23"/>
      <c r="O22" s="24" t="n">
        <f aca="false">L22/$F$2</f>
        <v>0</v>
      </c>
      <c r="P22" s="47"/>
      <c r="Q22" s="26" t="e">
        <f aca="false">N22/$G$2</f>
        <v>#DIV/0!</v>
      </c>
      <c r="R22" s="25" t="n">
        <f aca="false">O22*$K22/$I22</f>
        <v>0</v>
      </c>
      <c r="S22" s="47"/>
      <c r="T22" s="26" t="e">
        <f aca="false">Q22*$K22/$I22</f>
        <v>#DIV/0!</v>
      </c>
      <c r="U22" s="27" t="n">
        <v>97.7677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2.8372</v>
      </c>
      <c r="E23" s="34" t="n">
        <v>100</v>
      </c>
      <c r="F23" s="34" t="n">
        <v>3.0177</v>
      </c>
      <c r="G23" s="30" t="n">
        <f aca="false">1000-E23</f>
        <v>900</v>
      </c>
      <c r="H23" s="34" t="n">
        <v>3.6481</v>
      </c>
      <c r="I23" s="35" t="n">
        <f aca="false">F23-D23</f>
        <v>0.1805</v>
      </c>
      <c r="J23" s="35" t="n">
        <f aca="false">H23-F23</f>
        <v>0.6304</v>
      </c>
      <c r="K23" s="35" t="n">
        <f aca="false">J23+I23</f>
        <v>0.8109</v>
      </c>
      <c r="L23" s="36"/>
      <c r="M23" s="36"/>
      <c r="N23" s="36"/>
      <c r="O23" s="52" t="n">
        <f aca="false">L23/$F$2</f>
        <v>0</v>
      </c>
      <c r="P23" s="53"/>
      <c r="Q23" s="54" t="e">
        <f aca="false">N23/$G$2</f>
        <v>#DIV/0!</v>
      </c>
      <c r="R23" s="55" t="n">
        <f aca="false">O23*$K23/$I23</f>
        <v>0</v>
      </c>
      <c r="S23" s="53"/>
      <c r="T23" s="54" t="e">
        <f aca="false">Q23*$K23/$I23</f>
        <v>#DIV/0!</v>
      </c>
      <c r="U23" s="2" t="n">
        <v>6.2927</v>
      </c>
      <c r="V23" s="2"/>
      <c r="W23" s="51" t="n">
        <f aca="false">AVERAGE(R23:R24)/100</f>
        <v>0</v>
      </c>
      <c r="Y23" s="1" t="e">
        <f aca="false">AVERAGE(T23:T24)/100</f>
        <v>#DIV/0!</v>
      </c>
      <c r="Z23" s="33" t="n">
        <f aca="false">AVERAGE(U23:V24)/100</f>
        <v>0.0609765</v>
      </c>
      <c r="AA23" s="2" t="e">
        <f aca="false">SUM(W23:Z23)</f>
        <v>#DIV/0!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2.7103</v>
      </c>
      <c r="E24" s="34" t="n">
        <v>100</v>
      </c>
      <c r="F24" s="34" t="n">
        <v>2.9009</v>
      </c>
      <c r="G24" s="30" t="n">
        <f aca="false">1000-E24</f>
        <v>900</v>
      </c>
      <c r="H24" s="34" t="n">
        <v>3.5359</v>
      </c>
      <c r="I24" s="35" t="n">
        <f aca="false">F24-D24</f>
        <v>0.1906</v>
      </c>
      <c r="J24" s="35" t="n">
        <f aca="false">H24-F24</f>
        <v>0.635</v>
      </c>
      <c r="K24" s="35" t="n">
        <f aca="false">J24+I24</f>
        <v>0.8256</v>
      </c>
      <c r="L24" s="36"/>
      <c r="M24" s="36"/>
      <c r="N24" s="36"/>
      <c r="O24" s="58" t="n">
        <f aca="false">L24/$F$2</f>
        <v>0</v>
      </c>
      <c r="P24" s="59"/>
      <c r="Q24" s="60" t="e">
        <f aca="false">N24/$G$2</f>
        <v>#DIV/0!</v>
      </c>
      <c r="R24" s="55" t="n">
        <f aca="false">O24*$K24/$I24</f>
        <v>0</v>
      </c>
      <c r="S24" s="53"/>
      <c r="T24" s="54" t="e">
        <f aca="false">Q24*$K24/$I24</f>
        <v>#DIV/0!</v>
      </c>
      <c r="U24" s="42" t="n">
        <v>5.9026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2.744</v>
      </c>
      <c r="F25" s="1" t="n">
        <v>2.9991</v>
      </c>
      <c r="G25" s="2" t="n">
        <f aca="false">1000-E25</f>
        <v>1000</v>
      </c>
      <c r="H25" s="1" t="n">
        <v>3.4818</v>
      </c>
      <c r="I25" s="1" t="n">
        <f aca="false">F25-D25</f>
        <v>0.2551</v>
      </c>
      <c r="J25" s="1" t="n">
        <f aca="false">H25-F25</f>
        <v>0.4827</v>
      </c>
      <c r="K25" s="1" t="n">
        <f aca="false">J25+I25</f>
        <v>0.7378</v>
      </c>
      <c r="P25" s="1" t="e">
        <f aca="false">M25/$G$2</f>
        <v>#DIV/0!</v>
      </c>
      <c r="Q25" s="1" t="e">
        <f aca="false">N25/$H$2</f>
        <v>#DIV/0!</v>
      </c>
      <c r="S25" s="1" t="e">
        <f aca="false">P25*$K25/$I25</f>
        <v>#DIV/0!</v>
      </c>
      <c r="T25" s="1" t="e">
        <f aca="false">Q25*$K25/$I25</f>
        <v>#DIV/0!</v>
      </c>
      <c r="U25" s="1" t="n">
        <v>1.5991</v>
      </c>
      <c r="X25" s="1" t="e">
        <f aca="false">AVERAGE(S25:S26)/100</f>
        <v>#DIV/0!</v>
      </c>
      <c r="Y25" s="1" t="e">
        <f aca="false">AVERAGE(T25:T26)/100</f>
        <v>#DIV/0!</v>
      </c>
      <c r="Z25" s="1" t="n">
        <f aca="false">AVERAGE(U25:V26)/100</f>
        <v>0.015937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2.7519</v>
      </c>
      <c r="F26" s="1" t="n">
        <v>3.0157</v>
      </c>
      <c r="G26" s="2" t="n">
        <f aca="false">1000-E26</f>
        <v>1000</v>
      </c>
      <c r="H26" s="1" t="n">
        <v>3.4988</v>
      </c>
      <c r="I26" s="1" t="n">
        <f aca="false">F26-D26</f>
        <v>0.2638</v>
      </c>
      <c r="J26" s="1" t="n">
        <f aca="false">H26-F26</f>
        <v>0.4831</v>
      </c>
      <c r="K26" s="1" t="n">
        <f aca="false">J26+I26</f>
        <v>0.7469</v>
      </c>
      <c r="P26" s="1" t="e">
        <f aca="false">M26/$G$2</f>
        <v>#DIV/0!</v>
      </c>
      <c r="Q26" s="1" t="e">
        <f aca="false">N26/$H$2</f>
        <v>#DIV/0!</v>
      </c>
      <c r="S26" s="1" t="e">
        <f aca="false">P26*$K26/$I26</f>
        <v>#DIV/0!</v>
      </c>
      <c r="T26" s="1" t="e">
        <f aca="false">Q26*$K26/$I26</f>
        <v>#DIV/0!</v>
      </c>
      <c r="U26" s="1" t="n">
        <v>1.5883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2.7848</v>
      </c>
      <c r="F27" s="1" t="n">
        <v>3.0739</v>
      </c>
      <c r="G27" s="2" t="n">
        <f aca="false">1000-E27</f>
        <v>1000</v>
      </c>
      <c r="H27" s="1" t="n">
        <v>3.5576</v>
      </c>
      <c r="I27" s="1" t="n">
        <f aca="false">F27-D27</f>
        <v>0.2891</v>
      </c>
      <c r="J27" s="1" t="n">
        <f aca="false">H27-F27</f>
        <v>0.4837</v>
      </c>
      <c r="K27" s="1" t="n">
        <f aca="false">J27+I27</f>
        <v>0.7728</v>
      </c>
      <c r="P27" s="1" t="e">
        <f aca="false">M27/$G$2</f>
        <v>#DIV/0!</v>
      </c>
      <c r="Q27" s="1" t="e">
        <f aca="false">N27/$H$2</f>
        <v>#DIV/0!</v>
      </c>
      <c r="S27" s="1" t="e">
        <f aca="false">P27*$K27/$I27</f>
        <v>#DIV/0!</v>
      </c>
      <c r="T27" s="1" t="e">
        <f aca="false">Q27*$K27/$I27</f>
        <v>#DIV/0!</v>
      </c>
      <c r="X27" s="1" t="e">
        <f aca="false">AVERAGE(S27:S28)/100</f>
        <v>#DIV/0!</v>
      </c>
      <c r="Y27" s="1" t="e">
        <f aca="false">AVERAGE(T27:T28)/100</f>
        <v>#DIV/0!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2.7548</v>
      </c>
      <c r="F28" s="1" t="n">
        <v>3.1571</v>
      </c>
      <c r="G28" s="2" t="n">
        <f aca="false">1000-E28</f>
        <v>1000</v>
      </c>
      <c r="H28" s="1" t="n">
        <v>3.6381</v>
      </c>
      <c r="I28" s="1" t="n">
        <f aca="false">F28-D28</f>
        <v>0.4023</v>
      </c>
      <c r="J28" s="1" t="n">
        <f aca="false">H28-F28</f>
        <v>0.481</v>
      </c>
      <c r="K28" s="1" t="n">
        <f aca="false">J28+I28</f>
        <v>0.8833</v>
      </c>
      <c r="P28" s="1" t="e">
        <f aca="false">M28/$G$2</f>
        <v>#DIV/0!</v>
      </c>
      <c r="Q28" s="1" t="e">
        <f aca="false">N28/$H$2</f>
        <v>#DIV/0!</v>
      </c>
      <c r="S28" s="1" t="e">
        <f aca="false">P28*$K28/$I28</f>
        <v>#DIV/0!</v>
      </c>
      <c r="T28" s="1" t="e">
        <f aca="false">Q28*$K28/$I28</f>
        <v>#DIV/0!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63" t="s">
        <v>67</v>
      </c>
      <c r="H1" s="64"/>
    </row>
    <row r="2" customFormat="false" ht="14.25" hidden="false" customHeight="true" outlineLevel="0" collapsed="false">
      <c r="E2" s="1" t="s">
        <v>2</v>
      </c>
      <c r="F2" s="1" t="n">
        <v>363.5756</v>
      </c>
      <c r="H2" s="4"/>
    </row>
    <row r="3" customFormat="false" ht="14.25" hidden="false" customHeight="true" outlineLevel="0" collapsed="false"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62</v>
      </c>
      <c r="B5" s="19" t="s">
        <v>31</v>
      </c>
      <c r="C5" s="20" t="n">
        <v>1</v>
      </c>
      <c r="D5" s="21" t="n">
        <v>2.8012</v>
      </c>
      <c r="E5" s="19" t="n">
        <v>300</v>
      </c>
      <c r="F5" s="20" t="n">
        <v>2.9715</v>
      </c>
      <c r="G5" s="19" t="n">
        <f aca="false">1000-E5</f>
        <v>700</v>
      </c>
      <c r="H5" s="20" t="n">
        <v>3.612</v>
      </c>
      <c r="I5" s="22" t="n">
        <f aca="false">F5-D5</f>
        <v>0.1703</v>
      </c>
      <c r="J5" s="22" t="n">
        <f aca="false">H5-F5</f>
        <v>0.6405</v>
      </c>
      <c r="K5" s="22" t="n">
        <f aca="false">J5+I5</f>
        <v>0.8108</v>
      </c>
      <c r="L5" s="23"/>
      <c r="M5" s="23"/>
      <c r="N5" s="23"/>
      <c r="O5" s="24" t="n">
        <f aca="false">L5/$F$2</f>
        <v>0</v>
      </c>
      <c r="P5" s="47"/>
      <c r="Q5" s="26" t="e">
        <f aca="false">N5/$G$2</f>
        <v>#DIV/0!</v>
      </c>
      <c r="R5" s="25" t="n">
        <f aca="false">O5*$K5/$I5</f>
        <v>0</v>
      </c>
      <c r="S5" s="47"/>
      <c r="T5" s="26" t="e">
        <f aca="false">Q5*$K5/$I5</f>
        <v>#DIV/0!</v>
      </c>
      <c r="U5" s="27" t="n">
        <v>1.1008</v>
      </c>
      <c r="V5" s="27"/>
      <c r="W5" s="48" t="n">
        <f aca="false">AVERAGE(R5:R6)/100</f>
        <v>0</v>
      </c>
      <c r="X5" s="49"/>
      <c r="Y5" s="49" t="e">
        <f aca="false">AVERAGE(T5:T6)/100</f>
        <v>#DIV/0!</v>
      </c>
      <c r="Z5" s="50" t="n">
        <f aca="false">AVERAGE(U5:V6)/100</f>
        <v>0.011057</v>
      </c>
      <c r="AA5" s="2" t="e">
        <f aca="false">SUM(W5:Z5)</f>
        <v>#DIV/0!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2.8703</v>
      </c>
      <c r="E6" s="20" t="n">
        <v>300</v>
      </c>
      <c r="F6" s="20" t="n">
        <v>3.0163</v>
      </c>
      <c r="G6" s="19" t="n">
        <f aca="false">1000-E6</f>
        <v>700</v>
      </c>
      <c r="H6" s="20" t="n">
        <v>3.6549</v>
      </c>
      <c r="I6" s="22" t="n">
        <f aca="false">F6-D6</f>
        <v>0.146</v>
      </c>
      <c r="J6" s="22" t="n">
        <f aca="false">H6-F6</f>
        <v>0.6386</v>
      </c>
      <c r="K6" s="22" t="n">
        <f aca="false">J6+I6</f>
        <v>0.7846</v>
      </c>
      <c r="L6" s="23"/>
      <c r="M6" s="23"/>
      <c r="N6" s="23"/>
      <c r="O6" s="24" t="n">
        <f aca="false">L6/$F$2</f>
        <v>0</v>
      </c>
      <c r="P6" s="47"/>
      <c r="Q6" s="26" t="e">
        <f aca="false">N6/$G$2</f>
        <v>#DIV/0!</v>
      </c>
      <c r="R6" s="25" t="n">
        <f aca="false">O6*$K6/$I6</f>
        <v>0</v>
      </c>
      <c r="S6" s="47"/>
      <c r="T6" s="26" t="e">
        <f aca="false">Q6*$K6/$I6</f>
        <v>#DIV/0!</v>
      </c>
      <c r="U6" s="27" t="n">
        <v>1.1106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2.7946</v>
      </c>
      <c r="E7" s="34" t="n">
        <v>100</v>
      </c>
      <c r="F7" s="34" t="n">
        <v>3.0147</v>
      </c>
      <c r="G7" s="30" t="n">
        <f aca="false">1000-E7</f>
        <v>900</v>
      </c>
      <c r="H7" s="34" t="n">
        <v>3.6552</v>
      </c>
      <c r="I7" s="35" t="n">
        <f aca="false">F7-D7</f>
        <v>0.2201</v>
      </c>
      <c r="J7" s="35" t="n">
        <f aca="false">H7-F7</f>
        <v>0.6405</v>
      </c>
      <c r="K7" s="35" t="n">
        <f aca="false">J7+I7</f>
        <v>0.8606</v>
      </c>
      <c r="N7" s="36"/>
      <c r="O7" s="52" t="n">
        <f aca="false">L7/$F$2</f>
        <v>0</v>
      </c>
      <c r="P7" s="53"/>
      <c r="Q7" s="54" t="e">
        <f aca="false">N7/$G$2</f>
        <v>#DIV/0!</v>
      </c>
      <c r="R7" s="55" t="n">
        <f aca="false">O7*$K7/$I7</f>
        <v>0</v>
      </c>
      <c r="S7" s="53"/>
      <c r="T7" s="54" t="e">
        <f aca="false">Q7*$K7/$I7</f>
        <v>#DIV/0!</v>
      </c>
      <c r="U7" s="2" t="n">
        <v>99.4816</v>
      </c>
      <c r="V7" s="2"/>
      <c r="W7" s="51" t="n">
        <f aca="false">AVERAGE(R7:R8)/100</f>
        <v>0</v>
      </c>
      <c r="Y7" s="1" t="e">
        <f aca="false">AVERAGE(T7:T8)/100</f>
        <v>#DIV/0!</v>
      </c>
      <c r="Z7" s="33" t="n">
        <f aca="false">AVERAGE(U7:V8)/100</f>
        <v>0.9886145</v>
      </c>
      <c r="AA7" s="2" t="e">
        <f aca="false">SUM(W7:Z7)</f>
        <v>#DIV/0!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2.8078</v>
      </c>
      <c r="E8" s="34" t="n">
        <v>100</v>
      </c>
      <c r="F8" s="34" t="n">
        <v>3.0238</v>
      </c>
      <c r="G8" s="30" t="n">
        <f aca="false">1000-E8</f>
        <v>900</v>
      </c>
      <c r="H8" s="34" t="n">
        <v>3.6615</v>
      </c>
      <c r="I8" s="35" t="n">
        <f aca="false">F8-D8</f>
        <v>0.216</v>
      </c>
      <c r="J8" s="35" t="n">
        <f aca="false">H8-F8</f>
        <v>0.6377</v>
      </c>
      <c r="K8" s="35" t="n">
        <f aca="false">J8+I8</f>
        <v>0.8537</v>
      </c>
      <c r="L8" s="36"/>
      <c r="M8" s="36"/>
      <c r="N8" s="36"/>
      <c r="O8" s="52" t="n">
        <f aca="false">L8/$F$2</f>
        <v>0</v>
      </c>
      <c r="P8" s="53"/>
      <c r="Q8" s="54" t="e">
        <f aca="false">N8/$G$2</f>
        <v>#DIV/0!</v>
      </c>
      <c r="R8" s="55" t="n">
        <f aca="false">O8*$K8/$I8</f>
        <v>0</v>
      </c>
      <c r="S8" s="53"/>
      <c r="T8" s="54" t="e">
        <f aca="false">Q8*$K8/$I8</f>
        <v>#DIV/0!</v>
      </c>
      <c r="U8" s="2" t="n">
        <v>98.2413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63</v>
      </c>
      <c r="B9" s="19" t="s">
        <v>31</v>
      </c>
      <c r="C9" s="20" t="n">
        <v>5</v>
      </c>
      <c r="D9" s="19" t="n">
        <v>2.8465</v>
      </c>
      <c r="E9" s="19" t="n">
        <v>300</v>
      </c>
      <c r="F9" s="20" t="n">
        <v>2.9449</v>
      </c>
      <c r="G9" s="19" t="n">
        <f aca="false">1000-E9</f>
        <v>700</v>
      </c>
      <c r="H9" s="20" t="n">
        <v>3.5629</v>
      </c>
      <c r="I9" s="22" t="n">
        <f aca="false">F9-D9</f>
        <v>0.0984000000000003</v>
      </c>
      <c r="J9" s="22" t="n">
        <f aca="false">H9-F9</f>
        <v>0.618</v>
      </c>
      <c r="K9" s="22" t="n">
        <f aca="false">J9+I9</f>
        <v>0.7164</v>
      </c>
      <c r="L9" s="23"/>
      <c r="M9" s="23"/>
      <c r="N9" s="23"/>
      <c r="O9" s="24" t="n">
        <f aca="false">L9/$F$2</f>
        <v>0</v>
      </c>
      <c r="P9" s="47"/>
      <c r="Q9" s="26" t="e">
        <f aca="false">N9/$G$2</f>
        <v>#DIV/0!</v>
      </c>
      <c r="R9" s="25" t="n">
        <f aca="false">O9*$K9/$I9</f>
        <v>0</v>
      </c>
      <c r="S9" s="47"/>
      <c r="T9" s="26" t="e">
        <f aca="false">Q9*$K9/$I9</f>
        <v>#DIV/0!</v>
      </c>
      <c r="U9" s="27" t="n">
        <v>97.6096</v>
      </c>
      <c r="V9" s="27" t="n">
        <v>99.7309</v>
      </c>
      <c r="W9" s="56" t="n">
        <f aca="false">AVERAGE(R9:R10)/100</f>
        <v>0</v>
      </c>
      <c r="X9" s="57"/>
      <c r="Y9" s="57" t="e">
        <f aca="false">AVERAGE(T9:T10)/100</f>
        <v>#DIV/0!</v>
      </c>
      <c r="Z9" s="29" t="n">
        <f aca="false">AVERAGE(U9:V10)/100</f>
        <v>0.986094</v>
      </c>
      <c r="AA9" s="2" t="e">
        <f aca="false">SUM(W9:Z9)</f>
        <v>#DIV/0!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2.834</v>
      </c>
      <c r="E10" s="20" t="n">
        <v>300</v>
      </c>
      <c r="F10" s="20" t="n">
        <v>3.0123</v>
      </c>
      <c r="G10" s="19" t="n">
        <f aca="false">1000-E10</f>
        <v>700</v>
      </c>
      <c r="H10" s="20" t="n">
        <v>3.656</v>
      </c>
      <c r="I10" s="22" t="n">
        <f aca="false">F10-D10</f>
        <v>0.1783</v>
      </c>
      <c r="J10" s="22" t="n">
        <f aca="false">H10-F10</f>
        <v>0.6437</v>
      </c>
      <c r="K10" s="22" t="n">
        <f aca="false">J10+I10</f>
        <v>0.822</v>
      </c>
      <c r="L10" s="23"/>
      <c r="M10" s="23"/>
      <c r="N10" s="23"/>
      <c r="O10" s="24" t="n">
        <f aca="false">L10/$F$2</f>
        <v>0</v>
      </c>
      <c r="P10" s="47"/>
      <c r="Q10" s="26" t="e">
        <f aca="false">N10/$G$2</f>
        <v>#DIV/0!</v>
      </c>
      <c r="R10" s="25" t="n">
        <f aca="false">O10*$K10/$I10</f>
        <v>0</v>
      </c>
      <c r="S10" s="47"/>
      <c r="T10" s="26" t="e">
        <f aca="false">Q10*$K10/$I10</f>
        <v>#DIV/0!</v>
      </c>
      <c r="U10" s="27" t="n">
        <v>98.4877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2.7981</v>
      </c>
      <c r="E11" s="34" t="n">
        <v>100</v>
      </c>
      <c r="F11" s="34" t="n">
        <v>2.9724</v>
      </c>
      <c r="G11" s="30" t="n">
        <f aca="false">1000-E11</f>
        <v>900</v>
      </c>
      <c r="H11" s="34" t="n">
        <v>3.611</v>
      </c>
      <c r="I11" s="35" t="n">
        <f aca="false">F11-D11</f>
        <v>0.1743</v>
      </c>
      <c r="J11" s="35" t="n">
        <f aca="false">H11-F11</f>
        <v>0.6386</v>
      </c>
      <c r="K11" s="35" t="n">
        <f aca="false">J11+I11</f>
        <v>0.8129</v>
      </c>
      <c r="L11" s="40"/>
      <c r="M11" s="40"/>
      <c r="N11" s="36"/>
      <c r="O11" s="52" t="n">
        <f aca="false">L11/$F$2</f>
        <v>0</v>
      </c>
      <c r="P11" s="53"/>
      <c r="Q11" s="54" t="e">
        <f aca="false">N11/$G$2</f>
        <v>#DIV/0!</v>
      </c>
      <c r="R11" s="55" t="n">
        <f aca="false">O11*$K11/$I11</f>
        <v>0</v>
      </c>
      <c r="S11" s="53"/>
      <c r="T11" s="54" t="e">
        <f aca="false">Q11*$K11/$I11</f>
        <v>#DIV/0!</v>
      </c>
      <c r="U11" s="2" t="n">
        <v>7.8468</v>
      </c>
      <c r="V11" s="2"/>
      <c r="W11" s="51" t="n">
        <f aca="false">AVERAGE(R11:R12)/100</f>
        <v>0</v>
      </c>
      <c r="Y11" s="1" t="e">
        <f aca="false">AVERAGE(T11:T12)/100</f>
        <v>#DIV/0!</v>
      </c>
      <c r="Z11" s="33" t="n">
        <f aca="false">AVERAGE(U11:V12)/100</f>
        <v>0.0792005</v>
      </c>
      <c r="AA11" s="2" t="e">
        <f aca="false">SUM(W11:Z11)</f>
        <v>#DIV/0!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2.8034</v>
      </c>
      <c r="E12" s="34" t="n">
        <v>100</v>
      </c>
      <c r="F12" s="34" t="n">
        <v>2.9342</v>
      </c>
      <c r="G12" s="30" t="n">
        <f aca="false">1000-E12</f>
        <v>900</v>
      </c>
      <c r="H12" s="34" t="n">
        <v>3.5736</v>
      </c>
      <c r="I12" s="35" t="n">
        <f aca="false">F12-D12</f>
        <v>0.1308</v>
      </c>
      <c r="J12" s="35" t="n">
        <f aca="false">H12-F12</f>
        <v>0.6394</v>
      </c>
      <c r="K12" s="35" t="n">
        <f aca="false">J12+I12</f>
        <v>0.7702</v>
      </c>
      <c r="L12" s="36"/>
      <c r="M12" s="36"/>
      <c r="N12" s="36"/>
      <c r="O12" s="52" t="n">
        <f aca="false">L12/$F$2</f>
        <v>0</v>
      </c>
      <c r="P12" s="53"/>
      <c r="Q12" s="54" t="e">
        <f aca="false">N12/$G$2</f>
        <v>#DIV/0!</v>
      </c>
      <c r="R12" s="55" t="n">
        <f aca="false">O12*$K12/$I12</f>
        <v>0</v>
      </c>
      <c r="S12" s="53"/>
      <c r="T12" s="54" t="e">
        <f aca="false">Q12*$K12/$I12</f>
        <v>#DIV/0!</v>
      </c>
      <c r="U12" s="2" t="n">
        <v>7.9933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64</v>
      </c>
      <c r="B13" s="19" t="s">
        <v>31</v>
      </c>
      <c r="C13" s="20" t="n">
        <v>9</v>
      </c>
      <c r="D13" s="19" t="n">
        <v>2.8009</v>
      </c>
      <c r="E13" s="19" t="n">
        <v>300</v>
      </c>
      <c r="F13" s="20" t="n">
        <v>3.0359</v>
      </c>
      <c r="G13" s="19" t="n">
        <f aca="false">1000-E13</f>
        <v>700</v>
      </c>
      <c r="H13" s="20" t="n">
        <v>3.6692</v>
      </c>
      <c r="I13" s="22" t="n">
        <f aca="false">F13-D13</f>
        <v>0.235</v>
      </c>
      <c r="J13" s="22" t="n">
        <f aca="false">H13-F13</f>
        <v>0.6333</v>
      </c>
      <c r="K13" s="22" t="n">
        <f aca="false">J13+I13</f>
        <v>0.8683</v>
      </c>
      <c r="L13" s="23"/>
      <c r="M13" s="23"/>
      <c r="N13" s="23"/>
      <c r="O13" s="24" t="n">
        <f aca="false">L13/$F$2</f>
        <v>0</v>
      </c>
      <c r="P13" s="47"/>
      <c r="Q13" s="26" t="e">
        <f aca="false">N13/$G$2</f>
        <v>#DIV/0!</v>
      </c>
      <c r="R13" s="25" t="n">
        <f aca="false">O13*$K13/$I13</f>
        <v>0</v>
      </c>
      <c r="S13" s="47"/>
      <c r="T13" s="26" t="e">
        <f aca="false">Q13*$K13/$I13</f>
        <v>#DIV/0!</v>
      </c>
      <c r="U13" s="27" t="n">
        <v>4.4671</v>
      </c>
      <c r="V13" s="27"/>
      <c r="W13" s="56" t="n">
        <f aca="false">AVERAGE(R13:R14)/100</f>
        <v>0</v>
      </c>
      <c r="X13" s="57"/>
      <c r="Y13" s="57" t="e">
        <f aca="false">AVERAGE(T13:T14)/100</f>
        <v>#DIV/0!</v>
      </c>
      <c r="Z13" s="29" t="n">
        <f aca="false">AVERAGE(U13:V14)/100</f>
        <v>0.0442125</v>
      </c>
      <c r="AA13" s="2" t="e">
        <f aca="false">SUM(W13:Z13)</f>
        <v>#DIV/0!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2.8659</v>
      </c>
      <c r="E14" s="20" t="n">
        <v>300</v>
      </c>
      <c r="F14" s="20" t="n">
        <v>2.9982</v>
      </c>
      <c r="G14" s="19" t="n">
        <f aca="false">1000-E14</f>
        <v>700</v>
      </c>
      <c r="H14" s="20" t="n">
        <v>3.6368</v>
      </c>
      <c r="I14" s="22" t="n">
        <f aca="false">F14-D14</f>
        <v>0.1323</v>
      </c>
      <c r="J14" s="22" t="n">
        <f aca="false">H14-F14</f>
        <v>0.6386</v>
      </c>
      <c r="K14" s="22" t="n">
        <f aca="false">J14+I14</f>
        <v>0.7709</v>
      </c>
      <c r="L14" s="23"/>
      <c r="M14" s="23"/>
      <c r="N14" s="23"/>
      <c r="O14" s="24" t="n">
        <f aca="false">L14/$F$2</f>
        <v>0</v>
      </c>
      <c r="P14" s="47"/>
      <c r="Q14" s="26" t="e">
        <f aca="false">N14/$G$2</f>
        <v>#DIV/0!</v>
      </c>
      <c r="R14" s="25" t="n">
        <f aca="false">O14*$K14/$I14</f>
        <v>0</v>
      </c>
      <c r="S14" s="47"/>
      <c r="T14" s="26" t="e">
        <f aca="false">Q14*$K14/$I14</f>
        <v>#DIV/0!</v>
      </c>
      <c r="U14" s="27" t="n">
        <v>4.3754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2.7983</v>
      </c>
      <c r="E15" s="34" t="n">
        <v>100</v>
      </c>
      <c r="F15" s="34" t="n">
        <v>2.9485</v>
      </c>
      <c r="G15" s="30" t="n">
        <f aca="false">1000-E15</f>
        <v>900</v>
      </c>
      <c r="H15" s="34" t="n">
        <v>3.5893</v>
      </c>
      <c r="I15" s="35" t="n">
        <f aca="false">F15-D15</f>
        <v>0.1502</v>
      </c>
      <c r="J15" s="35" t="n">
        <f aca="false">H15-F15</f>
        <v>0.6408</v>
      </c>
      <c r="K15" s="35" t="n">
        <f aca="false">J15+I15</f>
        <v>0.791</v>
      </c>
      <c r="L15" s="36"/>
      <c r="M15" s="36"/>
      <c r="N15" s="41"/>
      <c r="O15" s="52" t="n">
        <f aca="false">L15/$F$2</f>
        <v>0</v>
      </c>
      <c r="P15" s="53"/>
      <c r="Q15" s="54" t="e">
        <f aca="false">N15/$G$2</f>
        <v>#DIV/0!</v>
      </c>
      <c r="R15" s="55" t="n">
        <f aca="false">O15*$K15/$I15</f>
        <v>0</v>
      </c>
      <c r="S15" s="53"/>
      <c r="T15" s="54" t="e">
        <f aca="false">Q15*$K15/$I15</f>
        <v>#DIV/0!</v>
      </c>
      <c r="U15" s="2" t="n">
        <v>98.793</v>
      </c>
      <c r="V15" s="2"/>
      <c r="W15" s="51" t="n">
        <f aca="false">AVERAGE(R15:R16)/100</f>
        <v>0</v>
      </c>
      <c r="Y15" s="1" t="e">
        <f aca="false">AVERAGE(T15:T16)/100</f>
        <v>#DIV/0!</v>
      </c>
      <c r="Z15" s="33" t="n">
        <f aca="false">AVERAGE(U15:V16)/100</f>
        <v>0.987522</v>
      </c>
      <c r="AA15" s="2" t="e">
        <f aca="false">SUM(W15:Z15)</f>
        <v>#DIV/0!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2.7929</v>
      </c>
      <c r="E16" s="34" t="n">
        <v>100</v>
      </c>
      <c r="F16" s="34" t="n">
        <v>3.0272</v>
      </c>
      <c r="G16" s="30" t="n">
        <f aca="false">1000-E16</f>
        <v>900</v>
      </c>
      <c r="H16" s="34" t="n">
        <v>3.6644</v>
      </c>
      <c r="I16" s="35" t="n">
        <f aca="false">F16-D16</f>
        <v>0.2343</v>
      </c>
      <c r="J16" s="35" t="n">
        <f aca="false">H16-F16</f>
        <v>0.6372</v>
      </c>
      <c r="K16" s="35" t="n">
        <f aca="false">J16+I16</f>
        <v>0.8715</v>
      </c>
      <c r="L16" s="36"/>
      <c r="M16" s="36"/>
      <c r="N16" s="36"/>
      <c r="O16" s="52" t="n">
        <f aca="false">L16/$F$2</f>
        <v>0</v>
      </c>
      <c r="P16" s="53"/>
      <c r="Q16" s="54" t="e">
        <f aca="false">N16/$G$2</f>
        <v>#DIV/0!</v>
      </c>
      <c r="R16" s="55" t="n">
        <f aca="false">O16*$K16/$I16</f>
        <v>0</v>
      </c>
      <c r="S16" s="53"/>
      <c r="T16" s="54" t="e">
        <f aca="false">Q16*$K16/$I16</f>
        <v>#DIV/0!</v>
      </c>
      <c r="U16" s="2" t="n">
        <v>98.7114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65</v>
      </c>
      <c r="B17" s="19" t="s">
        <v>31</v>
      </c>
      <c r="C17" s="20" t="n">
        <v>13</v>
      </c>
      <c r="D17" s="19" t="n">
        <v>2.8159</v>
      </c>
      <c r="E17" s="19" t="n">
        <v>300</v>
      </c>
      <c r="F17" s="20" t="n">
        <v>3.0136</v>
      </c>
      <c r="G17" s="19" t="n">
        <f aca="false">1000-E17</f>
        <v>700</v>
      </c>
      <c r="H17" s="20" t="n">
        <v>3.6274</v>
      </c>
      <c r="I17" s="22" t="n">
        <f aca="false">F17-D17</f>
        <v>0.1977</v>
      </c>
      <c r="J17" s="22" t="n">
        <f aca="false">H17-F17</f>
        <v>0.6138</v>
      </c>
      <c r="K17" s="22" t="n">
        <f aca="false">J17+I17</f>
        <v>0.8115</v>
      </c>
      <c r="L17" s="23"/>
      <c r="M17" s="23"/>
      <c r="N17" s="23"/>
      <c r="O17" s="24" t="n">
        <f aca="false">L17/$F$2</f>
        <v>0</v>
      </c>
      <c r="P17" s="47"/>
      <c r="Q17" s="26" t="e">
        <f aca="false">N17/$G$2</f>
        <v>#DIV/0!</v>
      </c>
      <c r="R17" s="25" t="n">
        <f aca="false">O17*$K17/$I17</f>
        <v>0</v>
      </c>
      <c r="S17" s="47"/>
      <c r="T17" s="26" t="e">
        <f aca="false">Q17*$K17/$I17</f>
        <v>#DIV/0!</v>
      </c>
      <c r="U17" s="27" t="n">
        <v>6.4258</v>
      </c>
      <c r="V17" s="27"/>
      <c r="W17" s="56" t="n">
        <f aca="false">AVERAGE(R17:R18)/100</f>
        <v>0</v>
      </c>
      <c r="X17" s="57"/>
      <c r="Y17" s="57" t="e">
        <f aca="false">AVERAGE(T17:T18)/100</f>
        <v>#DIV/0!</v>
      </c>
      <c r="Z17" s="29" t="n">
        <f aca="false">AVERAGE(U17:V18)/100</f>
        <v>0.062883</v>
      </c>
      <c r="AA17" s="2" t="e">
        <f aca="false">SUM(W17:Z17)</f>
        <v>#DIV/0!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2.8546</v>
      </c>
      <c r="E18" s="20" t="n">
        <v>300</v>
      </c>
      <c r="F18" s="20" t="n">
        <v>3.0014</v>
      </c>
      <c r="G18" s="19" t="n">
        <f aca="false">1000-E18</f>
        <v>700</v>
      </c>
      <c r="H18" s="20" t="n">
        <v>3.6465</v>
      </c>
      <c r="I18" s="22" t="n">
        <f aca="false">F18-D18</f>
        <v>0.1468</v>
      </c>
      <c r="J18" s="22" t="n">
        <f aca="false">H18-F18</f>
        <v>0.6451</v>
      </c>
      <c r="K18" s="22" t="n">
        <f aca="false">J18+I18</f>
        <v>0.7919</v>
      </c>
      <c r="L18" s="23"/>
      <c r="M18" s="23"/>
      <c r="N18" s="23"/>
      <c r="O18" s="24" t="n">
        <f aca="false">L18/$F$2</f>
        <v>0</v>
      </c>
      <c r="P18" s="47"/>
      <c r="Q18" s="26" t="e">
        <f aca="false">N18/$G$2</f>
        <v>#DIV/0!</v>
      </c>
      <c r="R18" s="25" t="n">
        <f aca="false">O18*$K18/$I18</f>
        <v>0</v>
      </c>
      <c r="S18" s="47"/>
      <c r="T18" s="26" t="e">
        <f aca="false">Q18*$K18/$I18</f>
        <v>#DIV/0!</v>
      </c>
      <c r="U18" s="27" t="n">
        <v>6.1508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2.8212</v>
      </c>
      <c r="E19" s="34" t="n">
        <v>100</v>
      </c>
      <c r="F19" s="34" t="n">
        <v>2.9905</v>
      </c>
      <c r="G19" s="30" t="n">
        <f aca="false">1000-E19</f>
        <v>900</v>
      </c>
      <c r="H19" s="34" t="n">
        <v>3.6314</v>
      </c>
      <c r="I19" s="35" t="n">
        <f aca="false">F19-D19</f>
        <v>0.1693</v>
      </c>
      <c r="J19" s="35" t="n">
        <f aca="false">H19-F19</f>
        <v>0.6409</v>
      </c>
      <c r="K19" s="35" t="n">
        <f aca="false">J19+I19</f>
        <v>0.8102</v>
      </c>
      <c r="L19" s="36"/>
      <c r="M19" s="36"/>
      <c r="N19" s="36"/>
      <c r="O19" s="52" t="n">
        <f aca="false">L19/$F$2</f>
        <v>0</v>
      </c>
      <c r="P19" s="53"/>
      <c r="Q19" s="54" t="e">
        <f aca="false">N19/$G$2</f>
        <v>#DIV/0!</v>
      </c>
      <c r="R19" s="55" t="n">
        <f aca="false">O19*$K19/$I19</f>
        <v>0</v>
      </c>
      <c r="S19" s="53"/>
      <c r="T19" s="54" t="e">
        <f aca="false">Q19*$K19/$I19</f>
        <v>#DIV/0!</v>
      </c>
      <c r="U19" s="2" t="n">
        <v>98.6729</v>
      </c>
      <c r="V19" s="2"/>
      <c r="W19" s="51" t="n">
        <f aca="false">AVERAGE(R19:R20)/100</f>
        <v>0</v>
      </c>
      <c r="Y19" s="1" t="e">
        <f aca="false">AVERAGE(T19:T20)/100</f>
        <v>#DIV/0!</v>
      </c>
      <c r="Z19" s="33" t="n">
        <f aca="false">AVERAGE(U19:V20)/100</f>
        <v>0.983951</v>
      </c>
      <c r="AA19" s="2" t="e">
        <f aca="false">SUM(W19:Z19)</f>
        <v>#DIV/0!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2.8023</v>
      </c>
      <c r="E20" s="34" t="n">
        <v>100</v>
      </c>
      <c r="F20" s="34" t="n">
        <v>3.014</v>
      </c>
      <c r="G20" s="30" t="n">
        <f aca="false">1000-E20</f>
        <v>900</v>
      </c>
      <c r="H20" s="34" t="n">
        <v>3.6551</v>
      </c>
      <c r="I20" s="35" t="n">
        <f aca="false">F20-D20</f>
        <v>0.2117</v>
      </c>
      <c r="J20" s="35" t="n">
        <f aca="false">H20-F20</f>
        <v>0.6411</v>
      </c>
      <c r="K20" s="35" t="n">
        <f aca="false">J20+I20</f>
        <v>0.8528</v>
      </c>
      <c r="L20" s="36"/>
      <c r="M20" s="36"/>
      <c r="N20" s="36"/>
      <c r="O20" s="52" t="n">
        <f aca="false">L20/$F$2</f>
        <v>0</v>
      </c>
      <c r="P20" s="53"/>
      <c r="Q20" s="54" t="e">
        <f aca="false">N20/$G$2</f>
        <v>#DIV/0!</v>
      </c>
      <c r="R20" s="55" t="n">
        <f aca="false">O20*$K20/$I20</f>
        <v>0</v>
      </c>
      <c r="S20" s="53"/>
      <c r="T20" s="54" t="e">
        <f aca="false">Q20*$K20/$I20</f>
        <v>#DIV/0!</v>
      </c>
      <c r="U20" s="2" t="n">
        <v>98.1173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66</v>
      </c>
      <c r="B21" s="19" t="s">
        <v>31</v>
      </c>
      <c r="C21" s="20" t="n">
        <v>17</v>
      </c>
      <c r="D21" s="19" t="n">
        <v>2.8164</v>
      </c>
      <c r="E21" s="19" t="n">
        <v>300</v>
      </c>
      <c r="F21" s="20" t="n">
        <v>3.0017</v>
      </c>
      <c r="G21" s="19" t="n">
        <f aca="false">1000-E21</f>
        <v>700</v>
      </c>
      <c r="H21" s="20" t="n">
        <v>3.6024</v>
      </c>
      <c r="I21" s="22" t="n">
        <f aca="false">F21-D21</f>
        <v>0.1853</v>
      </c>
      <c r="J21" s="22" t="n">
        <f aca="false">H21-F21</f>
        <v>0.6007</v>
      </c>
      <c r="K21" s="22" t="n">
        <f aca="false">J21+I21</f>
        <v>0.786</v>
      </c>
      <c r="L21" s="23"/>
      <c r="M21" s="23"/>
      <c r="N21" s="23"/>
      <c r="O21" s="24" t="n">
        <f aca="false">L21/$F$2</f>
        <v>0</v>
      </c>
      <c r="P21" s="47"/>
      <c r="Q21" s="26" t="e">
        <f aca="false">N21/$G$2</f>
        <v>#DIV/0!</v>
      </c>
      <c r="R21" s="25" t="n">
        <f aca="false">O21*$K21/$I21</f>
        <v>0</v>
      </c>
      <c r="S21" s="47"/>
      <c r="T21" s="26" t="e">
        <f aca="false">Q21*$K21/$I21</f>
        <v>#DIV/0!</v>
      </c>
      <c r="U21" s="27" t="n">
        <v>2.8273</v>
      </c>
      <c r="V21" s="27"/>
      <c r="W21" s="56" t="n">
        <f aca="false">AVERAGE(R21:R22)/100</f>
        <v>0</v>
      </c>
      <c r="X21" s="57"/>
      <c r="Y21" s="57" t="e">
        <f aca="false">AVERAGE(T21:T22)/100</f>
        <v>#DIV/0!</v>
      </c>
      <c r="Z21" s="29" t="n">
        <f aca="false">AVERAGE(U21:V22)/100</f>
        <v>0.027996</v>
      </c>
      <c r="AA21" s="2" t="e">
        <f aca="false">SUM(W21:Z21)</f>
        <v>#DIV/0!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2.8171</v>
      </c>
      <c r="E22" s="20" t="n">
        <v>300</v>
      </c>
      <c r="F22" s="20" t="n">
        <v>3.0021</v>
      </c>
      <c r="G22" s="19" t="n">
        <f aca="false">1000-E22</f>
        <v>700</v>
      </c>
      <c r="H22" s="20" t="n">
        <v>3.6464</v>
      </c>
      <c r="I22" s="22" t="n">
        <f aca="false">F22-D22</f>
        <v>0.185</v>
      </c>
      <c r="J22" s="22" t="n">
        <f aca="false">H22-F22</f>
        <v>0.6443</v>
      </c>
      <c r="K22" s="22" t="n">
        <f aca="false">J22+I22</f>
        <v>0.8293</v>
      </c>
      <c r="L22" s="23"/>
      <c r="M22" s="23"/>
      <c r="N22" s="23"/>
      <c r="O22" s="24" t="n">
        <f aca="false">L22/$F$2</f>
        <v>0</v>
      </c>
      <c r="P22" s="47"/>
      <c r="Q22" s="26" t="e">
        <f aca="false">N22/$G$2</f>
        <v>#DIV/0!</v>
      </c>
      <c r="R22" s="25" t="n">
        <f aca="false">O22*$K22/$I22</f>
        <v>0</v>
      </c>
      <c r="S22" s="47"/>
      <c r="T22" s="26" t="e">
        <f aca="false">Q22*$K22/$I22</f>
        <v>#DIV/0!</v>
      </c>
      <c r="U22" s="27" t="n">
        <v>2.7719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2.8014</v>
      </c>
      <c r="E23" s="34" t="n">
        <v>100</v>
      </c>
      <c r="F23" s="34" t="n">
        <v>3.0245</v>
      </c>
      <c r="G23" s="30" t="n">
        <f aca="false">1000-E23</f>
        <v>900</v>
      </c>
      <c r="H23" s="34" t="n">
        <v>3.6706</v>
      </c>
      <c r="I23" s="35" t="n">
        <f aca="false">F23-D23</f>
        <v>0.2231</v>
      </c>
      <c r="J23" s="35" t="n">
        <f aca="false">H23-F23</f>
        <v>0.6461</v>
      </c>
      <c r="K23" s="35" t="n">
        <f aca="false">J23+I23</f>
        <v>0.8692</v>
      </c>
      <c r="L23" s="36"/>
      <c r="M23" s="36"/>
      <c r="N23" s="36"/>
      <c r="O23" s="52" t="n">
        <f aca="false">L23/$F$2</f>
        <v>0</v>
      </c>
      <c r="P23" s="53"/>
      <c r="Q23" s="54" t="e">
        <f aca="false">N23/$G$2</f>
        <v>#DIV/0!</v>
      </c>
      <c r="R23" s="55" t="n">
        <f aca="false">O23*$K23/$I23</f>
        <v>0</v>
      </c>
      <c r="S23" s="53"/>
      <c r="T23" s="54" t="e">
        <f aca="false">Q23*$K23/$I23</f>
        <v>#DIV/0!</v>
      </c>
      <c r="U23" s="2" t="n">
        <v>97.482</v>
      </c>
      <c r="V23" s="2" t="n">
        <v>100.2932</v>
      </c>
      <c r="W23" s="51" t="n">
        <f aca="false">AVERAGE(R23:R24)/100</f>
        <v>0</v>
      </c>
      <c r="Y23" s="1" t="e">
        <f aca="false">AVERAGE(T23:T24)/100</f>
        <v>#DIV/0!</v>
      </c>
      <c r="Z23" s="33" t="n">
        <f aca="false">AVERAGE(U23:V24)/100</f>
        <v>0.985854</v>
      </c>
      <c r="AA23" s="2" t="e">
        <f aca="false">SUM(W23:Z23)</f>
        <v>#DIV/0!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2.7188</v>
      </c>
      <c r="E24" s="34" t="n">
        <v>100</v>
      </c>
      <c r="F24" s="34" t="n">
        <v>3.0307</v>
      </c>
      <c r="G24" s="30" t="n">
        <f aca="false">1000-E24</f>
        <v>900</v>
      </c>
      <c r="H24" s="34" t="n">
        <v>3.6734</v>
      </c>
      <c r="I24" s="35" t="n">
        <f aca="false">F24-D24</f>
        <v>0.3119</v>
      </c>
      <c r="J24" s="35" t="n">
        <f aca="false">H24-F24</f>
        <v>0.6427</v>
      </c>
      <c r="K24" s="35" t="n">
        <f aca="false">J24+I24</f>
        <v>0.9546</v>
      </c>
      <c r="L24" s="36"/>
      <c r="M24" s="36"/>
      <c r="N24" s="36"/>
      <c r="O24" s="58" t="n">
        <f aca="false">L24/$F$2</f>
        <v>0</v>
      </c>
      <c r="P24" s="59"/>
      <c r="Q24" s="60" t="e">
        <f aca="false">N24/$G$2</f>
        <v>#DIV/0!</v>
      </c>
      <c r="R24" s="55" t="n">
        <f aca="false">O24*$K24/$I24</f>
        <v>0</v>
      </c>
      <c r="S24" s="53"/>
      <c r="T24" s="54" t="e">
        <f aca="false">Q24*$K24/$I24</f>
        <v>#DIV/0!</v>
      </c>
      <c r="U24" s="42" t="n">
        <v>97.981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2.8209</v>
      </c>
      <c r="F25" s="1" t="n">
        <v>3.0963</v>
      </c>
      <c r="G25" s="2" t="n">
        <f aca="false">1000-E25</f>
        <v>1000</v>
      </c>
      <c r="H25" s="1" t="n">
        <v>3.5769</v>
      </c>
      <c r="I25" s="1" t="n">
        <f aca="false">F25-D25</f>
        <v>0.2754</v>
      </c>
      <c r="J25" s="1" t="n">
        <f aca="false">H25-F25</f>
        <v>0.4806</v>
      </c>
      <c r="K25" s="1" t="n">
        <f aca="false">J25+I25</f>
        <v>0.756</v>
      </c>
      <c r="P25" s="1" t="e">
        <f aca="false">M25/$G$2</f>
        <v>#DIV/0!</v>
      </c>
      <c r="Q25" s="1" t="e">
        <f aca="false">N25/$H$2</f>
        <v>#DIV/0!</v>
      </c>
      <c r="S25" s="1" t="e">
        <f aca="false">P25*$K25/$I25</f>
        <v>#DIV/0!</v>
      </c>
      <c r="T25" s="1" t="e">
        <f aca="false">Q25*$K25/$I25</f>
        <v>#DIV/0!</v>
      </c>
      <c r="U25" s="1" t="n">
        <v>0.9213</v>
      </c>
      <c r="X25" s="1" t="e">
        <f aca="false">AVERAGE(S25:S26)/100</f>
        <v>#DIV/0!</v>
      </c>
      <c r="Y25" s="1" t="e">
        <f aca="false">AVERAGE(T25:T26)/100</f>
        <v>#DIV/0!</v>
      </c>
      <c r="Z25" s="1" t="n">
        <f aca="false">AVERAGE(U25:V26)/100</f>
        <v>0.0092335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2.7648</v>
      </c>
      <c r="F26" s="1" t="n">
        <v>3.0455</v>
      </c>
      <c r="G26" s="2" t="n">
        <f aca="false">1000-E26</f>
        <v>1000</v>
      </c>
      <c r="H26" s="1" t="n">
        <v>3.521</v>
      </c>
      <c r="I26" s="1" t="n">
        <f aca="false">F26-D26</f>
        <v>0.2807</v>
      </c>
      <c r="J26" s="1" t="n">
        <f aca="false">H26-F26</f>
        <v>0.4755</v>
      </c>
      <c r="K26" s="1" t="n">
        <f aca="false">J26+I26</f>
        <v>0.7562</v>
      </c>
      <c r="P26" s="1" t="e">
        <f aca="false">M26/$G$2</f>
        <v>#DIV/0!</v>
      </c>
      <c r="Q26" s="1" t="e">
        <f aca="false">N26/$H$2</f>
        <v>#DIV/0!</v>
      </c>
      <c r="S26" s="1" t="e">
        <f aca="false">P26*$K26/$I26</f>
        <v>#DIV/0!</v>
      </c>
      <c r="T26" s="1" t="e">
        <f aca="false">Q26*$K26/$I26</f>
        <v>#DIV/0!</v>
      </c>
      <c r="U26" s="1" t="n">
        <v>0.9254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2.7676</v>
      </c>
      <c r="F27" s="1" t="n">
        <v>3.2654</v>
      </c>
      <c r="G27" s="2" t="n">
        <f aca="false">1000-E27</f>
        <v>1000</v>
      </c>
      <c r="H27" s="1" t="n">
        <v>4.1525</v>
      </c>
      <c r="I27" s="1" t="n">
        <f aca="false">F27-D27</f>
        <v>0.4978</v>
      </c>
      <c r="J27" s="1" t="n">
        <f aca="false">H27-F27</f>
        <v>0.8871</v>
      </c>
      <c r="K27" s="1" t="n">
        <f aca="false">J27+I27</f>
        <v>1.3849</v>
      </c>
      <c r="P27" s="1" t="e">
        <f aca="false">M27/$G$2</f>
        <v>#DIV/0!</v>
      </c>
      <c r="Q27" s="1" t="e">
        <f aca="false">N27/$H$2</f>
        <v>#DIV/0!</v>
      </c>
      <c r="S27" s="1" t="e">
        <f aca="false">P27*$K27/$I27</f>
        <v>#DIV/0!</v>
      </c>
      <c r="T27" s="1" t="e">
        <f aca="false">Q27*$K27/$I27</f>
        <v>#DIV/0!</v>
      </c>
      <c r="X27" s="1" t="e">
        <f aca="false">AVERAGE(S27:S28)/100</f>
        <v>#DIV/0!</v>
      </c>
      <c r="Y27" s="1" t="e">
        <f aca="false">AVERAGE(T27:T28)/100</f>
        <v>#DIV/0!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2.7845</v>
      </c>
      <c r="F28" s="1" t="n">
        <v>3.0029</v>
      </c>
      <c r="G28" s="2" t="n">
        <f aca="false">1000-E28</f>
        <v>1000</v>
      </c>
      <c r="H28" s="1" t="n">
        <v>3.4868</v>
      </c>
      <c r="I28" s="1" t="n">
        <f aca="false">F28-D28</f>
        <v>0.2184</v>
      </c>
      <c r="J28" s="1" t="n">
        <f aca="false">H28-F28</f>
        <v>0.4839</v>
      </c>
      <c r="K28" s="1" t="n">
        <f aca="false">J28+I28</f>
        <v>0.7023</v>
      </c>
      <c r="P28" s="1" t="e">
        <f aca="false">M28/$G$2</f>
        <v>#DIV/0!</v>
      </c>
      <c r="Q28" s="1" t="e">
        <f aca="false">N28/$H$2</f>
        <v>#DIV/0!</v>
      </c>
      <c r="S28" s="1" t="e">
        <f aca="false">P28*$K28/$I28</f>
        <v>#DIV/0!</v>
      </c>
      <c r="T28" s="1" t="e">
        <f aca="false">Q28*$K28/$I28</f>
        <v>#DIV/0!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68</v>
      </c>
    </row>
    <row r="2" customFormat="false" ht="14.25" hidden="false" customHeight="true" outlineLevel="0" collapsed="false">
      <c r="E2" s="1" t="s">
        <v>2</v>
      </c>
      <c r="F2" s="1" t="n">
        <v>363.5756</v>
      </c>
      <c r="H2" s="4"/>
    </row>
    <row r="3" customFormat="false" ht="14.25" hidden="false" customHeight="true" outlineLevel="0" collapsed="false">
      <c r="M3" s="1" t="s">
        <v>69</v>
      </c>
      <c r="N3" s="1" t="s">
        <v>47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62</v>
      </c>
      <c r="B5" s="19" t="s">
        <v>31</v>
      </c>
      <c r="C5" s="20" t="n">
        <v>1</v>
      </c>
      <c r="D5" s="21" t="n">
        <v>2.8704</v>
      </c>
      <c r="E5" s="19" t="n">
        <v>300</v>
      </c>
      <c r="F5" s="20" t="n">
        <v>3.0503</v>
      </c>
      <c r="G5" s="19" t="n">
        <f aca="false">1000-E5</f>
        <v>700</v>
      </c>
      <c r="H5" s="20" t="n">
        <v>3.6857</v>
      </c>
      <c r="I5" s="22" t="n">
        <f aca="false">F5-D5</f>
        <v>0.1799</v>
      </c>
      <c r="J5" s="22" t="n">
        <f aca="false">H5-F5</f>
        <v>0.6354</v>
      </c>
      <c r="K5" s="22" t="n">
        <f aca="false">J5+I5</f>
        <v>0.8153</v>
      </c>
      <c r="L5" s="23"/>
      <c r="M5" s="23"/>
      <c r="N5" s="23"/>
      <c r="O5" s="24" t="n">
        <f aca="false">L5/$F$2</f>
        <v>0</v>
      </c>
      <c r="P5" s="47"/>
      <c r="Q5" s="26" t="e">
        <f aca="false">N5/$G$2</f>
        <v>#DIV/0!</v>
      </c>
      <c r="R5" s="25" t="n">
        <f aca="false">O5*$K5/$I5</f>
        <v>0</v>
      </c>
      <c r="S5" s="47"/>
      <c r="T5" s="26" t="e">
        <f aca="false">Q5*$K5/$I5</f>
        <v>#DIV/0!</v>
      </c>
      <c r="U5" s="27" t="n">
        <v>1.9283</v>
      </c>
      <c r="V5" s="27"/>
      <c r="W5" s="48" t="n">
        <f aca="false">AVERAGE(R5:R6)/100</f>
        <v>0</v>
      </c>
      <c r="X5" s="49"/>
      <c r="Y5" s="49" t="e">
        <f aca="false">AVERAGE(T5:T6)/100</f>
        <v>#DIV/0!</v>
      </c>
      <c r="Z5" s="50" t="n">
        <f aca="false">AVERAGE(U5:V6)/100</f>
        <v>0.0189095</v>
      </c>
      <c r="AA5" s="2" t="e">
        <f aca="false">SUM(W5:Z5)</f>
        <v>#DIV/0!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2.8691</v>
      </c>
      <c r="E6" s="20" t="n">
        <v>300</v>
      </c>
      <c r="F6" s="20" t="n">
        <v>3.0579</v>
      </c>
      <c r="G6" s="19" t="n">
        <f aca="false">1000-E6</f>
        <v>700</v>
      </c>
      <c r="H6" s="20" t="n">
        <v>3.6781</v>
      </c>
      <c r="I6" s="22" t="n">
        <f aca="false">F6-D6</f>
        <v>0.1888</v>
      </c>
      <c r="J6" s="22" t="n">
        <f aca="false">H6-F6</f>
        <v>0.6202</v>
      </c>
      <c r="K6" s="22" t="n">
        <f aca="false">J6+I6</f>
        <v>0.809</v>
      </c>
      <c r="L6" s="23"/>
      <c r="M6" s="23"/>
      <c r="N6" s="23"/>
      <c r="O6" s="24" t="n">
        <f aca="false">L6/$F$2</f>
        <v>0</v>
      </c>
      <c r="P6" s="47"/>
      <c r="Q6" s="26" t="e">
        <f aca="false">N6/$G$2</f>
        <v>#DIV/0!</v>
      </c>
      <c r="R6" s="25" t="n">
        <f aca="false">O6*$K6/$I6</f>
        <v>0</v>
      </c>
      <c r="S6" s="47"/>
      <c r="T6" s="26" t="e">
        <f aca="false">Q6*$K6/$I6</f>
        <v>#DIV/0!</v>
      </c>
      <c r="U6" s="27" t="n">
        <v>1.8536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2.8385</v>
      </c>
      <c r="E7" s="34" t="n">
        <v>100</v>
      </c>
      <c r="F7" s="34" t="n">
        <v>3.0413</v>
      </c>
      <c r="G7" s="30" t="n">
        <f aca="false">1000-E7</f>
        <v>900</v>
      </c>
      <c r="H7" s="34" t="n">
        <v>3.6485</v>
      </c>
      <c r="I7" s="35" t="n">
        <f aca="false">F7-D7</f>
        <v>0.2028</v>
      </c>
      <c r="J7" s="35" t="n">
        <f aca="false">H7-F7</f>
        <v>0.6072</v>
      </c>
      <c r="K7" s="35" t="n">
        <f aca="false">J7+I7</f>
        <v>0.81</v>
      </c>
      <c r="N7" s="36"/>
      <c r="O7" s="52" t="n">
        <f aca="false">L7/$F$2</f>
        <v>0</v>
      </c>
      <c r="P7" s="53"/>
      <c r="Q7" s="54" t="e">
        <f aca="false">N7/$G$2</f>
        <v>#DIV/0!</v>
      </c>
      <c r="R7" s="55" t="n">
        <f aca="false">O7*$K7/$I7</f>
        <v>0</v>
      </c>
      <c r="S7" s="53"/>
      <c r="T7" s="54" t="e">
        <f aca="false">Q7*$K7/$I7</f>
        <v>#DIV/0!</v>
      </c>
      <c r="U7" s="2" t="n">
        <v>98.5301</v>
      </c>
      <c r="V7" s="2"/>
      <c r="W7" s="51" t="n">
        <f aca="false">AVERAGE(R7:R8)/100</f>
        <v>0</v>
      </c>
      <c r="Y7" s="1" t="e">
        <f aca="false">AVERAGE(T7:T8)/100</f>
        <v>#DIV/0!</v>
      </c>
      <c r="Z7" s="33" t="n">
        <f aca="false">AVERAGE(U7:V8)/100</f>
        <v>0.9913355</v>
      </c>
      <c r="AA7" s="2" t="e">
        <f aca="false">SUM(W7:Z7)</f>
        <v>#DIV/0!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2.7677</v>
      </c>
      <c r="E8" s="34" t="n">
        <v>100</v>
      </c>
      <c r="F8" s="34" t="n">
        <v>2.9751</v>
      </c>
      <c r="G8" s="30" t="n">
        <f aca="false">1000-E8</f>
        <v>900</v>
      </c>
      <c r="H8" s="34" t="n">
        <v>3.6229</v>
      </c>
      <c r="I8" s="35" t="n">
        <f aca="false">F8-D8</f>
        <v>0.2074</v>
      </c>
      <c r="J8" s="35" t="n">
        <f aca="false">H8-F8</f>
        <v>0.6478</v>
      </c>
      <c r="K8" s="35" t="n">
        <f aca="false">J8+I8</f>
        <v>0.8552</v>
      </c>
      <c r="L8" s="36"/>
      <c r="M8" s="36"/>
      <c r="N8" s="36"/>
      <c r="O8" s="52" t="n">
        <f aca="false">L8/$F$2</f>
        <v>0</v>
      </c>
      <c r="P8" s="53"/>
      <c r="Q8" s="54" t="e">
        <f aca="false">N8/$G$2</f>
        <v>#DIV/0!</v>
      </c>
      <c r="R8" s="55" t="n">
        <f aca="false">O8*$K8/$I8</f>
        <v>0</v>
      </c>
      <c r="S8" s="53"/>
      <c r="T8" s="54" t="e">
        <f aca="false">Q8*$K8/$I8</f>
        <v>#DIV/0!</v>
      </c>
      <c r="U8" s="2" t="n">
        <v>99.737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63</v>
      </c>
      <c r="B9" s="19" t="s">
        <v>31</v>
      </c>
      <c r="C9" s="20" t="n">
        <v>5</v>
      </c>
      <c r="D9" s="19" t="n">
        <v>2.8343</v>
      </c>
      <c r="E9" s="19" t="n">
        <v>300</v>
      </c>
      <c r="F9" s="20" t="n">
        <v>3.0339</v>
      </c>
      <c r="G9" s="19" t="n">
        <f aca="false">1000-E9</f>
        <v>700</v>
      </c>
      <c r="H9" s="20" t="n">
        <v>3.6605</v>
      </c>
      <c r="I9" s="22" t="n">
        <f aca="false">F9-D9</f>
        <v>0.1996</v>
      </c>
      <c r="J9" s="22" t="n">
        <f aca="false">H9-F9</f>
        <v>0.6266</v>
      </c>
      <c r="K9" s="22" t="n">
        <f aca="false">J9+I9</f>
        <v>0.8262</v>
      </c>
      <c r="L9" s="23"/>
      <c r="M9" s="23"/>
      <c r="N9" s="23"/>
      <c r="O9" s="24" t="n">
        <f aca="false">L9/$F$2</f>
        <v>0</v>
      </c>
      <c r="P9" s="47"/>
      <c r="Q9" s="26" t="e">
        <f aca="false">N9/$G$2</f>
        <v>#DIV/0!</v>
      </c>
      <c r="R9" s="25" t="n">
        <f aca="false">O9*$K9/$I9</f>
        <v>0</v>
      </c>
      <c r="S9" s="47"/>
      <c r="T9" s="26" t="e">
        <f aca="false">Q9*$K9/$I9</f>
        <v>#DIV/0!</v>
      </c>
      <c r="U9" s="27" t="n">
        <v>99.3513</v>
      </c>
      <c r="V9" s="27"/>
      <c r="W9" s="56" t="n">
        <f aca="false">AVERAGE(R9:R10)/100</f>
        <v>0</v>
      </c>
      <c r="X9" s="57"/>
      <c r="Y9" s="57" t="e">
        <f aca="false">AVERAGE(T9:T10)/100</f>
        <v>#DIV/0!</v>
      </c>
      <c r="Z9" s="29" t="n">
        <f aca="false">AVERAGE(U9:V10)/100</f>
        <v>0.973528666666667</v>
      </c>
      <c r="AA9" s="2" t="e">
        <f aca="false">SUM(W9:Z9)</f>
        <v>#DIV/0!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2.7751</v>
      </c>
      <c r="E10" s="20" t="n">
        <v>300</v>
      </c>
      <c r="F10" s="20" t="n">
        <v>2.9821</v>
      </c>
      <c r="G10" s="19" t="n">
        <f aca="false">1000-E10</f>
        <v>700</v>
      </c>
      <c r="H10" s="20" t="n">
        <v>3.602</v>
      </c>
      <c r="I10" s="22" t="n">
        <f aca="false">F10-D10</f>
        <v>0.207</v>
      </c>
      <c r="J10" s="22" t="n">
        <f aca="false">H10-F10</f>
        <v>0.6199</v>
      </c>
      <c r="K10" s="22" t="n">
        <f aca="false">J10+I10</f>
        <v>0.8269</v>
      </c>
      <c r="L10" s="23"/>
      <c r="M10" s="23"/>
      <c r="N10" s="23"/>
      <c r="O10" s="24" t="n">
        <f aca="false">L10/$F$2</f>
        <v>0</v>
      </c>
      <c r="P10" s="47"/>
      <c r="Q10" s="26" t="e">
        <f aca="false">N10/$G$2</f>
        <v>#DIV/0!</v>
      </c>
      <c r="R10" s="25" t="n">
        <f aca="false">O10*$K10/$I10</f>
        <v>0</v>
      </c>
      <c r="S10" s="47"/>
      <c r="T10" s="26" t="e">
        <f aca="false">Q10*$K10/$I10</f>
        <v>#DIV/0!</v>
      </c>
      <c r="U10" s="27" t="n">
        <v>96.8156</v>
      </c>
      <c r="V10" s="27" t="n">
        <v>95.8917</v>
      </c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2.7561</v>
      </c>
      <c r="E11" s="34" t="n">
        <v>100</v>
      </c>
      <c r="F11" s="34" t="n">
        <v>2.9572</v>
      </c>
      <c r="G11" s="30" t="n">
        <f aca="false">1000-E11</f>
        <v>900</v>
      </c>
      <c r="H11" s="34" t="n">
        <v>3.5909</v>
      </c>
      <c r="I11" s="35" t="n">
        <f aca="false">F11-D11</f>
        <v>0.2011</v>
      </c>
      <c r="J11" s="35" t="n">
        <f aca="false">H11-F11</f>
        <v>0.6337</v>
      </c>
      <c r="K11" s="35" t="n">
        <f aca="false">J11+I11</f>
        <v>0.8348</v>
      </c>
      <c r="L11" s="40"/>
      <c r="M11" s="40"/>
      <c r="N11" s="36"/>
      <c r="O11" s="52" t="n">
        <f aca="false">L11/$F$2</f>
        <v>0</v>
      </c>
      <c r="P11" s="53"/>
      <c r="Q11" s="54" t="e">
        <f aca="false">N11/$G$2</f>
        <v>#DIV/0!</v>
      </c>
      <c r="R11" s="55" t="n">
        <f aca="false">O11*$K11/$I11</f>
        <v>0</v>
      </c>
      <c r="S11" s="53"/>
      <c r="T11" s="54" t="e">
        <f aca="false">Q11*$K11/$I11</f>
        <v>#DIV/0!</v>
      </c>
      <c r="U11" s="2" t="n">
        <v>7.9147</v>
      </c>
      <c r="V11" s="2"/>
      <c r="W11" s="51" t="n">
        <f aca="false">AVERAGE(R11:R12)/100</f>
        <v>0</v>
      </c>
      <c r="Y11" s="1" t="e">
        <f aca="false">AVERAGE(T11:T12)/100</f>
        <v>#DIV/0!</v>
      </c>
      <c r="Z11" s="33" t="n">
        <f aca="false">AVERAGE(U11:V12)/100</f>
        <v>0.077277</v>
      </c>
      <c r="AA11" s="2" t="e">
        <f aca="false">SUM(W11:Z11)</f>
        <v>#DIV/0!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2.8336</v>
      </c>
      <c r="E12" s="34" t="n">
        <v>100</v>
      </c>
      <c r="F12" s="34" t="n">
        <v>3.039</v>
      </c>
      <c r="G12" s="30" t="n">
        <f aca="false">1000-E12</f>
        <v>900</v>
      </c>
      <c r="H12" s="34" t="n">
        <v>3.6818</v>
      </c>
      <c r="I12" s="35" t="n">
        <f aca="false">F12-D12</f>
        <v>0.2054</v>
      </c>
      <c r="J12" s="35" t="n">
        <f aca="false">H12-F12</f>
        <v>0.6428</v>
      </c>
      <c r="K12" s="35" t="n">
        <f aca="false">J12+I12</f>
        <v>0.8482</v>
      </c>
      <c r="L12" s="36"/>
      <c r="M12" s="36"/>
      <c r="N12" s="36"/>
      <c r="O12" s="52" t="n">
        <f aca="false">L12/$F$2</f>
        <v>0</v>
      </c>
      <c r="P12" s="53"/>
      <c r="Q12" s="54" t="e">
        <f aca="false">N12/$G$2</f>
        <v>#DIV/0!</v>
      </c>
      <c r="R12" s="55" t="n">
        <f aca="false">O12*$K12/$I12</f>
        <v>0</v>
      </c>
      <c r="S12" s="53"/>
      <c r="T12" s="54" t="e">
        <f aca="false">Q12*$K12/$I12</f>
        <v>#DIV/0!</v>
      </c>
      <c r="U12" s="2" t="n">
        <v>7.6881</v>
      </c>
      <c r="V12" s="2" t="n">
        <v>7.5803</v>
      </c>
      <c r="W12" s="51"/>
      <c r="Z12" s="33"/>
      <c r="AA12" s="2"/>
    </row>
    <row r="13" customFormat="false" ht="14.25" hidden="false" customHeight="true" outlineLevel="0" collapsed="false">
      <c r="A13" s="18" t="s">
        <v>64</v>
      </c>
      <c r="B13" s="19" t="s">
        <v>31</v>
      </c>
      <c r="C13" s="20" t="n">
        <v>9</v>
      </c>
      <c r="D13" s="19" t="n">
        <v>2.7423</v>
      </c>
      <c r="E13" s="19" t="n">
        <v>300</v>
      </c>
      <c r="F13" s="20" t="n">
        <v>2.9238</v>
      </c>
      <c r="G13" s="19" t="n">
        <f aca="false">1000-E13</f>
        <v>700</v>
      </c>
      <c r="H13" s="20" t="n">
        <v>3.5571</v>
      </c>
      <c r="I13" s="22" t="n">
        <f aca="false">F13-D13</f>
        <v>0.1815</v>
      </c>
      <c r="J13" s="22" t="n">
        <f aca="false">H13-F13</f>
        <v>0.6333</v>
      </c>
      <c r="K13" s="22" t="n">
        <f aca="false">J13+I13</f>
        <v>0.8148</v>
      </c>
      <c r="L13" s="23"/>
      <c r="M13" s="23"/>
      <c r="N13" s="23"/>
      <c r="O13" s="24" t="n">
        <f aca="false">L13/$F$2</f>
        <v>0</v>
      </c>
      <c r="P13" s="47"/>
      <c r="Q13" s="26" t="e">
        <f aca="false">N13/$G$2</f>
        <v>#DIV/0!</v>
      </c>
      <c r="R13" s="25" t="n">
        <f aca="false">O13*$K13/$I13</f>
        <v>0</v>
      </c>
      <c r="S13" s="47"/>
      <c r="T13" s="26" t="e">
        <f aca="false">Q13*$K13/$I13</f>
        <v>#DIV/0!</v>
      </c>
      <c r="U13" s="27" t="n">
        <v>3.7571</v>
      </c>
      <c r="V13" s="27"/>
      <c r="W13" s="56" t="n">
        <f aca="false">AVERAGE(R13:R14)/100</f>
        <v>0</v>
      </c>
      <c r="X13" s="57"/>
      <c r="Y13" s="57" t="e">
        <f aca="false">AVERAGE(T13:T14)/100</f>
        <v>#DIV/0!</v>
      </c>
      <c r="Z13" s="29" t="n">
        <f aca="false">AVERAGE(U13:V14)/100</f>
        <v>0.037473</v>
      </c>
      <c r="AA13" s="2" t="e">
        <f aca="false">SUM(W13:Z13)</f>
        <v>#DIV/0!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2.7607</v>
      </c>
      <c r="E14" s="20" t="n">
        <v>300</v>
      </c>
      <c r="F14" s="20" t="n">
        <v>2.9543</v>
      </c>
      <c r="G14" s="19" t="n">
        <f aca="false">1000-E14</f>
        <v>700</v>
      </c>
      <c r="H14" s="20" t="n">
        <v>3.5735</v>
      </c>
      <c r="I14" s="22" t="n">
        <f aca="false">F14-D14</f>
        <v>0.1936</v>
      </c>
      <c r="J14" s="22" t="n">
        <f aca="false">H14-F14</f>
        <v>0.6192</v>
      </c>
      <c r="K14" s="22" t="n">
        <f aca="false">J14+I14</f>
        <v>0.8128</v>
      </c>
      <c r="L14" s="23"/>
      <c r="M14" s="23"/>
      <c r="N14" s="23"/>
      <c r="O14" s="24" t="n">
        <f aca="false">L14/$F$2</f>
        <v>0</v>
      </c>
      <c r="P14" s="47"/>
      <c r="Q14" s="26" t="e">
        <f aca="false">N14/$G$2</f>
        <v>#DIV/0!</v>
      </c>
      <c r="R14" s="25" t="n">
        <f aca="false">O14*$K14/$I14</f>
        <v>0</v>
      </c>
      <c r="S14" s="47"/>
      <c r="T14" s="26" t="e">
        <f aca="false">Q14*$K14/$I14</f>
        <v>#DIV/0!</v>
      </c>
      <c r="U14" s="27" t="n">
        <v>3.7375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2.7382</v>
      </c>
      <c r="E15" s="34" t="n">
        <v>100</v>
      </c>
      <c r="F15" s="34" t="n">
        <v>2.9305</v>
      </c>
      <c r="G15" s="30" t="n">
        <f aca="false">1000-E15</f>
        <v>900</v>
      </c>
      <c r="H15" s="34" t="n">
        <v>3.5559</v>
      </c>
      <c r="I15" s="35" t="n">
        <f aca="false">F15-D15</f>
        <v>0.1923</v>
      </c>
      <c r="J15" s="35" t="n">
        <f aca="false">H15-F15</f>
        <v>0.6254</v>
      </c>
      <c r="K15" s="35" t="n">
        <f aca="false">J15+I15</f>
        <v>0.8177</v>
      </c>
      <c r="L15" s="36"/>
      <c r="M15" s="36"/>
      <c r="N15" s="41"/>
      <c r="O15" s="52" t="n">
        <f aca="false">L15/$F$2</f>
        <v>0</v>
      </c>
      <c r="P15" s="53"/>
      <c r="Q15" s="54" t="e">
        <f aca="false">N15/$G$2</f>
        <v>#DIV/0!</v>
      </c>
      <c r="R15" s="55" t="n">
        <f aca="false">O15*$K15/$I15</f>
        <v>0</v>
      </c>
      <c r="S15" s="53"/>
      <c r="T15" s="54" t="e">
        <f aca="false">Q15*$K15/$I15</f>
        <v>#DIV/0!</v>
      </c>
      <c r="U15" s="2" t="n">
        <v>96.1251</v>
      </c>
      <c r="V15" s="2"/>
      <c r="W15" s="51" t="n">
        <f aca="false">AVERAGE(R15:R16)/100</f>
        <v>0</v>
      </c>
      <c r="Y15" s="1" t="e">
        <f aca="false">AVERAGE(T15:T16)/100</f>
        <v>#DIV/0!</v>
      </c>
      <c r="Z15" s="33" t="n">
        <f aca="false">AVERAGE(U15:V16)/100</f>
        <v>0.961219666666667</v>
      </c>
      <c r="AA15" s="2" t="e">
        <f aca="false">SUM(W15:Z15)</f>
        <v>#DIV/0!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2.7375</v>
      </c>
      <c r="E16" s="34" t="n">
        <v>100</v>
      </c>
      <c r="F16" s="34" t="n">
        <v>2.9323</v>
      </c>
      <c r="G16" s="30" t="n">
        <f aca="false">1000-E16</f>
        <v>900</v>
      </c>
      <c r="H16" s="34" t="n">
        <v>3.5715</v>
      </c>
      <c r="I16" s="35" t="n">
        <f aca="false">F16-D16</f>
        <v>0.1948</v>
      </c>
      <c r="J16" s="35" t="n">
        <f aca="false">H16-F16</f>
        <v>0.6392</v>
      </c>
      <c r="K16" s="35" t="n">
        <f aca="false">J16+I16</f>
        <v>0.834</v>
      </c>
      <c r="L16" s="36"/>
      <c r="M16" s="36"/>
      <c r="N16" s="36"/>
      <c r="O16" s="52" t="n">
        <f aca="false">L16/$F$2</f>
        <v>0</v>
      </c>
      <c r="P16" s="53"/>
      <c r="Q16" s="54" t="e">
        <f aca="false">N16/$G$2</f>
        <v>#DIV/0!</v>
      </c>
      <c r="R16" s="55" t="n">
        <f aca="false">O16*$K16/$I16</f>
        <v>0</v>
      </c>
      <c r="S16" s="53"/>
      <c r="T16" s="54" t="e">
        <f aca="false">Q16*$K16/$I16</f>
        <v>#DIV/0!</v>
      </c>
      <c r="U16" s="2" t="n">
        <v>96.9043</v>
      </c>
      <c r="V16" s="2" t="n">
        <v>95.3365</v>
      </c>
      <c r="W16" s="51"/>
      <c r="Z16" s="33"/>
      <c r="AA16" s="2"/>
    </row>
    <row r="17" customFormat="false" ht="14.25" hidden="false" customHeight="true" outlineLevel="0" collapsed="false">
      <c r="A17" s="18" t="s">
        <v>65</v>
      </c>
      <c r="B17" s="19" t="s">
        <v>31</v>
      </c>
      <c r="C17" s="20" t="n">
        <v>13</v>
      </c>
      <c r="D17" s="19" t="n">
        <v>2.7722</v>
      </c>
      <c r="E17" s="19" t="n">
        <v>300</v>
      </c>
      <c r="F17" s="20" t="n">
        <v>2.9728</v>
      </c>
      <c r="G17" s="19" t="n">
        <f aca="false">1000-E17</f>
        <v>700</v>
      </c>
      <c r="H17" s="20" t="n">
        <v>3.5797</v>
      </c>
      <c r="I17" s="22" t="n">
        <f aca="false">F17-D17</f>
        <v>0.2006</v>
      </c>
      <c r="J17" s="22" t="n">
        <f aca="false">H17-F17</f>
        <v>0.6069</v>
      </c>
      <c r="K17" s="22" t="n">
        <f aca="false">J17+I17</f>
        <v>0.8075</v>
      </c>
      <c r="L17" s="23"/>
      <c r="M17" s="23"/>
      <c r="N17" s="23"/>
      <c r="O17" s="24" t="n">
        <f aca="false">L17/$F$2</f>
        <v>0</v>
      </c>
      <c r="P17" s="47"/>
      <c r="Q17" s="26" t="e">
        <f aca="false">N17/$G$2</f>
        <v>#DIV/0!</v>
      </c>
      <c r="R17" s="25" t="n">
        <f aca="false">O17*$K17/$I17</f>
        <v>0</v>
      </c>
      <c r="S17" s="47"/>
      <c r="T17" s="26" t="e">
        <f aca="false">Q17*$K17/$I17</f>
        <v>#DIV/0!</v>
      </c>
      <c r="U17" s="27" t="n">
        <v>98.1075</v>
      </c>
      <c r="V17" s="27"/>
      <c r="W17" s="56" t="n">
        <f aca="false">AVERAGE(R17:R18)/100</f>
        <v>0</v>
      </c>
      <c r="X17" s="57"/>
      <c r="Y17" s="57" t="e">
        <f aca="false">AVERAGE(T17:T18)/100</f>
        <v>#DIV/0!</v>
      </c>
      <c r="Z17" s="29" t="n">
        <f aca="false">AVERAGE(U17:V18)/100</f>
        <v>0.9842345</v>
      </c>
      <c r="AA17" s="2" t="e">
        <f aca="false">SUM(W17:Z17)</f>
        <v>#DIV/0!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2.7884</v>
      </c>
      <c r="E18" s="20" t="n">
        <v>300</v>
      </c>
      <c r="F18" s="20" t="n">
        <v>2.9927</v>
      </c>
      <c r="G18" s="19" t="n">
        <f aca="false">1000-E18</f>
        <v>700</v>
      </c>
      <c r="H18" s="20" t="n">
        <v>3.617</v>
      </c>
      <c r="I18" s="22" t="n">
        <f aca="false">F18-D18</f>
        <v>0.2043</v>
      </c>
      <c r="J18" s="22" t="n">
        <f aca="false">H18-F18</f>
        <v>0.6243</v>
      </c>
      <c r="K18" s="22" t="n">
        <f aca="false">J18+I18</f>
        <v>0.8286</v>
      </c>
      <c r="L18" s="23"/>
      <c r="M18" s="23"/>
      <c r="N18" s="23"/>
      <c r="O18" s="24" t="n">
        <f aca="false">L18/$F$2</f>
        <v>0</v>
      </c>
      <c r="P18" s="47"/>
      <c r="Q18" s="26" t="e">
        <f aca="false">N18/$G$2</f>
        <v>#DIV/0!</v>
      </c>
      <c r="R18" s="25" t="n">
        <f aca="false">O18*$K18/$I18</f>
        <v>0</v>
      </c>
      <c r="S18" s="47"/>
      <c r="T18" s="26" t="e">
        <f aca="false">Q18*$K18/$I18</f>
        <v>#DIV/0!</v>
      </c>
      <c r="U18" s="27" t="n">
        <v>98.7394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2.784</v>
      </c>
      <c r="E19" s="34" t="n">
        <v>100</v>
      </c>
      <c r="F19" s="34" t="n">
        <v>2.9666</v>
      </c>
      <c r="G19" s="30" t="n">
        <f aca="false">1000-E19</f>
        <v>900</v>
      </c>
      <c r="H19" s="34" t="n">
        <v>3.6048</v>
      </c>
      <c r="I19" s="35" t="n">
        <f aca="false">F19-D19</f>
        <v>0.1826</v>
      </c>
      <c r="J19" s="35" t="n">
        <f aca="false">H19-F19</f>
        <v>0.6382</v>
      </c>
      <c r="K19" s="35" t="n">
        <f aca="false">J19+I19</f>
        <v>0.8208</v>
      </c>
      <c r="L19" s="36"/>
      <c r="M19" s="36"/>
      <c r="N19" s="36"/>
      <c r="O19" s="52" t="n">
        <f aca="false">L19/$F$2</f>
        <v>0</v>
      </c>
      <c r="P19" s="53"/>
      <c r="Q19" s="54" t="e">
        <f aca="false">N19/$G$2</f>
        <v>#DIV/0!</v>
      </c>
      <c r="R19" s="55" t="n">
        <f aca="false">O19*$K19/$I19</f>
        <v>0</v>
      </c>
      <c r="S19" s="53"/>
      <c r="T19" s="54" t="e">
        <f aca="false">Q19*$K19/$I19</f>
        <v>#DIV/0!</v>
      </c>
      <c r="U19" s="2" t="n">
        <v>5.2624</v>
      </c>
      <c r="V19" s="2"/>
      <c r="W19" s="51" t="n">
        <f aca="false">AVERAGE(R19:R20)/100</f>
        <v>0</v>
      </c>
      <c r="Y19" s="1" t="e">
        <f aca="false">AVERAGE(T19:T20)/100</f>
        <v>#DIV/0!</v>
      </c>
      <c r="Z19" s="33" t="n">
        <f aca="false">AVERAGE(U19:V20)/100</f>
        <v>0.053717</v>
      </c>
      <c r="AA19" s="2" t="e">
        <f aca="false">SUM(W19:Z19)</f>
        <v>#DIV/0!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2.7557</v>
      </c>
      <c r="E20" s="34" t="n">
        <v>100</v>
      </c>
      <c r="F20" s="34" t="n">
        <v>2.954</v>
      </c>
      <c r="G20" s="30" t="n">
        <f aca="false">1000-E20</f>
        <v>900</v>
      </c>
      <c r="H20" s="34" t="n">
        <v>3.5726</v>
      </c>
      <c r="I20" s="35" t="n">
        <f aca="false">F20-D20</f>
        <v>0.1983</v>
      </c>
      <c r="J20" s="35" t="n">
        <f aca="false">H20-F20</f>
        <v>0.6186</v>
      </c>
      <c r="K20" s="35" t="n">
        <f aca="false">J20+I20</f>
        <v>0.8169</v>
      </c>
      <c r="L20" s="36"/>
      <c r="M20" s="36"/>
      <c r="N20" s="36"/>
      <c r="O20" s="52" t="n">
        <f aca="false">L20/$F$2</f>
        <v>0</v>
      </c>
      <c r="P20" s="53"/>
      <c r="Q20" s="54" t="e">
        <f aca="false">N20/$G$2</f>
        <v>#DIV/0!</v>
      </c>
      <c r="R20" s="55" t="n">
        <f aca="false">O20*$K20/$I20</f>
        <v>0</v>
      </c>
      <c r="S20" s="53"/>
      <c r="T20" s="54" t="e">
        <f aca="false">Q20*$K20/$I20</f>
        <v>#DIV/0!</v>
      </c>
      <c r="U20" s="2" t="n">
        <v>5.481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66</v>
      </c>
      <c r="B21" s="19" t="s">
        <v>31</v>
      </c>
      <c r="C21" s="20" t="n">
        <v>17</v>
      </c>
      <c r="D21" s="19" t="n">
        <v>2.7849</v>
      </c>
      <c r="E21" s="19" t="n">
        <v>300</v>
      </c>
      <c r="F21" s="20" t="n">
        <v>2.9665</v>
      </c>
      <c r="G21" s="19" t="n">
        <f aca="false">1000-E21</f>
        <v>700</v>
      </c>
      <c r="H21" s="20" t="n">
        <v>3.6076</v>
      </c>
      <c r="I21" s="22" t="n">
        <f aca="false">F21-D21</f>
        <v>0.1816</v>
      </c>
      <c r="J21" s="22" t="n">
        <f aca="false">H21-F21</f>
        <v>0.6411</v>
      </c>
      <c r="K21" s="22" t="n">
        <f aca="false">J21+I21</f>
        <v>0.8227</v>
      </c>
      <c r="L21" s="23"/>
      <c r="M21" s="23"/>
      <c r="N21" s="23"/>
      <c r="O21" s="24" t="n">
        <f aca="false">L21/$F$2</f>
        <v>0</v>
      </c>
      <c r="P21" s="47"/>
      <c r="Q21" s="26" t="e">
        <f aca="false">N21/$G$2</f>
        <v>#DIV/0!</v>
      </c>
      <c r="R21" s="25" t="n">
        <f aca="false">O21*$K21/$I21</f>
        <v>0</v>
      </c>
      <c r="S21" s="47"/>
      <c r="T21" s="26" t="e">
        <f aca="false">Q21*$K21/$I21</f>
        <v>#DIV/0!</v>
      </c>
      <c r="U21" s="27" t="n">
        <v>2.7174</v>
      </c>
      <c r="V21" s="27"/>
      <c r="W21" s="56" t="n">
        <f aca="false">AVERAGE(R21:R22)/100</f>
        <v>0</v>
      </c>
      <c r="X21" s="57"/>
      <c r="Y21" s="57" t="e">
        <f aca="false">AVERAGE(T21:T22)/100</f>
        <v>#DIV/0!</v>
      </c>
      <c r="Z21" s="29" t="n">
        <f aca="false">AVERAGE(U21:V22)/100</f>
        <v>0.0271005</v>
      </c>
      <c r="AA21" s="2" t="e">
        <f aca="false">SUM(W21:Z21)</f>
        <v>#DIV/0!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2.7619</v>
      </c>
      <c r="E22" s="20" t="n">
        <v>300</v>
      </c>
      <c r="F22" s="20" t="n">
        <v>2.9568</v>
      </c>
      <c r="G22" s="19" t="n">
        <f aca="false">1000-E22</f>
        <v>700</v>
      </c>
      <c r="H22" s="20" t="n">
        <v>3.5838</v>
      </c>
      <c r="I22" s="22" t="n">
        <f aca="false">F22-D22</f>
        <v>0.1949</v>
      </c>
      <c r="J22" s="22" t="n">
        <f aca="false">H22-F22</f>
        <v>0.627</v>
      </c>
      <c r="K22" s="22" t="n">
        <f aca="false">J22+I22</f>
        <v>0.8219</v>
      </c>
      <c r="L22" s="23"/>
      <c r="M22" s="23"/>
      <c r="N22" s="23"/>
      <c r="O22" s="24" t="n">
        <f aca="false">L22/$F$2</f>
        <v>0</v>
      </c>
      <c r="P22" s="47"/>
      <c r="Q22" s="26" t="e">
        <f aca="false">N22/$G$2</f>
        <v>#DIV/0!</v>
      </c>
      <c r="R22" s="25" t="n">
        <f aca="false">O22*$K22/$I22</f>
        <v>0</v>
      </c>
      <c r="S22" s="47"/>
      <c r="T22" s="26" t="e">
        <f aca="false">Q22*$K22/$I22</f>
        <v>#DIV/0!</v>
      </c>
      <c r="U22" s="27" t="n">
        <v>2.7027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2.7414</v>
      </c>
      <c r="E23" s="34" t="n">
        <v>100</v>
      </c>
      <c r="F23" s="34" t="n">
        <v>2.9428</v>
      </c>
      <c r="G23" s="30" t="n">
        <f aca="false">1000-E23</f>
        <v>900</v>
      </c>
      <c r="H23" s="34" t="n">
        <v>3.5649</v>
      </c>
      <c r="I23" s="35" t="n">
        <f aca="false">F23-D23</f>
        <v>0.2014</v>
      </c>
      <c r="J23" s="35" t="n">
        <f aca="false">H23-F23</f>
        <v>0.6221</v>
      </c>
      <c r="K23" s="35" t="n">
        <f aca="false">J23+I23</f>
        <v>0.8235</v>
      </c>
      <c r="L23" s="36"/>
      <c r="M23" s="36"/>
      <c r="N23" s="36"/>
      <c r="O23" s="52" t="n">
        <f aca="false">L23/$F$2</f>
        <v>0</v>
      </c>
      <c r="P23" s="53"/>
      <c r="Q23" s="54" t="e">
        <f aca="false">N23/$G$2</f>
        <v>#DIV/0!</v>
      </c>
      <c r="R23" s="55" t="n">
        <f aca="false">O23*$K23/$I23</f>
        <v>0</v>
      </c>
      <c r="S23" s="53"/>
      <c r="T23" s="54" t="e">
        <f aca="false">Q23*$K23/$I23</f>
        <v>#DIV/0!</v>
      </c>
      <c r="U23" s="2" t="n">
        <v>98.712</v>
      </c>
      <c r="V23" s="2"/>
      <c r="W23" s="51" t="n">
        <f aca="false">AVERAGE(R23:R24)/100</f>
        <v>0</v>
      </c>
      <c r="Y23" s="1" t="e">
        <f aca="false">AVERAGE(T23:T24)/100</f>
        <v>#DIV/0!</v>
      </c>
      <c r="Z23" s="33" t="n">
        <f aca="false">AVERAGE(U23:V24)/100</f>
        <v>0.982924</v>
      </c>
      <c r="AA23" s="2" t="e">
        <f aca="false">SUM(W23:Z23)</f>
        <v>#DIV/0!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2.7529</v>
      </c>
      <c r="E24" s="34" t="n">
        <v>100</v>
      </c>
      <c r="F24" s="34" t="n">
        <v>2.9573</v>
      </c>
      <c r="G24" s="30" t="n">
        <f aca="false">1000-E24</f>
        <v>900</v>
      </c>
      <c r="H24" s="34" t="n">
        <v>3.5641</v>
      </c>
      <c r="I24" s="35" t="n">
        <f aca="false">F24-D24</f>
        <v>0.2044</v>
      </c>
      <c r="J24" s="35" t="n">
        <f aca="false">H24-F24</f>
        <v>0.6068</v>
      </c>
      <c r="K24" s="35" t="n">
        <f aca="false">J24+I24</f>
        <v>0.8112</v>
      </c>
      <c r="L24" s="36"/>
      <c r="M24" s="36"/>
      <c r="N24" s="36"/>
      <c r="O24" s="58" t="n">
        <f aca="false">L24/$F$2</f>
        <v>0</v>
      </c>
      <c r="P24" s="59"/>
      <c r="Q24" s="60" t="e">
        <f aca="false">N24/$G$2</f>
        <v>#DIV/0!</v>
      </c>
      <c r="R24" s="55" t="n">
        <f aca="false">O24*$K24/$I24</f>
        <v>0</v>
      </c>
      <c r="S24" s="53"/>
      <c r="T24" s="54" t="e">
        <f aca="false">Q24*$K24/$I24</f>
        <v>#DIV/0!</v>
      </c>
      <c r="U24" s="42" t="n">
        <v>97.8728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0" t="n">
        <v>2.7345</v>
      </c>
      <c r="F25" s="1" t="n">
        <v>3.0102</v>
      </c>
      <c r="G25" s="2" t="n">
        <f aca="false">1000-E25</f>
        <v>1000</v>
      </c>
      <c r="H25" s="1" t="n">
        <v>3.4933</v>
      </c>
      <c r="I25" s="1" t="n">
        <f aca="false">H25-F25</f>
        <v>0.4831</v>
      </c>
      <c r="J25" s="1" t="n">
        <f aca="false">H25-H25</f>
        <v>0</v>
      </c>
      <c r="K25" s="1" t="n">
        <f aca="false">J25+I25</f>
        <v>0.4831</v>
      </c>
      <c r="P25" s="1" t="e">
        <f aca="false">M25/$G$2</f>
        <v>#DIV/0!</v>
      </c>
      <c r="Q25" s="1" t="e">
        <f aca="false">N25/$H$2</f>
        <v>#DIV/0!</v>
      </c>
      <c r="S25" s="1" t="e">
        <f aca="false">P25*$K25/$I25</f>
        <v>#DIV/0!</v>
      </c>
      <c r="T25" s="1" t="e">
        <f aca="false">Q25*$K25/$I25</f>
        <v>#DIV/0!</v>
      </c>
      <c r="U25" s="1" t="n">
        <v>1.6402</v>
      </c>
      <c r="X25" s="1" t="e">
        <f aca="false">AVERAGE(S25:S26)/100</f>
        <v>#DIV/0!</v>
      </c>
      <c r="Y25" s="1" t="e">
        <f aca="false">AVERAGE(T25:T26)/100</f>
        <v>#DIV/0!</v>
      </c>
      <c r="Z25" s="1" t="n">
        <f aca="false">AVERAGE(U25:V26)/100</f>
        <v>0.016598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0" t="n">
        <v>2.744</v>
      </c>
      <c r="F26" s="1" t="n">
        <v>3.0258</v>
      </c>
      <c r="G26" s="2" t="n">
        <f aca="false">1000-E26</f>
        <v>1000</v>
      </c>
      <c r="H26" s="1" t="n">
        <v>3.5156</v>
      </c>
      <c r="I26" s="1" t="n">
        <f aca="false">H26-F26</f>
        <v>0.4898</v>
      </c>
      <c r="J26" s="1" t="n">
        <f aca="false">H26-H26</f>
        <v>0</v>
      </c>
      <c r="K26" s="1" t="n">
        <f aca="false">J26+I26</f>
        <v>0.4898</v>
      </c>
      <c r="P26" s="1" t="e">
        <f aca="false">M26/$G$2</f>
        <v>#DIV/0!</v>
      </c>
      <c r="Q26" s="1" t="e">
        <f aca="false">N26/$H$2</f>
        <v>#DIV/0!</v>
      </c>
      <c r="S26" s="1" t="e">
        <f aca="false">P26*$K26/$I26</f>
        <v>#DIV/0!</v>
      </c>
      <c r="T26" s="1" t="e">
        <f aca="false">Q26*$K26/$I26</f>
        <v>#DIV/0!</v>
      </c>
      <c r="U26" s="1" t="n">
        <v>1.6794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0" t="n">
        <v>2.7481</v>
      </c>
      <c r="F27" s="1" t="n">
        <v>3.008</v>
      </c>
      <c r="G27" s="2" t="n">
        <f aca="false">1000-E27</f>
        <v>1000</v>
      </c>
      <c r="H27" s="1" t="n">
        <v>3.4765</v>
      </c>
      <c r="I27" s="1" t="n">
        <f aca="false">H27-F27</f>
        <v>0.4685</v>
      </c>
      <c r="J27" s="1" t="n">
        <f aca="false">H27-H27</f>
        <v>0</v>
      </c>
      <c r="K27" s="1" t="n">
        <f aca="false">J27+I27</f>
        <v>0.4685</v>
      </c>
      <c r="P27" s="1" t="e">
        <f aca="false">M27/$G$2</f>
        <v>#DIV/0!</v>
      </c>
      <c r="Q27" s="1" t="e">
        <f aca="false">N27/$H$2</f>
        <v>#DIV/0!</v>
      </c>
      <c r="S27" s="1" t="e">
        <f aca="false">P27*$K27/$I27</f>
        <v>#DIV/0!</v>
      </c>
      <c r="T27" s="1" t="e">
        <f aca="false">Q27*$K27/$I27</f>
        <v>#DIV/0!</v>
      </c>
      <c r="X27" s="1" t="e">
        <f aca="false">AVERAGE(S27:S28)/100</f>
        <v>#DIV/0!</v>
      </c>
      <c r="Y27" s="1" t="e">
        <f aca="false">AVERAGE(T27:T28)/100</f>
        <v>#DIV/0!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0" t="n">
        <v>2.7282</v>
      </c>
      <c r="F28" s="1" t="n">
        <v>3.0039</v>
      </c>
      <c r="G28" s="2" t="n">
        <f aca="false">1000-E28</f>
        <v>1000</v>
      </c>
      <c r="H28" s="1" t="n">
        <v>3.4945</v>
      </c>
      <c r="I28" s="1" t="n">
        <f aca="false">H28-F28</f>
        <v>0.4906</v>
      </c>
      <c r="J28" s="1" t="n">
        <f aca="false">H28-H28</f>
        <v>0</v>
      </c>
      <c r="K28" s="1" t="n">
        <f aca="false">J28+I28</f>
        <v>0.4906</v>
      </c>
      <c r="P28" s="1" t="e">
        <f aca="false">M28/$G$2</f>
        <v>#DIV/0!</v>
      </c>
      <c r="Q28" s="1" t="e">
        <f aca="false">N28/$H$2</f>
        <v>#DIV/0!</v>
      </c>
      <c r="S28" s="1" t="e">
        <f aca="false">P28*$K28/$I28</f>
        <v>#DIV/0!</v>
      </c>
      <c r="T28" s="1" t="e">
        <f aca="false">Q28*$K28/$I28</f>
        <v>#DIV/0!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U29" activeCellId="0" sqref="U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70</v>
      </c>
    </row>
    <row r="2" customFormat="false" ht="14.25" hidden="false" customHeight="true" outlineLevel="0" collapsed="false">
      <c r="E2" s="1" t="s">
        <v>2</v>
      </c>
      <c r="F2" s="1" t="n">
        <v>363.5756</v>
      </c>
      <c r="H2" s="4"/>
    </row>
    <row r="3" customFormat="false" ht="14.25" hidden="false" customHeight="true" outlineLevel="0" collapsed="false">
      <c r="M3" s="1" t="s">
        <v>69</v>
      </c>
      <c r="N3" s="1" t="s">
        <v>54</v>
      </c>
      <c r="O3" s="5" t="s">
        <v>5</v>
      </c>
      <c r="P3" s="5"/>
      <c r="Q3" s="5"/>
      <c r="R3" s="6" t="s">
        <v>6</v>
      </c>
      <c r="S3" s="6"/>
      <c r="T3" s="6"/>
      <c r="U3" s="7" t="s">
        <v>7</v>
      </c>
      <c r="V3" s="7"/>
    </row>
    <row r="4" customFormat="false" ht="14.25" hidden="false" customHeight="true" outlineLevel="0" collapsed="false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10" t="s">
        <v>40</v>
      </c>
      <c r="N4" s="11" t="s">
        <v>21</v>
      </c>
      <c r="O4" s="12" t="s">
        <v>22</v>
      </c>
      <c r="P4" s="13" t="s">
        <v>23</v>
      </c>
      <c r="Q4" s="14" t="s">
        <v>24</v>
      </c>
      <c r="R4" s="12" t="s">
        <v>22</v>
      </c>
      <c r="S4" s="13" t="s">
        <v>23</v>
      </c>
      <c r="T4" s="14" t="s">
        <v>24</v>
      </c>
      <c r="U4" s="15" t="n">
        <v>1</v>
      </c>
      <c r="V4" s="15" t="n">
        <v>2</v>
      </c>
      <c r="W4" s="16" t="s">
        <v>25</v>
      </c>
      <c r="X4" s="15" t="s">
        <v>26</v>
      </c>
      <c r="Y4" s="15" t="s">
        <v>27</v>
      </c>
      <c r="Z4" s="17" t="s">
        <v>28</v>
      </c>
    </row>
    <row r="5" customFormat="false" ht="14.25" hidden="false" customHeight="true" outlineLevel="0" collapsed="false">
      <c r="A5" s="18" t="s">
        <v>62</v>
      </c>
      <c r="B5" s="19" t="s">
        <v>31</v>
      </c>
      <c r="C5" s="20" t="n">
        <v>1</v>
      </c>
      <c r="D5" s="21" t="n">
        <v>2.7983</v>
      </c>
      <c r="E5" s="19" t="n">
        <v>300</v>
      </c>
      <c r="F5" s="20" t="n">
        <v>2.9941</v>
      </c>
      <c r="G5" s="19" t="n">
        <f aca="false">1000-E5</f>
        <v>700</v>
      </c>
      <c r="H5" s="20" t="n">
        <v>3.6143</v>
      </c>
      <c r="I5" s="22" t="n">
        <f aca="false">F5-D5</f>
        <v>0.1958</v>
      </c>
      <c r="J5" s="22" t="n">
        <f aca="false">H5-F5</f>
        <v>0.6202</v>
      </c>
      <c r="K5" s="22" t="n">
        <f aca="false">J5+I5</f>
        <v>0.816</v>
      </c>
      <c r="L5" s="23"/>
      <c r="M5" s="23"/>
      <c r="N5" s="23"/>
      <c r="O5" s="24" t="n">
        <f aca="false">L5/$F$2</f>
        <v>0</v>
      </c>
      <c r="P5" s="47"/>
      <c r="Q5" s="26" t="e">
        <f aca="false">N5/$G$2</f>
        <v>#DIV/0!</v>
      </c>
      <c r="R5" s="25" t="n">
        <f aca="false">O5*$K5/$I5</f>
        <v>0</v>
      </c>
      <c r="S5" s="47"/>
      <c r="T5" s="26" t="e">
        <f aca="false">Q5*$K5/$I5</f>
        <v>#DIV/0!</v>
      </c>
      <c r="U5" s="27" t="n">
        <v>97.8647</v>
      </c>
      <c r="V5" s="27"/>
      <c r="W5" s="48" t="n">
        <f aca="false">AVERAGE(R5:R6)/100</f>
        <v>0</v>
      </c>
      <c r="X5" s="49"/>
      <c r="Y5" s="49" t="e">
        <f aca="false">AVERAGE(T5:T6)/100</f>
        <v>#DIV/0!</v>
      </c>
      <c r="Z5" s="50" t="n">
        <f aca="false">AVERAGE(U5:V6)/100</f>
        <v>0.9718735</v>
      </c>
      <c r="AA5" s="2" t="e">
        <f aca="false">SUM(W5:Z5)</f>
        <v>#DIV/0!</v>
      </c>
    </row>
    <row r="6" customFormat="false" ht="14.25" hidden="false" customHeight="true" outlineLevel="0" collapsed="false">
      <c r="A6" s="18"/>
      <c r="B6" s="20" t="s">
        <v>31</v>
      </c>
      <c r="C6" s="20" t="n">
        <v>2</v>
      </c>
      <c r="D6" s="20" t="n">
        <v>2.8261</v>
      </c>
      <c r="E6" s="20" t="n">
        <v>300</v>
      </c>
      <c r="F6" s="20" t="n">
        <v>3.0312</v>
      </c>
      <c r="G6" s="19" t="n">
        <f aca="false">1000-E6</f>
        <v>700</v>
      </c>
      <c r="H6" s="20" t="n">
        <v>3.6261</v>
      </c>
      <c r="I6" s="22" t="n">
        <f aca="false">F6-D6</f>
        <v>0.2051</v>
      </c>
      <c r="J6" s="22" t="n">
        <f aca="false">H6-F6</f>
        <v>0.5949</v>
      </c>
      <c r="K6" s="22" t="n">
        <f aca="false">J6+I6</f>
        <v>0.8</v>
      </c>
      <c r="L6" s="23"/>
      <c r="M6" s="23"/>
      <c r="N6" s="23"/>
      <c r="O6" s="24" t="n">
        <f aca="false">L6/$F$2</f>
        <v>0</v>
      </c>
      <c r="P6" s="47"/>
      <c r="Q6" s="26" t="e">
        <f aca="false">N6/$G$2</f>
        <v>#DIV/0!</v>
      </c>
      <c r="R6" s="25" t="n">
        <f aca="false">O6*$K6/$I6</f>
        <v>0</v>
      </c>
      <c r="S6" s="47"/>
      <c r="T6" s="26" t="e">
        <f aca="false">Q6*$K6/$I6</f>
        <v>#DIV/0!</v>
      </c>
      <c r="U6" s="27" t="n">
        <v>96.51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32</v>
      </c>
      <c r="C7" s="34" t="n">
        <v>3</v>
      </c>
      <c r="D7" s="34" t="n">
        <v>2.8035</v>
      </c>
      <c r="E7" s="34" t="n">
        <v>100</v>
      </c>
      <c r="F7" s="34" t="n">
        <v>2.9952</v>
      </c>
      <c r="G7" s="30" t="n">
        <f aca="false">1000-E7</f>
        <v>900</v>
      </c>
      <c r="H7" s="34" t="n">
        <v>3.5673</v>
      </c>
      <c r="I7" s="35" t="n">
        <f aca="false">F7-D7</f>
        <v>0.1917</v>
      </c>
      <c r="J7" s="35" t="n">
        <f aca="false">H7-F7</f>
        <v>0.5721</v>
      </c>
      <c r="K7" s="35" t="n">
        <f aca="false">J7+I7</f>
        <v>0.7638</v>
      </c>
      <c r="N7" s="36"/>
      <c r="O7" s="52" t="n">
        <f aca="false">L7/$F$2</f>
        <v>0</v>
      </c>
      <c r="P7" s="53"/>
      <c r="Q7" s="54" t="e">
        <f aca="false">N7/$G$2</f>
        <v>#DIV/0!</v>
      </c>
      <c r="R7" s="55" t="n">
        <f aca="false">O7*$K7/$I7</f>
        <v>0</v>
      </c>
      <c r="S7" s="53"/>
      <c r="T7" s="54" t="e">
        <f aca="false">Q7*$K7/$I7</f>
        <v>#DIV/0!</v>
      </c>
      <c r="U7" s="2" t="n">
        <v>7.505</v>
      </c>
      <c r="V7" s="2"/>
      <c r="W7" s="51" t="n">
        <f aca="false">AVERAGE(R7:R8)/100</f>
        <v>0</v>
      </c>
      <c r="Y7" s="1" t="e">
        <f aca="false">AVERAGE(T7:T8)/100</f>
        <v>#DIV/0!</v>
      </c>
      <c r="Z7" s="33" t="n">
        <f aca="false">AVERAGE(U7:V8)/100</f>
        <v>0.0759605</v>
      </c>
      <c r="AA7" s="2" t="e">
        <f aca="false">SUM(W7:Z7)</f>
        <v>#DIV/0!</v>
      </c>
    </row>
    <row r="8" customFormat="false" ht="14.25" hidden="false" customHeight="true" outlineLevel="0" collapsed="false">
      <c r="A8" s="18"/>
      <c r="B8" s="34" t="s">
        <v>32</v>
      </c>
      <c r="C8" s="34" t="n">
        <v>4</v>
      </c>
      <c r="D8" s="34" t="n">
        <v>2.8293</v>
      </c>
      <c r="E8" s="34" t="n">
        <v>100</v>
      </c>
      <c r="F8" s="34" t="n">
        <v>3.0447</v>
      </c>
      <c r="G8" s="30" t="n">
        <f aca="false">1000-E8</f>
        <v>900</v>
      </c>
      <c r="H8" s="34" t="n">
        <v>3.6537</v>
      </c>
      <c r="I8" s="35" t="n">
        <f aca="false">F8-D8</f>
        <v>0.2154</v>
      </c>
      <c r="J8" s="35" t="n">
        <f aca="false">H8-F8</f>
        <v>0.609</v>
      </c>
      <c r="K8" s="35" t="n">
        <f aca="false">J8+I8</f>
        <v>0.8244</v>
      </c>
      <c r="L8" s="36"/>
      <c r="M8" s="36"/>
      <c r="N8" s="36"/>
      <c r="O8" s="52" t="n">
        <f aca="false">L8/$F$2</f>
        <v>0</v>
      </c>
      <c r="P8" s="53"/>
      <c r="Q8" s="54" t="e">
        <f aca="false">N8/$G$2</f>
        <v>#DIV/0!</v>
      </c>
      <c r="R8" s="55" t="n">
        <f aca="false">O8*$K8/$I8</f>
        <v>0</v>
      </c>
      <c r="S8" s="53"/>
      <c r="T8" s="54" t="e">
        <f aca="false">Q8*$K8/$I8</f>
        <v>#DIV/0!</v>
      </c>
      <c r="U8" s="2" t="n">
        <v>7.6871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63</v>
      </c>
      <c r="B9" s="19" t="s">
        <v>31</v>
      </c>
      <c r="C9" s="20" t="n">
        <v>5</v>
      </c>
      <c r="D9" s="19" t="n">
        <v>2.863</v>
      </c>
      <c r="E9" s="19" t="n">
        <v>300</v>
      </c>
      <c r="F9" s="20" t="n">
        <v>3.0669</v>
      </c>
      <c r="G9" s="19" t="n">
        <f aca="false">1000-E9</f>
        <v>700</v>
      </c>
      <c r="H9" s="20" t="n">
        <v>3.6895</v>
      </c>
      <c r="I9" s="22" t="n">
        <f aca="false">F9-D9</f>
        <v>0.2039</v>
      </c>
      <c r="J9" s="22" t="n">
        <f aca="false">H9-F9</f>
        <v>0.6226</v>
      </c>
      <c r="K9" s="22" t="n">
        <f aca="false">J9+I9</f>
        <v>0.8265</v>
      </c>
      <c r="L9" s="23"/>
      <c r="M9" s="23"/>
      <c r="N9" s="23"/>
      <c r="O9" s="24" t="n">
        <f aca="false">L9/$F$2</f>
        <v>0</v>
      </c>
      <c r="P9" s="47"/>
      <c r="Q9" s="26" t="e">
        <f aca="false">N9/$G$2</f>
        <v>#DIV/0!</v>
      </c>
      <c r="R9" s="25" t="n">
        <f aca="false">O9*$K9/$I9</f>
        <v>0</v>
      </c>
      <c r="S9" s="47"/>
      <c r="T9" s="26" t="e">
        <f aca="false">Q9*$K9/$I9</f>
        <v>#DIV/0!</v>
      </c>
      <c r="U9" s="27"/>
      <c r="V9" s="27" t="n">
        <v>98.8751</v>
      </c>
      <c r="W9" s="56" t="n">
        <f aca="false">AVERAGE(R9:R10)/100</f>
        <v>0</v>
      </c>
      <c r="X9" s="57"/>
      <c r="Y9" s="57" t="e">
        <f aca="false">AVERAGE(T9:T10)/100</f>
        <v>#DIV/0!</v>
      </c>
      <c r="Z9" s="29" t="n">
        <f aca="false">AVERAGE(U9:V10)/100</f>
        <v>0.988751</v>
      </c>
      <c r="AA9" s="2" t="e">
        <f aca="false">SUM(W9:Z9)</f>
        <v>#DIV/0!</v>
      </c>
    </row>
    <row r="10" customFormat="false" ht="14.25" hidden="false" customHeight="true" outlineLevel="0" collapsed="false">
      <c r="A10" s="18"/>
      <c r="B10" s="20" t="s">
        <v>31</v>
      </c>
      <c r="C10" s="20" t="n">
        <v>6</v>
      </c>
      <c r="D10" s="20" t="n">
        <v>2.8033</v>
      </c>
      <c r="E10" s="20" t="n">
        <v>300</v>
      </c>
      <c r="F10" s="20" t="n">
        <v>3.0089</v>
      </c>
      <c r="G10" s="19" t="n">
        <f aca="false">1000-E10</f>
        <v>700</v>
      </c>
      <c r="H10" s="20" t="n">
        <v>3.6371</v>
      </c>
      <c r="I10" s="22" t="n">
        <f aca="false">F10-D10</f>
        <v>0.2056</v>
      </c>
      <c r="J10" s="22" t="n">
        <f aca="false">H10-F10</f>
        <v>0.6282</v>
      </c>
      <c r="K10" s="22" t="n">
        <f aca="false">J10+I10</f>
        <v>0.8338</v>
      </c>
      <c r="L10" s="23"/>
      <c r="M10" s="23"/>
      <c r="N10" s="23"/>
      <c r="O10" s="24" t="n">
        <f aca="false">L10/$F$2</f>
        <v>0</v>
      </c>
      <c r="P10" s="47"/>
      <c r="Q10" s="26" t="e">
        <f aca="false">N10/$G$2</f>
        <v>#DIV/0!</v>
      </c>
      <c r="R10" s="25" t="n">
        <f aca="false">O10*$K10/$I10</f>
        <v>0</v>
      </c>
      <c r="S10" s="47"/>
      <c r="T10" s="26" t="e">
        <f aca="false">Q10*$K10/$I10</f>
        <v>#DIV/0!</v>
      </c>
      <c r="U10" s="27"/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32</v>
      </c>
      <c r="C11" s="34" t="n">
        <v>7</v>
      </c>
      <c r="D11" s="34" t="n">
        <v>2.7772</v>
      </c>
      <c r="E11" s="34" t="n">
        <v>100</v>
      </c>
      <c r="F11" s="34" t="n">
        <v>2.98</v>
      </c>
      <c r="G11" s="30" t="n">
        <f aca="false">1000-E11</f>
        <v>900</v>
      </c>
      <c r="H11" s="34" t="n">
        <v>3.6018</v>
      </c>
      <c r="I11" s="35" t="n">
        <f aca="false">F11-D11</f>
        <v>0.2028</v>
      </c>
      <c r="J11" s="35" t="n">
        <f aca="false">H11-F11</f>
        <v>0.6218</v>
      </c>
      <c r="K11" s="35" t="n">
        <f aca="false">J11+I11</f>
        <v>0.8246</v>
      </c>
      <c r="L11" s="40"/>
      <c r="M11" s="40"/>
      <c r="N11" s="36"/>
      <c r="O11" s="52" t="n">
        <f aca="false">L11/$F$2</f>
        <v>0</v>
      </c>
      <c r="P11" s="53"/>
      <c r="Q11" s="54" t="e">
        <f aca="false">N11/$G$2</f>
        <v>#DIV/0!</v>
      </c>
      <c r="R11" s="55" t="n">
        <f aca="false">O11*$K11/$I11</f>
        <v>0</v>
      </c>
      <c r="S11" s="53"/>
      <c r="T11" s="54" t="e">
        <f aca="false">Q11*$K11/$I11</f>
        <v>#DIV/0!</v>
      </c>
      <c r="U11" s="2" t="n">
        <v>1.9451</v>
      </c>
      <c r="V11" s="2"/>
      <c r="W11" s="51" t="n">
        <f aca="false">AVERAGE(R11:R12)/100</f>
        <v>0</v>
      </c>
      <c r="Y11" s="1" t="e">
        <f aca="false">AVERAGE(T11:T12)/100</f>
        <v>#DIV/0!</v>
      </c>
      <c r="Z11" s="33" t="n">
        <f aca="false">AVERAGE(U11:V12)/100</f>
        <v>0.0192655</v>
      </c>
      <c r="AA11" s="2" t="e">
        <f aca="false">SUM(W11:Z11)</f>
        <v>#DIV/0!</v>
      </c>
    </row>
    <row r="12" customFormat="false" ht="14.25" hidden="false" customHeight="true" outlineLevel="0" collapsed="false">
      <c r="A12" s="18"/>
      <c r="B12" s="34" t="s">
        <v>32</v>
      </c>
      <c r="C12" s="34" t="n">
        <v>8</v>
      </c>
      <c r="D12" s="34" t="n">
        <v>2.8318</v>
      </c>
      <c r="E12" s="34" t="n">
        <v>100</v>
      </c>
      <c r="F12" s="34" t="n">
        <v>3.0383</v>
      </c>
      <c r="G12" s="30" t="n">
        <f aca="false">1000-E12</f>
        <v>900</v>
      </c>
      <c r="H12" s="34" t="n">
        <v>3.6495</v>
      </c>
      <c r="I12" s="35" t="n">
        <f aca="false">F12-D12</f>
        <v>0.2065</v>
      </c>
      <c r="J12" s="35" t="n">
        <f aca="false">H12-F12</f>
        <v>0.6112</v>
      </c>
      <c r="K12" s="35" t="n">
        <f aca="false">J12+I12</f>
        <v>0.8177</v>
      </c>
      <c r="L12" s="36"/>
      <c r="M12" s="36"/>
      <c r="N12" s="36"/>
      <c r="O12" s="52" t="n">
        <f aca="false">L12/$F$2</f>
        <v>0</v>
      </c>
      <c r="P12" s="53"/>
      <c r="Q12" s="54" t="e">
        <f aca="false">N12/$G$2</f>
        <v>#DIV/0!</v>
      </c>
      <c r="R12" s="55" t="n">
        <f aca="false">O12*$K12/$I12</f>
        <v>0</v>
      </c>
      <c r="S12" s="53"/>
      <c r="T12" s="54" t="e">
        <f aca="false">Q12*$K12/$I12</f>
        <v>#DIV/0!</v>
      </c>
      <c r="U12" s="2" t="n">
        <v>1.908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64</v>
      </c>
      <c r="B13" s="19" t="s">
        <v>31</v>
      </c>
      <c r="C13" s="20" t="n">
        <v>9</v>
      </c>
      <c r="D13" s="19" t="n">
        <v>2.7839</v>
      </c>
      <c r="E13" s="19" t="n">
        <v>300</v>
      </c>
      <c r="F13" s="20" t="n">
        <v>2.9841</v>
      </c>
      <c r="G13" s="19" t="n">
        <f aca="false">1000-E13</f>
        <v>700</v>
      </c>
      <c r="H13" s="20" t="n">
        <v>3.594</v>
      </c>
      <c r="I13" s="22" t="n">
        <f aca="false">F13-D13</f>
        <v>0.2002</v>
      </c>
      <c r="J13" s="22" t="n">
        <f aca="false">H13-F13</f>
        <v>0.6099</v>
      </c>
      <c r="K13" s="22" t="n">
        <f aca="false">J13+I13</f>
        <v>0.8101</v>
      </c>
      <c r="L13" s="23"/>
      <c r="M13" s="23"/>
      <c r="N13" s="23"/>
      <c r="O13" s="24" t="n">
        <f aca="false">L13/$F$2</f>
        <v>0</v>
      </c>
      <c r="P13" s="47"/>
      <c r="Q13" s="26" t="e">
        <f aca="false">N13/$G$2</f>
        <v>#DIV/0!</v>
      </c>
      <c r="R13" s="25" t="n">
        <f aca="false">O13*$K13/$I13</f>
        <v>0</v>
      </c>
      <c r="S13" s="47"/>
      <c r="T13" s="26" t="e">
        <f aca="false">Q13*$K13/$I13</f>
        <v>#DIV/0!</v>
      </c>
      <c r="U13" s="27" t="n">
        <v>94.9485</v>
      </c>
      <c r="V13" s="27"/>
      <c r="W13" s="56" t="n">
        <f aca="false">AVERAGE(R13:R14)/100</f>
        <v>0</v>
      </c>
      <c r="X13" s="57"/>
      <c r="Y13" s="57" t="e">
        <f aca="false">AVERAGE(T13:T14)/100</f>
        <v>#DIV/0!</v>
      </c>
      <c r="Z13" s="29" t="n">
        <f aca="false">AVERAGE(U13:V14)/100</f>
        <v>0.968553</v>
      </c>
      <c r="AA13" s="2" t="e">
        <f aca="false">SUM(W13:Z13)</f>
        <v>#DIV/0!</v>
      </c>
    </row>
    <row r="14" customFormat="false" ht="14.25" hidden="false" customHeight="true" outlineLevel="0" collapsed="false">
      <c r="A14" s="18"/>
      <c r="B14" s="19" t="s">
        <v>31</v>
      </c>
      <c r="C14" s="20" t="n">
        <v>10</v>
      </c>
      <c r="D14" s="20" t="n">
        <v>2.8205</v>
      </c>
      <c r="E14" s="20" t="n">
        <v>300</v>
      </c>
      <c r="F14" s="20" t="n">
        <v>3.0266</v>
      </c>
      <c r="G14" s="19" t="n">
        <f aca="false">1000-E14</f>
        <v>700</v>
      </c>
      <c r="H14" s="20" t="n">
        <v>3.6371</v>
      </c>
      <c r="I14" s="22" t="n">
        <f aca="false">F14-D14</f>
        <v>0.2061</v>
      </c>
      <c r="J14" s="22" t="n">
        <f aca="false">H14-F14</f>
        <v>0.6105</v>
      </c>
      <c r="K14" s="22" t="n">
        <f aca="false">J14+I14</f>
        <v>0.8166</v>
      </c>
      <c r="L14" s="23"/>
      <c r="M14" s="23"/>
      <c r="N14" s="23"/>
      <c r="O14" s="24" t="n">
        <f aca="false">L14/$F$2</f>
        <v>0</v>
      </c>
      <c r="P14" s="47"/>
      <c r="Q14" s="26" t="e">
        <f aca="false">N14/$G$2</f>
        <v>#DIV/0!</v>
      </c>
      <c r="R14" s="25" t="n">
        <f aca="false">O14*$K14/$I14</f>
        <v>0</v>
      </c>
      <c r="S14" s="47"/>
      <c r="T14" s="26" t="e">
        <f aca="false">Q14*$K14/$I14</f>
        <v>#DIV/0!</v>
      </c>
      <c r="U14" s="27" t="n">
        <v>99.0665</v>
      </c>
      <c r="V14" s="27" t="n">
        <v>96.5509</v>
      </c>
      <c r="W14" s="51"/>
      <c r="Z14" s="33"/>
      <c r="AA14" s="2"/>
    </row>
    <row r="15" customFormat="false" ht="14.25" hidden="false" customHeight="true" outlineLevel="0" collapsed="false">
      <c r="A15" s="18"/>
      <c r="B15" s="34" t="s">
        <v>32</v>
      </c>
      <c r="C15" s="34" t="n">
        <v>11</v>
      </c>
      <c r="D15" s="34" t="n">
        <v>2.803</v>
      </c>
      <c r="E15" s="34" t="n">
        <v>100</v>
      </c>
      <c r="F15" s="34" t="n">
        <v>2.999</v>
      </c>
      <c r="G15" s="30" t="n">
        <f aca="false">1000-E15</f>
        <v>900</v>
      </c>
      <c r="H15" s="34" t="n">
        <v>3.6274</v>
      </c>
      <c r="I15" s="35" t="n">
        <f aca="false">F15-D15</f>
        <v>0.196</v>
      </c>
      <c r="J15" s="35" t="n">
        <f aca="false">H15-F15</f>
        <v>0.6284</v>
      </c>
      <c r="K15" s="35" t="n">
        <f aca="false">J15+I15</f>
        <v>0.8244</v>
      </c>
      <c r="L15" s="36"/>
      <c r="M15" s="36"/>
      <c r="N15" s="41"/>
      <c r="O15" s="52" t="n">
        <f aca="false">L15/$F$2</f>
        <v>0</v>
      </c>
      <c r="P15" s="53"/>
      <c r="Q15" s="54" t="e">
        <f aca="false">N15/$G$2</f>
        <v>#DIV/0!</v>
      </c>
      <c r="R15" s="55" t="n">
        <f aca="false">O15*$K15/$I15</f>
        <v>0</v>
      </c>
      <c r="S15" s="53"/>
      <c r="T15" s="54" t="e">
        <f aca="false">Q15*$K15/$I15</f>
        <v>#DIV/0!</v>
      </c>
      <c r="U15" s="2" t="n">
        <v>5.1862</v>
      </c>
      <c r="V15" s="2"/>
      <c r="W15" s="51" t="n">
        <f aca="false">AVERAGE(R15:R16)/100</f>
        <v>0</v>
      </c>
      <c r="Y15" s="1" t="e">
        <f aca="false">AVERAGE(T15:T16)/100</f>
        <v>#DIV/0!</v>
      </c>
      <c r="Z15" s="33" t="n">
        <f aca="false">AVERAGE(U15:V16)/100</f>
        <v>0.047845</v>
      </c>
      <c r="AA15" s="2" t="e">
        <f aca="false">SUM(W15:Z15)</f>
        <v>#DIV/0!</v>
      </c>
    </row>
    <row r="16" customFormat="false" ht="14.25" hidden="false" customHeight="true" outlineLevel="0" collapsed="false">
      <c r="A16" s="18"/>
      <c r="B16" s="34" t="s">
        <v>32</v>
      </c>
      <c r="C16" s="34" t="n">
        <v>12</v>
      </c>
      <c r="D16" s="34" t="n">
        <v>2.8581</v>
      </c>
      <c r="E16" s="34" t="n">
        <v>100</v>
      </c>
      <c r="F16" s="34" t="n">
        <v>3.0519</v>
      </c>
      <c r="G16" s="30" t="n">
        <f aca="false">1000-E16</f>
        <v>900</v>
      </c>
      <c r="H16" s="34" t="n">
        <v>3.673</v>
      </c>
      <c r="I16" s="35" t="n">
        <f aca="false">F16-D16</f>
        <v>0.1938</v>
      </c>
      <c r="J16" s="35" t="n">
        <f aca="false">H16-F16</f>
        <v>0.6211</v>
      </c>
      <c r="K16" s="35" t="n">
        <f aca="false">J16+I16</f>
        <v>0.8149</v>
      </c>
      <c r="L16" s="36"/>
      <c r="M16" s="36"/>
      <c r="N16" s="36"/>
      <c r="O16" s="52" t="n">
        <f aca="false">L16/$F$2</f>
        <v>0</v>
      </c>
      <c r="P16" s="53"/>
      <c r="Q16" s="54" t="e">
        <f aca="false">N16/$G$2</f>
        <v>#DIV/0!</v>
      </c>
      <c r="R16" s="55" t="n">
        <f aca="false">O16*$K16/$I16</f>
        <v>0</v>
      </c>
      <c r="S16" s="53"/>
      <c r="T16" s="54" t="e">
        <f aca="false">Q16*$K16/$I16</f>
        <v>#DIV/0!</v>
      </c>
      <c r="U16" s="2" t="n">
        <v>4.5975</v>
      </c>
      <c r="V16" s="2" t="n">
        <v>4.5698</v>
      </c>
      <c r="W16" s="51"/>
      <c r="Z16" s="33"/>
      <c r="AA16" s="2"/>
    </row>
    <row r="17" customFormat="false" ht="14.25" hidden="false" customHeight="true" outlineLevel="0" collapsed="false">
      <c r="A17" s="18" t="s">
        <v>65</v>
      </c>
      <c r="B17" s="19" t="s">
        <v>31</v>
      </c>
      <c r="C17" s="20" t="n">
        <v>13</v>
      </c>
      <c r="D17" s="19" t="n">
        <v>2.7894</v>
      </c>
      <c r="E17" s="19" t="n">
        <v>300</v>
      </c>
      <c r="F17" s="20" t="n">
        <v>2.9903</v>
      </c>
      <c r="G17" s="19" t="n">
        <f aca="false">1000-E17</f>
        <v>700</v>
      </c>
      <c r="H17" s="20" t="n">
        <v>3.5685</v>
      </c>
      <c r="I17" s="22" t="n">
        <f aca="false">F17-D17</f>
        <v>0.2009</v>
      </c>
      <c r="J17" s="22" t="n">
        <f aca="false">H17-F17</f>
        <v>0.5782</v>
      </c>
      <c r="K17" s="22" t="n">
        <f aca="false">J17+I17</f>
        <v>0.7791</v>
      </c>
      <c r="L17" s="23"/>
      <c r="M17" s="23"/>
      <c r="N17" s="23"/>
      <c r="O17" s="24" t="n">
        <f aca="false">L17/$F$2</f>
        <v>0</v>
      </c>
      <c r="P17" s="47"/>
      <c r="Q17" s="26" t="e">
        <f aca="false">N17/$G$2</f>
        <v>#DIV/0!</v>
      </c>
      <c r="R17" s="25" t="n">
        <f aca="false">O17*$K17/$I17</f>
        <v>0</v>
      </c>
      <c r="S17" s="47"/>
      <c r="T17" s="26" t="e">
        <f aca="false">Q17*$K17/$I17</f>
        <v>#DIV/0!</v>
      </c>
      <c r="U17" s="27" t="n">
        <v>97.0684</v>
      </c>
      <c r="V17" s="27"/>
      <c r="W17" s="56" t="n">
        <f aca="false">AVERAGE(R17:R18)/100</f>
        <v>0</v>
      </c>
      <c r="X17" s="57"/>
      <c r="Y17" s="57" t="e">
        <f aca="false">AVERAGE(T17:T18)/100</f>
        <v>#DIV/0!</v>
      </c>
      <c r="Z17" s="29" t="n">
        <f aca="false">AVERAGE(U17:V18)/100</f>
        <v>0.988856</v>
      </c>
      <c r="AA17" s="2" t="e">
        <f aca="false">SUM(W17:Z17)</f>
        <v>#DIV/0!</v>
      </c>
    </row>
    <row r="18" customFormat="false" ht="14.25" hidden="false" customHeight="true" outlineLevel="0" collapsed="false">
      <c r="A18" s="18"/>
      <c r="B18" s="20" t="s">
        <v>31</v>
      </c>
      <c r="C18" s="20" t="n">
        <v>14</v>
      </c>
      <c r="D18" s="20" t="n">
        <v>2.694</v>
      </c>
      <c r="E18" s="20" t="n">
        <v>300</v>
      </c>
      <c r="F18" s="20" t="n">
        <v>3.0768</v>
      </c>
      <c r="G18" s="19" t="n">
        <f aca="false">1000-E18</f>
        <v>700</v>
      </c>
      <c r="H18" s="20" t="n">
        <v>3.7007</v>
      </c>
      <c r="I18" s="22" t="n">
        <f aca="false">F18-D18</f>
        <v>0.3828</v>
      </c>
      <c r="J18" s="22" t="n">
        <f aca="false">H18-F18</f>
        <v>0.6239</v>
      </c>
      <c r="K18" s="22" t="n">
        <f aca="false">J18+I18</f>
        <v>1.0067</v>
      </c>
      <c r="L18" s="23"/>
      <c r="M18" s="23"/>
      <c r="N18" s="23"/>
      <c r="O18" s="24" t="n">
        <f aca="false">L18/$F$2</f>
        <v>0</v>
      </c>
      <c r="P18" s="47"/>
      <c r="Q18" s="26" t="e">
        <f aca="false">N18/$G$2</f>
        <v>#DIV/0!</v>
      </c>
      <c r="R18" s="25" t="n">
        <f aca="false">O18*$K18/$I18</f>
        <v>0</v>
      </c>
      <c r="S18" s="47"/>
      <c r="T18" s="26" t="e">
        <f aca="false">Q18*$K18/$I18</f>
        <v>#DIV/0!</v>
      </c>
      <c r="U18" s="27" t="n">
        <v>100.5119</v>
      </c>
      <c r="V18" s="27" t="n">
        <v>99.0765</v>
      </c>
      <c r="W18" s="51"/>
      <c r="Z18" s="33"/>
      <c r="AA18" s="2"/>
    </row>
    <row r="19" customFormat="false" ht="14.25" hidden="false" customHeight="true" outlineLevel="0" collapsed="false">
      <c r="A19" s="18"/>
      <c r="B19" s="34" t="s">
        <v>32</v>
      </c>
      <c r="C19" s="34" t="n">
        <v>15</v>
      </c>
      <c r="D19" s="34" t="n">
        <v>2.8448</v>
      </c>
      <c r="E19" s="34" t="n">
        <v>100</v>
      </c>
      <c r="F19" s="34" t="n">
        <v>3.076</v>
      </c>
      <c r="G19" s="30" t="n">
        <f aca="false">1000-E19</f>
        <v>900</v>
      </c>
      <c r="H19" s="34" t="n">
        <v>3.6777</v>
      </c>
      <c r="I19" s="35" t="n">
        <f aca="false">F19-D19</f>
        <v>0.2312</v>
      </c>
      <c r="J19" s="35" t="n">
        <f aca="false">H19-F19</f>
        <v>0.6017</v>
      </c>
      <c r="K19" s="35" t="n">
        <f aca="false">J19+I19</f>
        <v>0.8329</v>
      </c>
      <c r="L19" s="36"/>
      <c r="M19" s="36"/>
      <c r="N19" s="36"/>
      <c r="O19" s="52" t="n">
        <f aca="false">L19/$F$2</f>
        <v>0</v>
      </c>
      <c r="P19" s="53"/>
      <c r="Q19" s="54" t="e">
        <f aca="false">N19/$G$2</f>
        <v>#DIV/0!</v>
      </c>
      <c r="R19" s="55" t="n">
        <f aca="false">O19*$K19/$I19</f>
        <v>0</v>
      </c>
      <c r="S19" s="53"/>
      <c r="T19" s="54" t="e">
        <f aca="false">Q19*$K19/$I19</f>
        <v>#DIV/0!</v>
      </c>
      <c r="U19" s="2" t="n">
        <v>6.2745</v>
      </c>
      <c r="V19" s="2"/>
      <c r="W19" s="51" t="n">
        <f aca="false">AVERAGE(R19:R20)/100</f>
        <v>0</v>
      </c>
      <c r="Y19" s="1" t="e">
        <f aca="false">AVERAGE(T19:T20)/100</f>
        <v>#DIV/0!</v>
      </c>
      <c r="Z19" s="33" t="n">
        <f aca="false">AVERAGE(U19:V20)/100</f>
        <v>0.064449</v>
      </c>
      <c r="AA19" s="2" t="e">
        <f aca="false">SUM(W19:Z19)</f>
        <v>#DIV/0!</v>
      </c>
    </row>
    <row r="20" customFormat="false" ht="14.25" hidden="false" customHeight="true" outlineLevel="0" collapsed="false">
      <c r="A20" s="18"/>
      <c r="B20" s="34" t="s">
        <v>32</v>
      </c>
      <c r="C20" s="34" t="n">
        <v>16</v>
      </c>
      <c r="D20" s="34" t="n">
        <v>2.8036</v>
      </c>
      <c r="E20" s="34" t="n">
        <v>100</v>
      </c>
      <c r="F20" s="34" t="n">
        <v>3.0196</v>
      </c>
      <c r="G20" s="30" t="n">
        <f aca="false">1000-E20</f>
        <v>900</v>
      </c>
      <c r="H20" s="34" t="n">
        <v>3.6117</v>
      </c>
      <c r="I20" s="35" t="n">
        <f aca="false">F20-D20</f>
        <v>0.216</v>
      </c>
      <c r="J20" s="35" t="n">
        <f aca="false">H20-F20</f>
        <v>0.5921</v>
      </c>
      <c r="K20" s="35" t="n">
        <f aca="false">J20+I20</f>
        <v>0.8081</v>
      </c>
      <c r="L20" s="36"/>
      <c r="M20" s="36"/>
      <c r="N20" s="36"/>
      <c r="O20" s="52" t="n">
        <f aca="false">L20/$F$2</f>
        <v>0</v>
      </c>
      <c r="P20" s="53"/>
      <c r="Q20" s="54" t="e">
        <f aca="false">N20/$G$2</f>
        <v>#DIV/0!</v>
      </c>
      <c r="R20" s="55" t="n">
        <f aca="false">O20*$K20/$I20</f>
        <v>0</v>
      </c>
      <c r="S20" s="53"/>
      <c r="T20" s="54" t="e">
        <f aca="false">Q20*$K20/$I20</f>
        <v>#DIV/0!</v>
      </c>
      <c r="U20" s="2" t="n">
        <v>6.6153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66</v>
      </c>
      <c r="B21" s="19" t="s">
        <v>31</v>
      </c>
      <c r="C21" s="20" t="n">
        <v>17</v>
      </c>
      <c r="D21" s="19" t="n">
        <v>2.8602</v>
      </c>
      <c r="E21" s="19" t="n">
        <v>300</v>
      </c>
      <c r="F21" s="20" t="n">
        <v>3.0624</v>
      </c>
      <c r="G21" s="19" t="n">
        <f aca="false">1000-E21</f>
        <v>700</v>
      </c>
      <c r="H21" s="20" t="n">
        <v>3.6719</v>
      </c>
      <c r="I21" s="22" t="n">
        <f aca="false">F21-D21</f>
        <v>0.2022</v>
      </c>
      <c r="J21" s="22" t="n">
        <f aca="false">H21-F21</f>
        <v>0.6095</v>
      </c>
      <c r="K21" s="22" t="n">
        <f aca="false">J21+I21</f>
        <v>0.8117</v>
      </c>
      <c r="L21" s="23"/>
      <c r="M21" s="23"/>
      <c r="N21" s="23"/>
      <c r="O21" s="24" t="n">
        <f aca="false">L21/$F$2</f>
        <v>0</v>
      </c>
      <c r="P21" s="47"/>
      <c r="Q21" s="26" t="e">
        <f aca="false">N21/$G$2</f>
        <v>#DIV/0!</v>
      </c>
      <c r="R21" s="25" t="n">
        <f aca="false">O21*$K21/$I21</f>
        <v>0</v>
      </c>
      <c r="S21" s="47"/>
      <c r="T21" s="26" t="e">
        <f aca="false">Q21*$K21/$I21</f>
        <v>#DIV/0!</v>
      </c>
      <c r="U21" s="27" t="n">
        <v>99.6909</v>
      </c>
      <c r="V21" s="27"/>
      <c r="W21" s="56" t="n">
        <f aca="false">AVERAGE(R21:R22)/100</f>
        <v>0</v>
      </c>
      <c r="X21" s="57"/>
      <c r="Y21" s="57" t="e">
        <f aca="false">AVERAGE(T21:T22)/100</f>
        <v>#DIV/0!</v>
      </c>
      <c r="Z21" s="29" t="n">
        <f aca="false">AVERAGE(U21:V22)/100</f>
        <v>0.9964865</v>
      </c>
      <c r="AA21" s="2" t="e">
        <f aca="false">SUM(W21:Z21)</f>
        <v>#DIV/0!</v>
      </c>
    </row>
    <row r="22" customFormat="false" ht="14.25" hidden="false" customHeight="true" outlineLevel="0" collapsed="false">
      <c r="A22" s="18"/>
      <c r="B22" s="20" t="s">
        <v>31</v>
      </c>
      <c r="C22" s="20" t="n">
        <v>18</v>
      </c>
      <c r="D22" s="20" t="n">
        <v>2.7962</v>
      </c>
      <c r="E22" s="20" t="n">
        <v>300</v>
      </c>
      <c r="F22" s="20" t="n">
        <v>3.0027</v>
      </c>
      <c r="G22" s="19" t="n">
        <f aca="false">1000-E22</f>
        <v>700</v>
      </c>
      <c r="H22" s="20" t="n">
        <v>3.6231</v>
      </c>
      <c r="I22" s="22" t="n">
        <f aca="false">F22-D22</f>
        <v>0.2065</v>
      </c>
      <c r="J22" s="22" t="n">
        <f aca="false">H22-F22</f>
        <v>0.6204</v>
      </c>
      <c r="K22" s="22" t="n">
        <f aca="false">J22+I22</f>
        <v>0.8269</v>
      </c>
      <c r="L22" s="23"/>
      <c r="M22" s="23"/>
      <c r="N22" s="23"/>
      <c r="O22" s="24" t="n">
        <f aca="false">L22/$F$2</f>
        <v>0</v>
      </c>
      <c r="P22" s="47"/>
      <c r="Q22" s="26" t="e">
        <f aca="false">N22/$G$2</f>
        <v>#DIV/0!</v>
      </c>
      <c r="R22" s="25" t="n">
        <f aca="false">O22*$K22/$I22</f>
        <v>0</v>
      </c>
      <c r="S22" s="47"/>
      <c r="T22" s="26" t="e">
        <f aca="false">Q22*$K22/$I22</f>
        <v>#DIV/0!</v>
      </c>
      <c r="U22" s="27" t="n">
        <v>99.6064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32</v>
      </c>
      <c r="C23" s="34" t="n">
        <v>19</v>
      </c>
      <c r="D23" s="34" t="n">
        <v>2.8642</v>
      </c>
      <c r="E23" s="34" t="n">
        <v>100</v>
      </c>
      <c r="F23" s="34" t="n">
        <v>3.0524</v>
      </c>
      <c r="G23" s="30" t="n">
        <f aca="false">1000-E23</f>
        <v>900</v>
      </c>
      <c r="H23" s="34" t="n">
        <v>3.652</v>
      </c>
      <c r="I23" s="35" t="n">
        <f aca="false">F23-D23</f>
        <v>0.1882</v>
      </c>
      <c r="J23" s="35" t="n">
        <f aca="false">H23-F23</f>
        <v>0.5996</v>
      </c>
      <c r="K23" s="35" t="n">
        <f aca="false">J23+I23</f>
        <v>0.7878</v>
      </c>
      <c r="L23" s="36"/>
      <c r="M23" s="36"/>
      <c r="N23" s="36"/>
      <c r="O23" s="52" t="n">
        <f aca="false">L23/$F$2</f>
        <v>0</v>
      </c>
      <c r="P23" s="53"/>
      <c r="Q23" s="54" t="e">
        <f aca="false">N23/$G$2</f>
        <v>#DIV/0!</v>
      </c>
      <c r="R23" s="55" t="n">
        <f aca="false">O23*$K23/$I23</f>
        <v>0</v>
      </c>
      <c r="S23" s="53"/>
      <c r="T23" s="54" t="e">
        <f aca="false">Q23*$K23/$I23</f>
        <v>#DIV/0!</v>
      </c>
      <c r="U23" s="2" t="n">
        <v>4.3433</v>
      </c>
      <c r="V23" s="2"/>
      <c r="W23" s="51" t="n">
        <f aca="false">AVERAGE(R23:R24)/100</f>
        <v>0</v>
      </c>
      <c r="Y23" s="1" t="e">
        <f aca="false">AVERAGE(T23:T24)/100</f>
        <v>#DIV/0!</v>
      </c>
      <c r="Z23" s="33" t="n">
        <f aca="false">AVERAGE(U23:V24)/100</f>
        <v>0.0426285</v>
      </c>
      <c r="AA23" s="2" t="e">
        <f aca="false">SUM(W23:Z23)</f>
        <v>#DIV/0!</v>
      </c>
    </row>
    <row r="24" customFormat="false" ht="14.25" hidden="false" customHeight="true" outlineLevel="0" collapsed="false">
      <c r="A24" s="18"/>
      <c r="B24" s="34" t="s">
        <v>32</v>
      </c>
      <c r="C24" s="34" t="n">
        <v>20</v>
      </c>
      <c r="D24" s="34" t="n">
        <v>2.7888</v>
      </c>
      <c r="E24" s="34" t="n">
        <v>100</v>
      </c>
      <c r="F24" s="34" t="n">
        <v>3.0046</v>
      </c>
      <c r="G24" s="30" t="n">
        <f aca="false">1000-E24</f>
        <v>900</v>
      </c>
      <c r="H24" s="34" t="n">
        <v>3.6248</v>
      </c>
      <c r="I24" s="35" t="n">
        <f aca="false">F24-D24</f>
        <v>0.2158</v>
      </c>
      <c r="J24" s="35" t="n">
        <f aca="false">H24-F24</f>
        <v>0.6202</v>
      </c>
      <c r="K24" s="35" t="n">
        <f aca="false">J24+I24</f>
        <v>0.836</v>
      </c>
      <c r="L24" s="36"/>
      <c r="M24" s="36"/>
      <c r="N24" s="36"/>
      <c r="O24" s="58" t="n">
        <f aca="false">L24/$F$2</f>
        <v>0</v>
      </c>
      <c r="P24" s="59"/>
      <c r="Q24" s="60" t="e">
        <f aca="false">N24/$G$2</f>
        <v>#DIV/0!</v>
      </c>
      <c r="R24" s="55" t="n">
        <f aca="false">O24*$K24/$I24</f>
        <v>0</v>
      </c>
      <c r="S24" s="53"/>
      <c r="T24" s="54" t="e">
        <f aca="false">Q24*$K24/$I24</f>
        <v>#DIV/0!</v>
      </c>
      <c r="U24" s="42" t="n">
        <v>4.1824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37</v>
      </c>
      <c r="B25" s="1" t="s">
        <v>31</v>
      </c>
      <c r="C25" s="1" t="n">
        <v>1</v>
      </c>
      <c r="D25" s="1" t="n">
        <v>2.7597</v>
      </c>
      <c r="F25" s="1" t="n">
        <v>3.0728</v>
      </c>
      <c r="G25" s="2" t="n">
        <f aca="false">1000-E25</f>
        <v>1000</v>
      </c>
      <c r="H25" s="1" t="n">
        <v>3.5535</v>
      </c>
      <c r="I25" s="1" t="n">
        <f aca="false">F25-D25</f>
        <v>0.3131</v>
      </c>
      <c r="J25" s="1" t="n">
        <f aca="false">H25-F25</f>
        <v>0.4807</v>
      </c>
      <c r="K25" s="1" t="n">
        <f aca="false">J25+I25</f>
        <v>0.7938</v>
      </c>
      <c r="P25" s="1" t="e">
        <f aca="false">M25/$G$2</f>
        <v>#DIV/0!</v>
      </c>
      <c r="Q25" s="1" t="e">
        <f aca="false">N25/$H$2</f>
        <v>#DIV/0!</v>
      </c>
      <c r="S25" s="1" t="e">
        <f aca="false">P25*$K25/$I25</f>
        <v>#DIV/0!</v>
      </c>
      <c r="T25" s="1" t="e">
        <f aca="false">Q25*$K25/$I25</f>
        <v>#DIV/0!</v>
      </c>
      <c r="X25" s="1" t="e">
        <f aca="false">AVERAGE(S25:S26)/100</f>
        <v>#DIV/0!</v>
      </c>
      <c r="Y25" s="1" t="e">
        <f aca="false">AVERAGE(T25:T26)/100</f>
        <v>#DIV/0!</v>
      </c>
      <c r="Z25" s="1" t="e">
        <f aca="false">AVERAGE(U25:V26)/100</f>
        <v>#DIV/0!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31</v>
      </c>
      <c r="C26" s="1" t="n">
        <v>2</v>
      </c>
      <c r="D26" s="1" t="n">
        <v>2.7827</v>
      </c>
      <c r="F26" s="1" t="n">
        <v>3.0985</v>
      </c>
      <c r="G26" s="2" t="n">
        <f aca="false">1000-E26</f>
        <v>1000</v>
      </c>
      <c r="H26" s="1" t="n">
        <v>3.5987</v>
      </c>
      <c r="I26" s="1" t="n">
        <f aca="false">F26-D26</f>
        <v>0.3158</v>
      </c>
      <c r="J26" s="1" t="n">
        <f aca="false">H26-F26</f>
        <v>0.5002</v>
      </c>
      <c r="K26" s="1" t="n">
        <f aca="false">J26+I26</f>
        <v>0.816</v>
      </c>
      <c r="P26" s="1" t="e">
        <f aca="false">M26/$G$2</f>
        <v>#DIV/0!</v>
      </c>
      <c r="Q26" s="1" t="e">
        <f aca="false">N26/$H$2</f>
        <v>#DIV/0!</v>
      </c>
      <c r="S26" s="1" t="e">
        <f aca="false">P26*$K26/$I26</f>
        <v>#DIV/0!</v>
      </c>
      <c r="T26" s="1" t="e">
        <f aca="false">Q26*$K26/$I26</f>
        <v>#DIV/0!</v>
      </c>
    </row>
    <row r="27" customFormat="false" ht="14.25" hidden="false" customHeight="true" outlineLevel="0" collapsed="false">
      <c r="A27" s="45"/>
      <c r="B27" s="1" t="s">
        <v>32</v>
      </c>
      <c r="C27" s="1" t="n">
        <v>3</v>
      </c>
      <c r="D27" s="1" t="n">
        <v>2.7811</v>
      </c>
      <c r="F27" s="1" t="n">
        <v>3.0656</v>
      </c>
      <c r="G27" s="2" t="n">
        <f aca="false">1000-E27</f>
        <v>1000</v>
      </c>
      <c r="H27" s="1" t="n">
        <v>3.55</v>
      </c>
      <c r="I27" s="1" t="n">
        <f aca="false">F27-D27</f>
        <v>0.2845</v>
      </c>
      <c r="J27" s="1" t="n">
        <f aca="false">H27-F27</f>
        <v>0.4844</v>
      </c>
      <c r="K27" s="1" t="n">
        <f aca="false">J27+I27</f>
        <v>0.7689</v>
      </c>
      <c r="P27" s="1" t="e">
        <f aca="false">M27/$G$2</f>
        <v>#DIV/0!</v>
      </c>
      <c r="Q27" s="1" t="e">
        <f aca="false">N27/$H$2</f>
        <v>#DIV/0!</v>
      </c>
      <c r="S27" s="1" t="e">
        <f aca="false">P27*$K27/$I27</f>
        <v>#DIV/0!</v>
      </c>
      <c r="T27" s="1" t="e">
        <f aca="false">Q27*$K27/$I27</f>
        <v>#DIV/0!</v>
      </c>
      <c r="U27" s="1" t="n">
        <v>1.6475</v>
      </c>
      <c r="X27" s="1" t="e">
        <f aca="false">AVERAGE(S27:S28)/100</f>
        <v>#DIV/0!</v>
      </c>
      <c r="Y27" s="1" t="e">
        <f aca="false">AVERAGE(T27:T28)/100</f>
        <v>#DIV/0!</v>
      </c>
      <c r="Z27" s="1" t="n">
        <f aca="false">AVERAGE(U27:V28)/100</f>
        <v>0.0164795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32</v>
      </c>
      <c r="C28" s="1" t="n">
        <v>4</v>
      </c>
      <c r="D28" s="1" t="n">
        <v>2.7433</v>
      </c>
      <c r="F28" s="1" t="n">
        <v>3.0422</v>
      </c>
      <c r="G28" s="2" t="n">
        <f aca="false">1000-E28</f>
        <v>1000</v>
      </c>
      <c r="H28" s="1" t="n">
        <v>3.5249</v>
      </c>
      <c r="I28" s="1" t="n">
        <f aca="false">F28-D28</f>
        <v>0.2989</v>
      </c>
      <c r="J28" s="1" t="n">
        <f aca="false">H28-F28</f>
        <v>0.4827</v>
      </c>
      <c r="K28" s="1" t="n">
        <f aca="false">J28+I28</f>
        <v>0.7816</v>
      </c>
      <c r="P28" s="1" t="e">
        <f aca="false">M28/$G$2</f>
        <v>#DIV/0!</v>
      </c>
      <c r="Q28" s="1" t="e">
        <f aca="false">N28/$H$2</f>
        <v>#DIV/0!</v>
      </c>
      <c r="S28" s="1" t="e">
        <f aca="false">P28*$K28/$I28</f>
        <v>#DIV/0!</v>
      </c>
      <c r="T28" s="1" t="e">
        <f aca="false">Q28*$K28/$I28</f>
        <v>#DIV/0!</v>
      </c>
      <c r="U28" s="1" t="n">
        <v>1.6484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Sebastian Ormazabal</dc:creator>
  <dc:description/>
  <dc:language>en-GB</dc:language>
  <cp:lastModifiedBy/>
  <dcterms:modified xsi:type="dcterms:W3CDTF">2026-07-07T21:58:48Z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