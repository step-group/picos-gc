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loque A" sheetId="1" state="visible" r:id="rId3"/>
    <sheet name="Bloque B" sheetId="2" state="visible" r:id="rId4"/>
    <sheet name="Bloque C" sheetId="3" state="visible" r:id="rId5"/>
    <sheet name="Bloque D" sheetId="4" state="visible" r:id="rId6"/>
    <sheet name="Bloque E" sheetId="5" state="visible" r:id="rId7"/>
    <sheet name="Bloque F" sheetId="6" state="visible" r:id="rId8"/>
    <sheet name="Bloque H" sheetId="7" state="visible" r:id="rId9"/>
    <sheet name="Bloque 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<sst xmlns="http://schemas.openxmlformats.org/spreadsheetml/2006/main" count="509" uniqueCount="72">
  <si>
    <t xml:space="preserve">2PhEt</t>
  </si>
  <si>
    <t xml:space="preserve">Thymol:Carvone</t>
  </si>
  <si>
    <t xml:space="preserve">α  (A = α·C^β)</t>
  </si>
  <si>
    <t xml:space="preserve">β</t>
  </si>
  <si>
    <t xml:space="preserve">Thymol</t>
  </si>
  <si>
    <t xml:space="preserve">Carvone</t>
  </si>
  <si>
    <t xml:space="preserve">Diluido</t>
  </si>
  <si>
    <t xml:space="preserve">Real</t>
  </si>
  <si>
    <t xml:space="preserve">KF - Water %m/m</t>
  </si>
  <si>
    <t xml:space="preserve">Cód. Sist</t>
  </si>
  <si>
    <t xml:space="preserve">Fase</t>
  </si>
  <si>
    <t xml:space="preserve">Cód. vial</t>
  </si>
  <si>
    <t xml:space="preserve">Vial, g</t>
  </si>
  <si>
    <t xml:space="preserve">Muestra, uL</t>
  </si>
  <si>
    <t xml:space="preserve">V + muestra, g</t>
  </si>
  <si>
    <t xml:space="preserve">2-propanol, uL</t>
  </si>
  <si>
    <t xml:space="preserve">V + M + Met, g</t>
  </si>
  <si>
    <t xml:space="preserve">Muestra, g</t>
  </si>
  <si>
    <t xml:space="preserve">2-propanol</t>
  </si>
  <si>
    <t xml:space="preserve">Mue + Met</t>
  </si>
  <si>
    <t xml:space="preserve">Area Soluto</t>
  </si>
  <si>
    <t xml:space="preserve">Area  HBA</t>
  </si>
  <si>
    <t xml:space="preserve">Area HBD</t>
  </si>
  <si>
    <t xml:space="preserve">2PhEt, %m/m</t>
  </si>
  <si>
    <t xml:space="preserve">HBA, %m/m</t>
  </si>
  <si>
    <t xml:space="preserve">HBD, %m/m</t>
  </si>
  <si>
    <t xml:space="preserve">Solute</t>
  </si>
  <si>
    <t xml:space="preserve">HBA</t>
  </si>
  <si>
    <t xml:space="preserve">HBD</t>
  </si>
  <si>
    <t xml:space="preserve">Water</t>
  </si>
  <si>
    <t xml:space="preserve">A</t>
  </si>
  <si>
    <t xml:space="preserve">A1</t>
  </si>
  <si>
    <t xml:space="preserve">Superior</t>
  </si>
  <si>
    <t xml:space="preserve">Inferior</t>
  </si>
  <si>
    <t xml:space="preserve">A2</t>
  </si>
  <si>
    <t xml:space="preserve">A3</t>
  </si>
  <si>
    <t xml:space="preserve">A4</t>
  </si>
  <si>
    <t xml:space="preserve">A5</t>
  </si>
  <si>
    <t xml:space="preserve">Bin</t>
  </si>
  <si>
    <t xml:space="preserve">Thym:Geraniol</t>
  </si>
  <si>
    <t xml:space="preserve">Geraniol</t>
  </si>
  <si>
    <t xml:space="preserve">Area HBA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</si>
  <si>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</si>
  <si>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</si>
  <si>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</si>
  <si>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</si>
  <si>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</si>
  <si>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Thym:Carvacrol</t>
  </si>
  <si>
    <t xml:space="preserve">Carvacrol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</si>
  <si>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</si>
  <si>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</si>
  <si>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</si>
  <si>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</si>
  <si>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</si>
  <si>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Thym:Eug</t>
  </si>
  <si>
    <t xml:space="preserve">Eugenol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</si>
  <si>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</si>
  <si>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</si>
  <si>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</si>
  <si>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</si>
  <si>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</si>
  <si>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Thym:Camph</t>
  </si>
  <si>
    <t xml:space="preserve">Camphor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</si>
  <si>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</si>
  <si>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</si>
  <si>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</si>
  <si>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</si>
  <si>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</si>
  <si>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Camph:Carvone</t>
  </si>
  <si>
    <t xml:space="preserve">Camph:Carv</t>
  </si>
  <si>
    <t xml:space="preserve">Camph</t>
  </si>
  <si>
    <t xml:space="preserve">Camph:Eugenol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</si>
</sst>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0"/>
    <numFmt numFmtId="166" formatCode="0.0000"/>
    <numFmt numFmtId="167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  <fill>
      <patternFill patternType="solid">
        <fgColor rgb="FFFFFF00"/>
        <bgColor rgb="FFFFFF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28" activeCellId="0" sqref="K2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  <col collapsed="false" customWidth="true" hidden="false" outlineLevel="0" max="28" min="28" style="1" width="5.33"/>
  </cols>
  <sheetData>
    <row r="1" customFormat="false" ht="26.25" hidden="false" customHeight="true" outlineLevel="0" collapsed="false">
      <c r="F1" s="3" t="s">
        <v>0</v>
      </c>
      <c r="G1" s="3" t="s">
        <v>1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156.413729</v>
      </c>
      <c r="H2" s="4" t="n">
        <v>141.744175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1.03759299</v>
      </c>
      <c r="H3" s="1" t="n">
        <v>1.06384666</v>
      </c>
      <c r="M3" s="1" t="s">
        <v>4</v>
      </c>
      <c r="N3" s="1" t="s">
        <v>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21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  <c r="AA4" s="2"/>
      <c r="AB4" s="2"/>
      <c r="AC4" s="8" t="s">
        <v>30</v>
      </c>
      <c r="AD4" s="8" t="s">
        <v>26</v>
      </c>
      <c r="AE4" s="8" t="s">
        <v>4</v>
      </c>
      <c r="AF4" s="8" t="s">
        <v>5</v>
      </c>
      <c r="AG4" s="8" t="s">
        <v>29</v>
      </c>
    </row>
    <row r="5" customFormat="false" ht="14.25" hidden="false" customHeight="true" outlineLevel="0" collapsed="false">
      <c r="A5" s="18" t="s">
        <v>31</v>
      </c>
      <c r="B5" s="19" t="s">
        <v>32</v>
      </c>
      <c r="C5" s="20" t="n">
        <v>1</v>
      </c>
      <c r="D5" s="21" t="n">
        <v>2.7385</v>
      </c>
      <c r="E5" s="19" t="n">
        <v>300</v>
      </c>
      <c r="F5" s="20" t="n">
        <v>2.9211</v>
      </c>
      <c r="G5" s="19" t="n">
        <f aca="false">1000-E5</f>
        <v>700</v>
      </c>
      <c r="H5" s="20" t="n">
        <v>3.4876</v>
      </c>
      <c r="I5" s="22" t="n">
        <f aca="false">F5-D5</f>
        <v>0.1826</v>
      </c>
      <c r="J5" s="22" t="n">
        <f aca="false">H5-F5</f>
        <v>0.5665</v>
      </c>
      <c r="K5" s="22" t="n">
        <f aca="false">J5+I5</f>
        <v>0.7491</v>
      </c>
      <c r="L5" s="23" t="n">
        <v>143.7888</v>
      </c>
      <c r="M5" s="23" t="n">
        <v>1825.2707</v>
      </c>
      <c r="N5" s="23" t="n">
        <v>1726.4384</v>
      </c>
      <c r="O5" s="24" t="n">
        <f aca="false">(L5/$F$2)^(1/$F$3)</f>
        <v>0.916561356599235</v>
      </c>
      <c r="P5" s="24" t="n">
        <f aca="false">(M5/$G$2)^(1/$G$3)</f>
        <v>10.6755947451344</v>
      </c>
      <c r="Q5" s="24" t="n">
        <f aca="false">(N5/$H$2)^(1/$H$3)</f>
        <v>10.4831289808958</v>
      </c>
      <c r="R5" s="25" t="n">
        <f aca="false">O5*$K5/$I5</f>
        <v>3.76011014363903</v>
      </c>
      <c r="S5" s="25" t="n">
        <f aca="false">P5*$K5/$I5</f>
        <v>43.7956627797382</v>
      </c>
      <c r="T5" s="26" t="n">
        <f aca="false">Q5*$K5/$I5</f>
        <v>43.0060893734339</v>
      </c>
      <c r="U5" s="27" t="n">
        <v>1.9303</v>
      </c>
      <c r="V5" s="27"/>
      <c r="W5" s="28" t="n">
        <f aca="false">AVERAGE(R5:R6)/100</f>
        <v>0.0381237964556902</v>
      </c>
      <c r="X5" s="27" t="n">
        <f aca="false">AVERAGE(S5:S6)/100</f>
        <v>0.443712304556594</v>
      </c>
      <c r="Y5" s="27" t="n">
        <f aca="false">AVERAGE(T5:T6)/100</f>
        <v>0.435501224799513</v>
      </c>
      <c r="Z5" s="29" t="n">
        <f aca="false">AVERAGE(U5:V6)/100</f>
        <v>0.0194915</v>
      </c>
      <c r="AA5" s="2" t="n">
        <f aca="false">SUM(W5:Z5)</f>
        <v>0.936828825811797</v>
      </c>
      <c r="AB5" s="2"/>
      <c r="AC5" s="30" t="n">
        <v>1</v>
      </c>
      <c r="AD5" s="31" t="n">
        <v>0.0407491393027032</v>
      </c>
      <c r="AE5" s="31" t="n">
        <v>0.474267942588426</v>
      </c>
      <c r="AF5" s="31" t="n">
        <v>0.465491418108871</v>
      </c>
      <c r="AG5" s="31" t="n">
        <v>0.0194915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2.7637</v>
      </c>
      <c r="E6" s="20" t="n">
        <v>300</v>
      </c>
      <c r="F6" s="20" t="n">
        <v>2.9548</v>
      </c>
      <c r="G6" s="19" t="n">
        <f aca="false">1000-E6</f>
        <v>700</v>
      </c>
      <c r="H6" s="20" t="n">
        <v>3.5091</v>
      </c>
      <c r="I6" s="22" t="n">
        <f aca="false">F6-D6</f>
        <v>0.1911</v>
      </c>
      <c r="J6" s="22" t="n">
        <f aca="false">H6-F6</f>
        <v>0.5543</v>
      </c>
      <c r="K6" s="22" t="n">
        <f aca="false">J6+I6</f>
        <v>0.7454</v>
      </c>
      <c r="L6" s="23" t="n">
        <v>156.1182</v>
      </c>
      <c r="M6" s="23" t="n">
        <v>1975.8434</v>
      </c>
      <c r="N6" s="23" t="n">
        <v>1870.7002</v>
      </c>
      <c r="O6" s="24" t="n">
        <f aca="false">(L6/$F$2)^(1/$F$3)</f>
        <v>0.990789444710306</v>
      </c>
      <c r="P6" s="24" t="n">
        <f aca="false">(M6/$G$2)^(1/$G$3)</f>
        <v>11.5231192956065</v>
      </c>
      <c r="Q6" s="24" t="n">
        <f aca="false">(N6/$H$2)^(1/$H$3)</f>
        <v>11.3045252650579</v>
      </c>
      <c r="R6" s="25" t="n">
        <f aca="false">O6*$K6/$I6</f>
        <v>3.86464914749902</v>
      </c>
      <c r="S6" s="25" t="n">
        <f aca="false">P6*$K6/$I6</f>
        <v>44.9467981315807</v>
      </c>
      <c r="T6" s="26" t="n">
        <f aca="false">Q6*$K6/$I6</f>
        <v>44.0941555864687</v>
      </c>
      <c r="U6" s="27" t="n">
        <v>1.968</v>
      </c>
      <c r="V6" s="27"/>
      <c r="W6" s="32"/>
      <c r="X6" s="2"/>
      <c r="Y6" s="2"/>
      <c r="Z6" s="33"/>
      <c r="AA6" s="2"/>
      <c r="AB6" s="2"/>
      <c r="AC6" s="30"/>
      <c r="AD6" s="31" t="n">
        <f aca="false">W7/$AA7</f>
        <v>0.00126359967502694</v>
      </c>
      <c r="AE6" s="31" t="n">
        <f aca="false">X7/$AA7</f>
        <v>0.00062736199948897</v>
      </c>
      <c r="AF6" s="31" t="n">
        <f aca="false">Y7/$AA7</f>
        <v>0.000747865045461097</v>
      </c>
      <c r="AG6" s="31" t="n">
        <f aca="false">Z7/$AA7</f>
        <v>0.997361173280023</v>
      </c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2.7229</v>
      </c>
      <c r="E7" s="34" t="n">
        <v>100</v>
      </c>
      <c r="F7" s="34" t="n">
        <v>2.924</v>
      </c>
      <c r="G7" s="30" t="n">
        <f aca="false">1000-E7</f>
        <v>900</v>
      </c>
      <c r="H7" s="34" t="n">
        <v>3.4906</v>
      </c>
      <c r="I7" s="35" t="n">
        <f aca="false">F7-D7</f>
        <v>0.2011</v>
      </c>
      <c r="J7" s="35" t="n">
        <f aca="false">H7-F7</f>
        <v>0.5666</v>
      </c>
      <c r="K7" s="35" t="n">
        <f aca="false">J7+I7</f>
        <v>0.7677</v>
      </c>
      <c r="L7" s="36" t="n">
        <v>4.1589</v>
      </c>
      <c r="M7" s="1" t="n">
        <v>1.0102</v>
      </c>
      <c r="N7" s="1" t="n">
        <v>1.0892</v>
      </c>
      <c r="O7" s="37" t="n">
        <f aca="false">(L7/$F$2)^(1/$F$3)</f>
        <v>0.0320343712741526</v>
      </c>
      <c r="P7" s="37" t="n">
        <f aca="false">(M7/$G$2)^(1/$G$3)</f>
        <v>0.00775306626617127</v>
      </c>
      <c r="Q7" s="37" t="n">
        <f aca="false">(N7/$H$2)^(1/$H$3)</f>
        <v>0.0102919528987929</v>
      </c>
      <c r="R7" s="38" t="n">
        <f aca="false">O7*$K7/$I7</f>
        <v>0.122291331810875</v>
      </c>
      <c r="S7" s="38" t="n">
        <f aca="false">P7*$K7/$I7</f>
        <v>0.029597359386075</v>
      </c>
      <c r="T7" s="39" t="n">
        <f aca="false">Q7*$K7/$I7</f>
        <v>0.0392895685748549</v>
      </c>
      <c r="U7" s="2" t="n">
        <v>97.9104</v>
      </c>
      <c r="V7" s="2"/>
      <c r="W7" s="32" t="n">
        <f aca="false">AVERAGE(R7:R8)/100</f>
        <v>0.00124101049673721</v>
      </c>
      <c r="X7" s="2" t="n">
        <f aca="false">AVERAGE(S7:S8)/100</f>
        <v>0.000616146744896289</v>
      </c>
      <c r="Y7" s="2" t="n">
        <f aca="false">AVERAGE(T7:T8)/100</f>
        <v>0.000734495576330602</v>
      </c>
      <c r="Z7" s="33" t="n">
        <f aca="false">AVERAGE(U7:V8)/100</f>
        <v>0.9795315</v>
      </c>
      <c r="AA7" s="2" t="n">
        <f aca="false">SUM(W7:Z7)</f>
        <v>0.982123152817964</v>
      </c>
      <c r="AB7" s="2"/>
      <c r="AC7" s="30" t="n">
        <v>2</v>
      </c>
      <c r="AD7" s="31" t="n">
        <v>0.00124101049673721</v>
      </c>
      <c r="AE7" s="31" t="n">
        <v>0.000616146744896289</v>
      </c>
      <c r="AF7" s="31" t="n">
        <v>0.000734495576330602</v>
      </c>
      <c r="AG7" s="31" t="n">
        <v>0.997408347182036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2.7988</v>
      </c>
      <c r="E8" s="34" t="n">
        <v>100</v>
      </c>
      <c r="F8" s="34" t="n">
        <v>3.0014</v>
      </c>
      <c r="G8" s="30" t="n">
        <f aca="false">1000-E8</f>
        <v>900</v>
      </c>
      <c r="H8" s="34" t="n">
        <v>3.5781</v>
      </c>
      <c r="I8" s="35" t="n">
        <f aca="false">F8-D8</f>
        <v>0.2026</v>
      </c>
      <c r="J8" s="35" t="n">
        <f aca="false">H8-F8</f>
        <v>0.5767</v>
      </c>
      <c r="K8" s="35" t="n">
        <f aca="false">J8+I8</f>
        <v>0.7793</v>
      </c>
      <c r="L8" s="36" t="n">
        <v>4.2549</v>
      </c>
      <c r="M8" s="36" t="n">
        <v>3.3111</v>
      </c>
      <c r="N8" s="1" t="n">
        <v>3.1559</v>
      </c>
      <c r="O8" s="37" t="n">
        <f aca="false">(L8/$F$2)^(1/$F$3)</f>
        <v>0.0327338913164489</v>
      </c>
      <c r="P8" s="37" t="n">
        <f aca="false">(M8/$G$2)^(1/$G$3)</f>
        <v>0.0243421546151403</v>
      </c>
      <c r="Q8" s="37" t="n">
        <f aca="false">(N8/$H$2)^(1/$H$3)</f>
        <v>0.0279759966118958</v>
      </c>
      <c r="R8" s="38" t="n">
        <f aca="false">O8*$K8/$I8</f>
        <v>0.125910767536568</v>
      </c>
      <c r="S8" s="38" t="n">
        <f aca="false">P8*$K8/$I8</f>
        <v>0.0936319895931828</v>
      </c>
      <c r="T8" s="39" t="n">
        <f aca="false">Q8*$K8/$I8</f>
        <v>0.107609546691266</v>
      </c>
      <c r="U8" s="2" t="n">
        <v>97.9959</v>
      </c>
      <c r="V8" s="2"/>
      <c r="W8" s="32"/>
      <c r="X8" s="2"/>
      <c r="Y8" s="2"/>
      <c r="Z8" s="33"/>
      <c r="AA8" s="2"/>
      <c r="AB8" s="2"/>
      <c r="AC8" s="30"/>
      <c r="AD8" s="31" t="n">
        <f aca="false">W11/$AA11</f>
        <v>0.858101779084878</v>
      </c>
      <c r="AE8" s="31" t="n">
        <f aca="false">X11/$AA11</f>
        <v>0.0236659242403977</v>
      </c>
      <c r="AF8" s="31" t="n">
        <f aca="false">Y11/$AA11</f>
        <v>0.024650934085898</v>
      </c>
      <c r="AG8" s="31" t="n">
        <f aca="false">Z11/$AA11</f>
        <v>0.0935813625888259</v>
      </c>
    </row>
    <row r="9" customFormat="false" ht="14.25" hidden="false" customHeight="true" outlineLevel="0" collapsed="false">
      <c r="A9" s="18" t="s">
        <v>34</v>
      </c>
      <c r="B9" s="19" t="s">
        <v>32</v>
      </c>
      <c r="C9" s="20" t="n">
        <v>5</v>
      </c>
      <c r="D9" s="19" t="n">
        <v>2.8045</v>
      </c>
      <c r="E9" s="19" t="n">
        <v>300</v>
      </c>
      <c r="F9" s="20" t="n">
        <v>3.0039</v>
      </c>
      <c r="G9" s="19" t="n">
        <f aca="false">1000-E9</f>
        <v>700</v>
      </c>
      <c r="H9" s="20" t="n">
        <v>3.5604</v>
      </c>
      <c r="I9" s="22" t="n">
        <f aca="false">F9-D9</f>
        <v>0.1994</v>
      </c>
      <c r="J9" s="22" t="n">
        <f aca="false">H9-F9</f>
        <v>0.5565</v>
      </c>
      <c r="K9" s="22" t="n">
        <f aca="false">J9+I9</f>
        <v>0.7559</v>
      </c>
      <c r="L9" s="23" t="n">
        <v>89.7368</v>
      </c>
      <c r="M9" s="23" t="n">
        <v>0.0573</v>
      </c>
      <c r="N9" s="23" t="n">
        <v>0.0966</v>
      </c>
      <c r="O9" s="24" t="n">
        <f aca="false">(L9/$F$2)^(1/$F$3)</f>
        <v>0.58660428753313</v>
      </c>
      <c r="P9" s="24" t="n">
        <f aca="false">(M9/$G$2)^(1/$G$3)</f>
        <v>0.000487948162450284</v>
      </c>
      <c r="Q9" s="24" t="n">
        <f aca="false">(N9/$H$2)^(1/$H$3)</f>
        <v>0.00105562775377233</v>
      </c>
      <c r="R9" s="25" t="n">
        <f aca="false">O9*$K9/$I9</f>
        <v>2.22374213112484</v>
      </c>
      <c r="S9" s="25" t="n">
        <f aca="false">P9*$K9/$I9</f>
        <v>0.00184974932796475</v>
      </c>
      <c r="T9" s="26" t="n">
        <f aca="false">Q9*$K9/$I9</f>
        <v>0.00400175034642179</v>
      </c>
      <c r="U9" s="27" t="n">
        <v>98.9515</v>
      </c>
      <c r="V9" s="27"/>
      <c r="W9" s="28" t="n">
        <f aca="false">AVERAGE(R9:R10)/100</f>
        <v>0.0220657097909616</v>
      </c>
      <c r="X9" s="27" t="n">
        <f aca="false">AVERAGE(S9:S10)/100</f>
        <v>2.26011858724942E-005</v>
      </c>
      <c r="Y9" s="27" t="n">
        <f aca="false">AVERAGE(T9:T10)/100</f>
        <v>4.5253218079143E-005</v>
      </c>
      <c r="Z9" s="29" t="n">
        <f aca="false">AVERAGE(U9:V10)/100</f>
        <v>0.9848105</v>
      </c>
      <c r="AA9" s="2" t="n">
        <f aca="false">SUM(W9:Z9)</f>
        <v>1.00694406419491</v>
      </c>
      <c r="AB9" s="2"/>
      <c r="AC9" s="30" t="n">
        <v>3</v>
      </c>
      <c r="AD9" s="31" t="n">
        <v>0.0220657097909616</v>
      </c>
      <c r="AE9" s="31" t="n">
        <v>2.26011858724942E-005</v>
      </c>
      <c r="AF9" s="31" t="n">
        <v>4.5253218079143E-005</v>
      </c>
      <c r="AG9" s="31" t="n">
        <v>0.977866435805087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2.766</v>
      </c>
      <c r="E10" s="20" t="n">
        <v>300</v>
      </c>
      <c r="F10" s="20" t="n">
        <v>2.972</v>
      </c>
      <c r="G10" s="19" t="n">
        <f aca="false">1000-E10</f>
        <v>700</v>
      </c>
      <c r="H10" s="20" t="n">
        <v>3.5387</v>
      </c>
      <c r="I10" s="22" t="n">
        <f aca="false">F10-D10</f>
        <v>0.206</v>
      </c>
      <c r="J10" s="22" t="n">
        <f aca="false">H10-F10</f>
        <v>0.5667</v>
      </c>
      <c r="K10" s="22" t="n">
        <f aca="false">J10+I10</f>
        <v>0.7727</v>
      </c>
      <c r="L10" s="23" t="n">
        <v>89.2657</v>
      </c>
      <c r="M10" s="23" t="n">
        <v>0.0848</v>
      </c>
      <c r="N10" s="23" t="n">
        <v>0.1251</v>
      </c>
      <c r="O10" s="24" t="n">
        <f aca="false">(L10/$F$2)^(1/$F$3)</f>
        <v>0.583688837033651</v>
      </c>
      <c r="P10" s="24" t="n">
        <f aca="false">(M10/$G$2)^(1/$G$3)</f>
        <v>0.000711945769879673</v>
      </c>
      <c r="Q10" s="24" t="n">
        <f aca="false">(N10/$H$2)^(1/$H$3)</f>
        <v>0.00134602305357552</v>
      </c>
      <c r="R10" s="25" t="n">
        <f aca="false">O10*$K10/$I10</f>
        <v>2.18939982706748</v>
      </c>
      <c r="S10" s="25" t="n">
        <f aca="false">P10*$K10/$I10</f>
        <v>0.00267048784653409</v>
      </c>
      <c r="T10" s="26" t="n">
        <f aca="false">Q10*$K10/$I10</f>
        <v>0.00504889326940681</v>
      </c>
      <c r="U10" s="27" t="n">
        <v>98.0106</v>
      </c>
      <c r="V10" s="27"/>
      <c r="W10" s="32"/>
      <c r="X10" s="2"/>
      <c r="Y10" s="2"/>
      <c r="Z10" s="33"/>
      <c r="AA10" s="2"/>
      <c r="AB10" s="2"/>
      <c r="AC10" s="30"/>
      <c r="AD10" s="31" t="n">
        <f aca="false">W15/$AA15</f>
        <v>0.0132140972740956</v>
      </c>
      <c r="AE10" s="31" t="n">
        <f aca="false">X15/$AA15</f>
        <v>0.000137542316783192</v>
      </c>
      <c r="AF10" s="31" t="n">
        <f aca="false">Y15/$AA15</f>
        <v>0.000271833088461651</v>
      </c>
      <c r="AG10" s="31" t="n">
        <f aca="false">Z15/$AA15</f>
        <v>0.98637652732066</v>
      </c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2.794</v>
      </c>
      <c r="E11" s="34" t="n">
        <v>100</v>
      </c>
      <c r="F11" s="34" t="n">
        <v>2.9914</v>
      </c>
      <c r="G11" s="30" t="n">
        <f aca="false">1000-E11</f>
        <v>900</v>
      </c>
      <c r="H11" s="34" t="n">
        <v>3.5716</v>
      </c>
      <c r="I11" s="35" t="n">
        <f aca="false">F11-D11</f>
        <v>0.1974</v>
      </c>
      <c r="J11" s="35" t="n">
        <f aca="false">H11-F11</f>
        <v>0.5802</v>
      </c>
      <c r="K11" s="35" t="n">
        <f aca="false">J11+I11</f>
        <v>0.7776</v>
      </c>
      <c r="L11" s="40" t="n">
        <v>3665.0895</v>
      </c>
      <c r="M11" s="1" t="n">
        <v>82.897</v>
      </c>
      <c r="N11" s="36" t="n">
        <v>77.3413</v>
      </c>
      <c r="O11" s="37" t="n">
        <f aca="false">(L11/$F$2)^(1/$F$3)</f>
        <v>19.6513351224358</v>
      </c>
      <c r="P11" s="37" t="n">
        <f aca="false">(M11/$G$2)^(1/$G$3)</f>
        <v>0.542318133173569</v>
      </c>
      <c r="Q11" s="37" t="n">
        <f aca="false">(N11/$H$2)^(1/$H$3)</f>
        <v>0.565842800705721</v>
      </c>
      <c r="R11" s="38" t="n">
        <f aca="false">O11*$K11/$I11</f>
        <v>77.410730451905</v>
      </c>
      <c r="S11" s="38" t="n">
        <f aca="false">P11*$K11/$I11</f>
        <v>2.13630486502415</v>
      </c>
      <c r="T11" s="39" t="n">
        <f aca="false">Q11*$K11/$I11</f>
        <v>2.22897346417816</v>
      </c>
      <c r="U11" s="2" t="n">
        <v>8.5693</v>
      </c>
      <c r="V11" s="2" t="n">
        <v>8.5126</v>
      </c>
      <c r="W11" s="32" t="n">
        <f aca="false">AVERAGE(R11:R12)/100</f>
        <v>0.782538059599706</v>
      </c>
      <c r="X11" s="2" t="n">
        <f aca="false">AVERAGE(S11:S12)/100</f>
        <v>0.0215819228966807</v>
      </c>
      <c r="Y11" s="2" t="n">
        <f aca="false">AVERAGE(T11:T12)/100</f>
        <v>0.0224801936053215</v>
      </c>
      <c r="Z11" s="33" t="n">
        <f aca="false">AVERAGE(U11:V12)/100</f>
        <v>0.0853406666666667</v>
      </c>
      <c r="AA11" s="2" t="n">
        <f aca="false">SUM(W11:Z11)</f>
        <v>0.911940842768374</v>
      </c>
      <c r="AB11" s="2"/>
      <c r="AC11" s="30" t="n">
        <v>4</v>
      </c>
      <c r="AD11" s="31" t="n">
        <v>0.865903202775701</v>
      </c>
      <c r="AE11" s="31" t="n">
        <v>0.0238810827525163</v>
      </c>
      <c r="AF11" s="31" t="n">
        <v>0.0248750478051164</v>
      </c>
      <c r="AG11" s="31" t="n">
        <v>0.0853406666666667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2.738</v>
      </c>
      <c r="E12" s="34" t="n">
        <v>100</v>
      </c>
      <c r="F12" s="34" t="n">
        <v>2.949</v>
      </c>
      <c r="G12" s="30" t="n">
        <f aca="false">1000-E12</f>
        <v>900</v>
      </c>
      <c r="H12" s="34" t="n">
        <v>3.5288</v>
      </c>
      <c r="I12" s="35" t="n">
        <f aca="false">F12-D12</f>
        <v>0.211</v>
      </c>
      <c r="J12" s="35" t="n">
        <f aca="false">H12-F12</f>
        <v>0.5798</v>
      </c>
      <c r="K12" s="35" t="n">
        <f aca="false">J12+I12</f>
        <v>0.7908</v>
      </c>
      <c r="L12" s="36" t="n">
        <v>3951.9936</v>
      </c>
      <c r="M12" s="1" t="n">
        <v>89.1491</v>
      </c>
      <c r="N12" s="36" t="n">
        <v>83.0321</v>
      </c>
      <c r="O12" s="37" t="n">
        <f aca="false">(L12/$F$2)^(1/$F$3)</f>
        <v>21.1045042864891</v>
      </c>
      <c r="P12" s="37" t="n">
        <f aca="false">(M12/$G$2)^(1/$G$3)</f>
        <v>0.581685406828315</v>
      </c>
      <c r="Q12" s="37" t="n">
        <f aca="false">(N12/$H$2)^(1/$H$3)</f>
        <v>0.604894751141849</v>
      </c>
      <c r="R12" s="38" t="n">
        <f aca="false">O12*$K12/$I12</f>
        <v>79.0968814680361</v>
      </c>
      <c r="S12" s="38" t="n">
        <f aca="false">P12*$K12/$I12</f>
        <v>2.180079714312</v>
      </c>
      <c r="T12" s="39" t="n">
        <f aca="false">Q12*$K12/$I12</f>
        <v>2.26706525688613</v>
      </c>
      <c r="U12" s="2"/>
      <c r="V12" s="2" t="n">
        <v>8.5203</v>
      </c>
      <c r="W12" s="32"/>
      <c r="X12" s="2"/>
      <c r="Y12" s="2"/>
      <c r="Z12" s="33"/>
      <c r="AA12" s="2"/>
      <c r="AB12" s="2"/>
      <c r="AC12" s="30"/>
      <c r="AD12" s="31" t="n">
        <f aca="false">W19/$AA19</f>
        <v>0.0079429689638234</v>
      </c>
      <c r="AE12" s="31" t="n">
        <f aca="false">X19/$AA19</f>
        <v>0.000714196572706856</v>
      </c>
      <c r="AF12" s="31" t="n">
        <f aca="false">Y19/$AA19</f>
        <v>0.000889639918618229</v>
      </c>
      <c r="AG12" s="31" t="n">
        <f aca="false">Z19/$AA19</f>
        <v>0.990453194544852</v>
      </c>
    </row>
    <row r="13" customFormat="false" ht="14.25" hidden="false" customHeight="true" outlineLevel="0" collapsed="false">
      <c r="A13" s="18" t="s">
        <v>35</v>
      </c>
      <c r="B13" s="19" t="s">
        <v>32</v>
      </c>
      <c r="C13" s="20" t="n">
        <v>9</v>
      </c>
      <c r="D13" s="19" t="n">
        <v>2.7535</v>
      </c>
      <c r="E13" s="19" t="n">
        <v>300</v>
      </c>
      <c r="F13" s="20" t="n">
        <v>2.946</v>
      </c>
      <c r="G13" s="19" t="n">
        <f aca="false">1000-E13</f>
        <v>700</v>
      </c>
      <c r="H13" s="20" t="n">
        <v>3.5107</v>
      </c>
      <c r="I13" s="22" t="n">
        <f aca="false">F13-D13</f>
        <v>0.1925</v>
      </c>
      <c r="J13" s="22" t="n">
        <f aca="false">H13-F13</f>
        <v>0.5647</v>
      </c>
      <c r="K13" s="22" t="n">
        <f aca="false">J13+I13</f>
        <v>0.7572</v>
      </c>
      <c r="L13" s="23" t="n">
        <v>2051.7156</v>
      </c>
      <c r="M13" s="23" t="n">
        <v>956.2822</v>
      </c>
      <c r="N13" s="23" t="n">
        <v>906.9137</v>
      </c>
      <c r="O13" s="24" t="n">
        <f aca="false">(L13/$F$2)^(1/$F$3)</f>
        <v>11.3471022209968</v>
      </c>
      <c r="P13" s="24" t="n">
        <f aca="false">(M13/$G$2)^(1/$G$3)</f>
        <v>5.72561830133955</v>
      </c>
      <c r="Q13" s="24" t="n">
        <f aca="false">(N13/$H$2)^(1/$H$3)</f>
        <v>5.72380830219254</v>
      </c>
      <c r="R13" s="25" t="n">
        <f aca="false">O13*$K13/$I13</f>
        <v>44.6339002687728</v>
      </c>
      <c r="S13" s="25" t="n">
        <f aca="false">P13*$K13/$I13</f>
        <v>22.5217567676587</v>
      </c>
      <c r="T13" s="26" t="n">
        <f aca="false">Q13*$K13/$I13</f>
        <v>22.5146371242607</v>
      </c>
      <c r="U13" s="27" t="n">
        <v>4.0063</v>
      </c>
      <c r="V13" s="27"/>
      <c r="W13" s="28" t="n">
        <f aca="false">AVERAGE(R13:R14)/100</f>
        <v>0.4468745628246</v>
      </c>
      <c r="X13" s="27" t="n">
        <f aca="false">AVERAGE(S13:S14)/100</f>
        <v>0.225447000422808</v>
      </c>
      <c r="Y13" s="27" t="n">
        <f aca="false">AVERAGE(T13:T14)/100</f>
        <v>0.224996142778877</v>
      </c>
      <c r="Z13" s="29" t="n">
        <f aca="false">AVERAGE(U13:V14)/100</f>
        <v>0.0402765</v>
      </c>
      <c r="AA13" s="2" t="n">
        <f aca="false">SUM(W13:Z13)</f>
        <v>0.937594206026285</v>
      </c>
      <c r="AB13" s="2"/>
      <c r="AC13" s="30" t="n">
        <v>5</v>
      </c>
      <c r="AD13" s="31" t="n">
        <v>0.477953367703224</v>
      </c>
      <c r="AE13" s="31" t="n">
        <v>0.241126172878551</v>
      </c>
      <c r="AF13" s="31" t="n">
        <v>0.240643959418225</v>
      </c>
      <c r="AG13" s="31" t="n">
        <v>0.0402765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2.775</v>
      </c>
      <c r="E14" s="20" t="n">
        <v>300</v>
      </c>
      <c r="F14" s="20" t="n">
        <v>2.976</v>
      </c>
      <c r="G14" s="19" t="n">
        <f aca="false">1000-E14</f>
        <v>700</v>
      </c>
      <c r="H14" s="20" t="n">
        <v>3.4966</v>
      </c>
      <c r="I14" s="22" t="n">
        <f aca="false">F14-D14</f>
        <v>0.201</v>
      </c>
      <c r="J14" s="22" t="n">
        <f aca="false">H14-F14</f>
        <v>0.5206</v>
      </c>
      <c r="K14" s="22" t="n">
        <f aca="false">J14+I14</f>
        <v>0.7216</v>
      </c>
      <c r="L14" s="23" t="n">
        <v>2265.3516</v>
      </c>
      <c r="M14" s="23" t="n">
        <v>1053.5965</v>
      </c>
      <c r="N14" s="23" t="n">
        <v>998.0718</v>
      </c>
      <c r="O14" s="24" t="n">
        <f aca="false">(L14/$F$2)^(1/$F$3)</f>
        <v>12.4625048108725</v>
      </c>
      <c r="P14" s="24" t="n">
        <f aca="false">(M14/$G$2)^(1/$G$3)</f>
        <v>6.28616450484686</v>
      </c>
      <c r="Q14" s="24" t="n">
        <f aca="false">(N14/$H$2)^(1/$H$3)</f>
        <v>6.26303059553002</v>
      </c>
      <c r="R14" s="25" t="n">
        <f aca="false">O14*$K14/$I14</f>
        <v>44.7410122961471</v>
      </c>
      <c r="S14" s="25" t="n">
        <f aca="false">P14*$K14/$I14</f>
        <v>22.5676433169029</v>
      </c>
      <c r="T14" s="26" t="n">
        <f aca="false">Q14*$K14/$I14</f>
        <v>22.4845914315147</v>
      </c>
      <c r="U14" s="27" t="n">
        <v>4.049</v>
      </c>
      <c r="V14" s="27"/>
      <c r="W14" s="32"/>
      <c r="X14" s="2"/>
      <c r="Y14" s="2"/>
      <c r="Z14" s="33"/>
      <c r="AA14" s="2"/>
      <c r="AB14" s="2"/>
      <c r="AC14" s="30"/>
      <c r="AD14" s="31" t="n">
        <f aca="false">W23/$AA23</f>
        <v>0.702275392920899</v>
      </c>
      <c r="AE14" s="31" t="n">
        <f aca="false">X23/$AA23</f>
        <v>0.110505733476083</v>
      </c>
      <c r="AF14" s="31" t="n">
        <f aca="false">Y23/$AA23</f>
        <v>0.112169422112053</v>
      </c>
      <c r="AG14" s="31" t="n">
        <f aca="false">Z23/$AA23</f>
        <v>0.075049451490966</v>
      </c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2.8117</v>
      </c>
      <c r="E15" s="34" t="n">
        <v>100</v>
      </c>
      <c r="F15" s="34" t="n">
        <v>3.0243</v>
      </c>
      <c r="G15" s="30" t="n">
        <f aca="false">1000-E15</f>
        <v>900</v>
      </c>
      <c r="H15" s="34" t="n">
        <v>3.5274</v>
      </c>
      <c r="I15" s="35" t="n">
        <f aca="false">F15-D15</f>
        <v>0.2126</v>
      </c>
      <c r="J15" s="35" t="n">
        <f aca="false">H15-F15</f>
        <v>0.5031</v>
      </c>
      <c r="K15" s="35" t="n">
        <f aca="false">J15+I15</f>
        <v>0.7157</v>
      </c>
      <c r="L15" s="36" t="n">
        <v>55.0291</v>
      </c>
      <c r="M15" s="36" t="n">
        <v>0.4878</v>
      </c>
      <c r="N15" s="41" t="n">
        <v>0.7858</v>
      </c>
      <c r="O15" s="37" t="n">
        <f aca="false">(L15/$F$2)^(1/$F$3)</f>
        <v>0.369243194359218</v>
      </c>
      <c r="P15" s="37" t="n">
        <f aca="false">(M15/$G$2)^(1/$G$3)</f>
        <v>0.00384381882825816</v>
      </c>
      <c r="Q15" s="37" t="n">
        <f aca="false">(N15/$H$2)^(1/$H$3)</f>
        <v>0.00757202487940087</v>
      </c>
      <c r="R15" s="38" t="n">
        <f aca="false">O15*$K15/$I15</f>
        <v>1.2430261251312</v>
      </c>
      <c r="S15" s="38" t="n">
        <f aca="false">P15*$K15/$I15</f>
        <v>0.0129398924524194</v>
      </c>
      <c r="T15" s="39" t="n">
        <f aca="false">Q15*$K15/$I15</f>
        <v>0.0254905842247752</v>
      </c>
      <c r="U15" s="2" t="n">
        <v>97.5173</v>
      </c>
      <c r="V15" s="2"/>
      <c r="W15" s="32" t="n">
        <f aca="false">AVERAGE(R15:R16)/100</f>
        <v>0.0130996162152444</v>
      </c>
      <c r="X15" s="2" t="n">
        <f aca="false">AVERAGE(S15:S16)/100</f>
        <v>0.000136350711353356</v>
      </c>
      <c r="Y15" s="2" t="n">
        <f aca="false">AVERAGE(T15:T16)/100</f>
        <v>0.000269478047541914</v>
      </c>
      <c r="Z15" s="33" t="n">
        <f aca="false">AVERAGE(U15:V16)/100</f>
        <v>0.977831</v>
      </c>
      <c r="AA15" s="2" t="n">
        <f aca="false">SUM(W15:Z15)</f>
        <v>0.99133644497414</v>
      </c>
      <c r="AB15" s="2"/>
      <c r="AD15" s="0" t="n">
        <v>0.0130996162152444</v>
      </c>
      <c r="AE15" s="0" t="n">
        <v>0.000136350711353356</v>
      </c>
      <c r="AF15" s="0" t="n">
        <v>0.000269478047541914</v>
      </c>
      <c r="AG15" s="0" t="n">
        <v>0.98649455502586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2.8198</v>
      </c>
      <c r="E16" s="34" t="n">
        <v>100</v>
      </c>
      <c r="F16" s="34" t="n">
        <v>3.0125</v>
      </c>
      <c r="G16" s="30" t="n">
        <f aca="false">1000-E16</f>
        <v>900</v>
      </c>
      <c r="H16" s="34" t="n">
        <v>3.5258</v>
      </c>
      <c r="I16" s="35" t="n">
        <f aca="false">F16-D16</f>
        <v>0.1927</v>
      </c>
      <c r="J16" s="35" t="n">
        <f aca="false">H16-F16</f>
        <v>0.5133</v>
      </c>
      <c r="K16" s="35" t="n">
        <f aca="false">J16+I16</f>
        <v>0.706</v>
      </c>
      <c r="L16" s="36" t="n">
        <v>56.0649</v>
      </c>
      <c r="M16" s="36" t="n">
        <v>0.4967</v>
      </c>
      <c r="N16" s="36" t="n">
        <v>0.8058</v>
      </c>
      <c r="O16" s="37" t="n">
        <f aca="false">(L16/$F$2)^(1/$F$3)</f>
        <v>0.375818802581781</v>
      </c>
      <c r="P16" s="37" t="n">
        <f aca="false">(M16/$G$2)^(1/$G$3)</f>
        <v>0.00391138688382031</v>
      </c>
      <c r="Q16" s="37" t="n">
        <f aca="false">(N16/$H$2)^(1/$H$3)</f>
        <v>0.00775304302004417</v>
      </c>
      <c r="R16" s="38" t="n">
        <f aca="false">O16*$K16/$I16</f>
        <v>1.37689711791768</v>
      </c>
      <c r="S16" s="38" t="n">
        <f aca="false">P16*$K16/$I16</f>
        <v>0.0143302498182519</v>
      </c>
      <c r="T16" s="39" t="n">
        <f aca="false">Q16*$K16/$I16</f>
        <v>0.0284050252836075</v>
      </c>
      <c r="U16" s="2" t="n">
        <v>97.0495</v>
      </c>
      <c r="V16" s="2" t="n">
        <v>98.7825</v>
      </c>
      <c r="W16" s="32"/>
      <c r="X16" s="2"/>
      <c r="Y16" s="2"/>
      <c r="Z16" s="33"/>
      <c r="AA16" s="2"/>
      <c r="AB16" s="2"/>
    </row>
    <row r="17" customFormat="false" ht="14.25" hidden="false" customHeight="true" outlineLevel="0" collapsed="false">
      <c r="A17" s="18" t="s">
        <v>36</v>
      </c>
      <c r="B17" s="19" t="s">
        <v>32</v>
      </c>
      <c r="C17" s="20" t="n">
        <v>13</v>
      </c>
      <c r="D17" s="19" t="n">
        <v>2.8007</v>
      </c>
      <c r="E17" s="19" t="n">
        <v>300</v>
      </c>
      <c r="F17" s="20" t="n">
        <v>2.9858</v>
      </c>
      <c r="G17" s="19" t="n">
        <f aca="false">1000-E17</f>
        <v>700</v>
      </c>
      <c r="H17" s="20" t="n">
        <v>3.5551</v>
      </c>
      <c r="I17" s="22" t="n">
        <f aca="false">F17-D17</f>
        <v>0.1851</v>
      </c>
      <c r="J17" s="22" t="n">
        <f aca="false">H17-F17</f>
        <v>0.5693</v>
      </c>
      <c r="K17" s="22" t="n">
        <f aca="false">J17+I17</f>
        <v>0.7544</v>
      </c>
      <c r="L17" s="23" t="n">
        <v>974.4634</v>
      </c>
      <c r="M17" s="23" t="n">
        <v>1408.018</v>
      </c>
      <c r="N17" s="23" t="n">
        <v>1335.317</v>
      </c>
      <c r="O17" s="24" t="n">
        <f aca="false">(L17/$F$2)^(1/$F$3)</f>
        <v>5.60798801811875</v>
      </c>
      <c r="P17" s="24" t="n">
        <f aca="false">(M17/$G$2)^(1/$G$3)</f>
        <v>8.31298360513033</v>
      </c>
      <c r="Q17" s="24" t="n">
        <f aca="false">(N17/$H$2)^(1/$H$3)</f>
        <v>8.23417107939367</v>
      </c>
      <c r="R17" s="25" t="n">
        <f aca="false">O17*$K17/$I17</f>
        <v>22.8561110797882</v>
      </c>
      <c r="S17" s="25" t="n">
        <f aca="false">P17*$K17/$I17</f>
        <v>33.8806852064307</v>
      </c>
      <c r="T17" s="26" t="n">
        <f aca="false">Q17*$K17/$I17</f>
        <v>33.5594741344926</v>
      </c>
      <c r="U17" s="27" t="n">
        <v>2.6416</v>
      </c>
      <c r="V17" s="27"/>
      <c r="W17" s="32" t="n">
        <f aca="false">AVERAGE(R17:R18)/100</f>
        <v>0.229272787325909</v>
      </c>
      <c r="X17" s="2" t="n">
        <f aca="false">AVERAGE(S17:S18)/100</f>
        <v>0.340653946395026</v>
      </c>
      <c r="Y17" s="2" t="n">
        <f aca="false">AVERAGE(T17:T18)/100</f>
        <v>0.336568684638486</v>
      </c>
      <c r="Z17" s="33" t="n">
        <f aca="false">AVERAGE(U17:V18)/100</f>
        <v>0.0266205</v>
      </c>
      <c r="AA17" s="2" t="n">
        <f aca="false">SUM(W17:Z17)</f>
        <v>0.933115918359422</v>
      </c>
      <c r="AB17" s="2"/>
      <c r="AD17" s="0" t="n">
        <v>0.246189254320548</v>
      </c>
      <c r="AE17" s="0" t="n">
        <v>0.365788465445443</v>
      </c>
      <c r="AF17" s="0" t="n">
        <v>0.361401780234009</v>
      </c>
      <c r="AG17" s="0" t="n">
        <v>0.0266205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2.7353</v>
      </c>
      <c r="E18" s="20" t="n">
        <v>300</v>
      </c>
      <c r="F18" s="20" t="n">
        <v>2.9248</v>
      </c>
      <c r="G18" s="19" t="n">
        <f aca="false">1000-E18</f>
        <v>700</v>
      </c>
      <c r="H18" s="20" t="n">
        <v>3.4292</v>
      </c>
      <c r="I18" s="22" t="n">
        <f aca="false">F18-D18</f>
        <v>0.1895</v>
      </c>
      <c r="J18" s="22" t="n">
        <f aca="false">H18-F18</f>
        <v>0.5044</v>
      </c>
      <c r="K18" s="22" t="n">
        <f aca="false">J18+I18</f>
        <v>0.6939</v>
      </c>
      <c r="L18" s="23" t="n">
        <v>1098.3636</v>
      </c>
      <c r="M18" s="23" t="n">
        <v>1591.2958</v>
      </c>
      <c r="N18" s="23" t="n">
        <v>1505.689</v>
      </c>
      <c r="O18" s="24" t="n">
        <f aca="false">(L18/$F$2)^(1/$F$3)</f>
        <v>6.28074014992374</v>
      </c>
      <c r="P18" s="24" t="n">
        <f aca="false">(M18/$G$2)^(1/$G$3)</f>
        <v>9.35350154453505</v>
      </c>
      <c r="Q18" s="24" t="n">
        <f aca="false">(N18/$H$2)^(1/$H$3)</f>
        <v>9.21809021373725</v>
      </c>
      <c r="R18" s="25" t="n">
        <f aca="false">O18*$K18/$I18</f>
        <v>22.9984463853936</v>
      </c>
      <c r="S18" s="25" t="n">
        <f aca="false">P18*$K18/$I18</f>
        <v>34.2501040725746</v>
      </c>
      <c r="T18" s="26" t="n">
        <f aca="false">Q18*$K18/$I18</f>
        <v>33.7542627932046</v>
      </c>
      <c r="U18" s="27" t="n">
        <v>2.6825</v>
      </c>
      <c r="V18" s="27"/>
      <c r="W18" s="32"/>
      <c r="X18" s="2"/>
      <c r="Y18" s="2"/>
      <c r="Z18" s="33"/>
      <c r="AA18" s="2"/>
      <c r="AB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2.7786</v>
      </c>
      <c r="E19" s="34" t="n">
        <v>100</v>
      </c>
      <c r="F19" s="34" t="n">
        <v>2.9831</v>
      </c>
      <c r="G19" s="30" t="n">
        <f aca="false">1000-E19</f>
        <v>900</v>
      </c>
      <c r="H19" s="34" t="n">
        <v>3.5251</v>
      </c>
      <c r="I19" s="35" t="n">
        <f aca="false">F19-D19</f>
        <v>0.2045</v>
      </c>
      <c r="J19" s="35" t="n">
        <f aca="false">H19-F19</f>
        <v>0.542</v>
      </c>
      <c r="K19" s="35" t="n">
        <f aca="false">J19+I19</f>
        <v>0.7465</v>
      </c>
      <c r="L19" s="36" t="n">
        <v>32.6611</v>
      </c>
      <c r="M19" s="36" t="n">
        <v>4.1042</v>
      </c>
      <c r="N19" s="36" t="n">
        <v>4.0416</v>
      </c>
      <c r="O19" s="37" t="n">
        <f aca="false">(L19/$F$2)^(1/$F$3)</f>
        <v>0.225348163891774</v>
      </c>
      <c r="P19" s="37" t="n">
        <f aca="false">(M19/$G$2)^(1/$G$3)</f>
        <v>0.0299389436645101</v>
      </c>
      <c r="Q19" s="37" t="n">
        <f aca="false">(N19/$H$2)^(1/$H$3)</f>
        <v>0.0352994756937982</v>
      </c>
      <c r="R19" s="38" t="n">
        <f aca="false">O19*$K19/$I19</f>
        <v>0.822603444230853</v>
      </c>
      <c r="S19" s="38" t="n">
        <f aca="false">P19*$K19/$I19</f>
        <v>0.109288124428151</v>
      </c>
      <c r="T19" s="39" t="n">
        <f aca="false">Q19*$K19/$I19</f>
        <v>0.128856032300344</v>
      </c>
      <c r="U19" s="2" t="n">
        <v>96.7978</v>
      </c>
      <c r="V19" s="2"/>
      <c r="W19" s="32" t="n">
        <f aca="false">AVERAGE(R19:R20)/100</f>
        <v>0.00774200065867064</v>
      </c>
      <c r="X19" s="2" t="n">
        <f aca="false">AVERAGE(S19:S20)/100</f>
        <v>0.000696126393229066</v>
      </c>
      <c r="Y19" s="2" t="n">
        <f aca="false">AVERAGE(T19:T20)/100</f>
        <v>0.000867130775317375</v>
      </c>
      <c r="Z19" s="33" t="n">
        <f aca="false">AVERAGE(U19:V20)/100</f>
        <v>0.965393333333333</v>
      </c>
      <c r="AA19" s="2" t="n">
        <f aca="false">SUM(W19:Z19)</f>
        <v>0.97469859116055</v>
      </c>
      <c r="AB19" s="2"/>
      <c r="AD19" s="0" t="n">
        <v>0.00774200065867064</v>
      </c>
      <c r="AE19" s="0" t="n">
        <v>0.000696126393229066</v>
      </c>
      <c r="AF19" s="0" t="n">
        <v>0.000867130775317375</v>
      </c>
      <c r="AG19" s="0" t="n">
        <v>0.990694742172783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2.8286</v>
      </c>
      <c r="E20" s="34" t="n">
        <v>100</v>
      </c>
      <c r="F20" s="34" t="n">
        <v>3.0303</v>
      </c>
      <c r="G20" s="30" t="n">
        <f aca="false">1000-E20</f>
        <v>900</v>
      </c>
      <c r="H20" s="34" t="n">
        <v>3.585</v>
      </c>
      <c r="I20" s="35" t="n">
        <f aca="false">F20-D20</f>
        <v>0.2017</v>
      </c>
      <c r="J20" s="35" t="n">
        <f aca="false">H20-F20</f>
        <v>0.5547</v>
      </c>
      <c r="K20" s="35" t="n">
        <f aca="false">J20+I20</f>
        <v>0.7564</v>
      </c>
      <c r="L20" s="36" t="n">
        <v>27.811</v>
      </c>
      <c r="M20" s="36" t="n">
        <v>1.0413</v>
      </c>
      <c r="N20" s="36" t="n">
        <v>1.2694</v>
      </c>
      <c r="O20" s="37" t="n">
        <f aca="false">(L20/$F$2)^(1/$F$3)</f>
        <v>0.193539386395308</v>
      </c>
      <c r="P20" s="37" t="n">
        <f aca="false">(M20/$G$2)^(1/$G$3)</f>
        <v>0.00798297726824772</v>
      </c>
      <c r="Q20" s="37" t="n">
        <f aca="false">(N20/$H$2)^(1/$H$3)</f>
        <v>0.0118849732434208</v>
      </c>
      <c r="R20" s="38" t="n">
        <f aca="false">O20*$K20/$I20</f>
        <v>0.725796687503275</v>
      </c>
      <c r="S20" s="38" t="n">
        <f aca="false">P20*$K20/$I20</f>
        <v>0.0299371542176627</v>
      </c>
      <c r="T20" s="39" t="n">
        <f aca="false">Q20*$K20/$I20</f>
        <v>0.0445701227631308</v>
      </c>
      <c r="U20" s="2" t="n">
        <v>96.7891</v>
      </c>
      <c r="V20" s="2" t="n">
        <v>96.0311</v>
      </c>
      <c r="W20" s="32"/>
      <c r="X20" s="2"/>
      <c r="Y20" s="2"/>
      <c r="Z20" s="33"/>
      <c r="AA20" s="2"/>
      <c r="AB20" s="2"/>
    </row>
    <row r="21" customFormat="false" ht="14.25" hidden="false" customHeight="true" outlineLevel="0" collapsed="false">
      <c r="A21" s="18" t="s">
        <v>37</v>
      </c>
      <c r="B21" s="19" t="s">
        <v>32</v>
      </c>
      <c r="C21" s="20" t="n">
        <v>17</v>
      </c>
      <c r="D21" s="19" t="n">
        <v>2.7875</v>
      </c>
      <c r="E21" s="19" t="n">
        <v>300</v>
      </c>
      <c r="F21" s="20" t="n">
        <v>2.9887</v>
      </c>
      <c r="G21" s="19" t="n">
        <f aca="false">1000-E21</f>
        <v>700</v>
      </c>
      <c r="H21" s="20" t="n">
        <v>3.5473</v>
      </c>
      <c r="I21" s="22" t="n">
        <f aca="false">F21-D21</f>
        <v>0.2012</v>
      </c>
      <c r="J21" s="22" t="n">
        <f aca="false">H21-F21</f>
        <v>0.5586</v>
      </c>
      <c r="K21" s="22" t="n">
        <f aca="false">J21+I21</f>
        <v>0.7598</v>
      </c>
      <c r="L21" s="23" t="n">
        <v>84.132</v>
      </c>
      <c r="M21" s="23" t="n">
        <v>1.4229</v>
      </c>
      <c r="N21" s="23" t="n">
        <v>1.4982</v>
      </c>
      <c r="O21" s="24" t="n">
        <f aca="false">(L21/$F$2)^(1/$F$3)</f>
        <v>0.551864112900037</v>
      </c>
      <c r="P21" s="24" t="n">
        <f aca="false">(M21/$G$2)^(1/$G$3)</f>
        <v>0.0107857547112622</v>
      </c>
      <c r="Q21" s="24" t="n">
        <f aca="false">(N21/$H$2)^(1/$H$3)</f>
        <v>0.0138883341245924</v>
      </c>
      <c r="R21" s="25" t="n">
        <f aca="false">O21*$K21/$I21</f>
        <v>2.08402759931137</v>
      </c>
      <c r="S21" s="25" t="n">
        <f aca="false">P21*$K21/$I21</f>
        <v>0.0407306979603232</v>
      </c>
      <c r="T21" s="26" t="n">
        <f aca="false">Q21*$K21/$I21</f>
        <v>0.0524470987468455</v>
      </c>
      <c r="U21" s="27" t="n">
        <v>98.8196</v>
      </c>
      <c r="V21" s="27"/>
      <c r="W21" s="28" t="n">
        <f aca="false">AVERAGE(R21:R22)/100</f>
        <v>0.0242410750881541</v>
      </c>
      <c r="X21" s="27" t="n">
        <f aca="false">AVERAGE(S21:S22)/100</f>
        <v>0.000954064836618211</v>
      </c>
      <c r="Y21" s="27" t="n">
        <f aca="false">AVERAGE(T21:T22)/100</f>
        <v>0.00112086662179403</v>
      </c>
      <c r="Z21" s="29" t="n">
        <f aca="false">AVERAGE(U21:V22)/100</f>
        <v>0.988196</v>
      </c>
      <c r="AA21" s="2" t="n">
        <f aca="false">SUM(W21:Z21)</f>
        <v>1.01451200654657</v>
      </c>
      <c r="AB21" s="2"/>
      <c r="AD21" s="0" t="n">
        <v>0.0242410750881541</v>
      </c>
      <c r="AE21" s="0" t="n">
        <v>0.000954064836618211</v>
      </c>
      <c r="AF21" s="0" t="n">
        <v>0.00112086662179403</v>
      </c>
      <c r="AG21" s="0" t="n">
        <v>0.973683993453434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2.7193</v>
      </c>
      <c r="E22" s="20" t="n">
        <v>300</v>
      </c>
      <c r="F22" s="20" t="n">
        <v>2.9273</v>
      </c>
      <c r="G22" s="19" t="n">
        <f aca="false">1000-E22</f>
        <v>700</v>
      </c>
      <c r="H22" s="20" t="n">
        <v>3.4719</v>
      </c>
      <c r="I22" s="22" t="n">
        <f aca="false">F22-D22</f>
        <v>0.208</v>
      </c>
      <c r="J22" s="22" t="n">
        <f aca="false">H22-F22</f>
        <v>0.5446</v>
      </c>
      <c r="K22" s="22" t="n">
        <f aca="false">J22+I22</f>
        <v>0.7526</v>
      </c>
      <c r="L22" s="23" t="n">
        <v>118.6223</v>
      </c>
      <c r="M22" s="23" t="n">
        <v>5.7563</v>
      </c>
      <c r="N22" s="23" t="n">
        <v>5.5377</v>
      </c>
      <c r="O22" s="24" t="n">
        <f aca="false">(L22/$F$2)^(1/$F$3)</f>
        <v>0.763952940486906</v>
      </c>
      <c r="P22" s="24" t="n">
        <f aca="false">(M22/$G$2)^(1/$G$3)</f>
        <v>0.0414790220935029</v>
      </c>
      <c r="Q22" s="24" t="n">
        <f aca="false">(N22/$H$2)^(1/$H$3)</f>
        <v>0.0474608755345304</v>
      </c>
      <c r="R22" s="25" t="n">
        <f aca="false">O22*$K22/$I22</f>
        <v>2.76418741831945</v>
      </c>
      <c r="S22" s="25" t="n">
        <f aca="false">P22*$K22/$I22</f>
        <v>0.150082269363319</v>
      </c>
      <c r="T22" s="26" t="n">
        <f aca="false">Q22*$K22/$I22</f>
        <v>0.17172622561196</v>
      </c>
      <c r="U22" s="27" t="n">
        <v>98.8196</v>
      </c>
      <c r="V22" s="27"/>
      <c r="W22" s="32"/>
      <c r="X22" s="2"/>
      <c r="Y22" s="2"/>
      <c r="Z22" s="33"/>
      <c r="AA22" s="2"/>
      <c r="AB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2.7716</v>
      </c>
      <c r="E23" s="34" t="n">
        <v>100</v>
      </c>
      <c r="F23" s="34" t="n">
        <v>2.9588</v>
      </c>
      <c r="G23" s="30" t="n">
        <f aca="false">1000-E23</f>
        <v>900</v>
      </c>
      <c r="H23" s="34" t="n">
        <v>3.4919</v>
      </c>
      <c r="I23" s="35" t="n">
        <f aca="false">F23-D23</f>
        <v>0.1872</v>
      </c>
      <c r="J23" s="35" t="n">
        <f aca="false">H23-F23</f>
        <v>0.5331</v>
      </c>
      <c r="K23" s="35" t="n">
        <f aca="false">J23+I23</f>
        <v>0.7203</v>
      </c>
      <c r="L23" s="36" t="n">
        <v>2900.802</v>
      </c>
      <c r="M23" s="36" t="n">
        <v>400.9074</v>
      </c>
      <c r="N23" s="36" t="n">
        <v>379.0231</v>
      </c>
      <c r="O23" s="37" t="n">
        <f aca="false">(L23/$F$2)^(1/$F$3)</f>
        <v>15.748940364729</v>
      </c>
      <c r="P23" s="37" t="n">
        <f aca="false">(M23/$G$2)^(1/$G$3)</f>
        <v>2.47718876703807</v>
      </c>
      <c r="Q23" s="37" t="n">
        <f aca="false">(N23/$H$2)^(1/$H$3)</f>
        <v>2.52071916280301</v>
      </c>
      <c r="R23" s="38" t="n">
        <f aca="false">O23*$K23/$I23</f>
        <v>60.5980862431319</v>
      </c>
      <c r="S23" s="38" t="n">
        <f aca="false">P23*$K23/$I23</f>
        <v>9.5316189577859</v>
      </c>
      <c r="T23" s="39" t="n">
        <f aca="false">Q23*$K23/$I23</f>
        <v>9.69911331713146</v>
      </c>
      <c r="U23" s="2" t="n">
        <v>6.6554</v>
      </c>
      <c r="V23" s="2"/>
      <c r="W23" s="32" t="n">
        <f aca="false">AVERAGE(R23:R24)/100</f>
        <v>0.621230521965124</v>
      </c>
      <c r="X23" s="2" t="n">
        <f aca="false">AVERAGE(S23:S24)/100</f>
        <v>0.0977530113962259</v>
      </c>
      <c r="Y23" s="2" t="n">
        <f aca="false">AVERAGE(T23:T24)/100</f>
        <v>0.0992247049371495</v>
      </c>
      <c r="Z23" s="33" t="n">
        <f aca="false">AVERAGE(U23:V24)/100</f>
        <v>0.0663885</v>
      </c>
      <c r="AA23" s="2" t="n">
        <f aca="false">SUM(W23:Z23)</f>
        <v>0.8845967382985</v>
      </c>
      <c r="AB23" s="2"/>
      <c r="AD23" s="0" t="n">
        <v>0.708851282973822</v>
      </c>
      <c r="AE23" s="0" t="n">
        <v>0.111540475061622</v>
      </c>
      <c r="AF23" s="0" t="n">
        <v>0.113219741964555</v>
      </c>
      <c r="AG23" s="0" t="n">
        <v>0.0663885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2.7758</v>
      </c>
      <c r="E24" s="34" t="n">
        <v>100</v>
      </c>
      <c r="F24" s="34" t="n">
        <v>2.9852</v>
      </c>
      <c r="G24" s="30" t="n">
        <f aca="false">1000-E24</f>
        <v>900</v>
      </c>
      <c r="H24" s="34" t="n">
        <v>3.5446</v>
      </c>
      <c r="I24" s="35" t="n">
        <f aca="false">F24-D24</f>
        <v>0.2094</v>
      </c>
      <c r="J24" s="35" t="n">
        <f aca="false">H24-F24</f>
        <v>0.5594</v>
      </c>
      <c r="K24" s="35" t="n">
        <f aca="false">J24+I24</f>
        <v>0.7688</v>
      </c>
      <c r="L24" s="36" t="n">
        <v>3210.4664</v>
      </c>
      <c r="M24" s="36" t="n">
        <v>443.2532</v>
      </c>
      <c r="N24" s="36" t="n">
        <v>417.9662</v>
      </c>
      <c r="O24" s="37" t="n">
        <f aca="false">(L24/$F$2)^(1/$F$3)</f>
        <v>17.335971644885</v>
      </c>
      <c r="P24" s="37" t="n">
        <f aca="false">(M24/$G$2)^(1/$G$3)</f>
        <v>2.72889582142765</v>
      </c>
      <c r="Q24" s="37" t="n">
        <f aca="false">(N24/$H$2)^(1/$H$3)</f>
        <v>2.76344473746162</v>
      </c>
      <c r="R24" s="38" t="n">
        <f aca="false">O24*$K24/$I24</f>
        <v>63.648018149893</v>
      </c>
      <c r="S24" s="38" t="n">
        <f aca="false">P24*$K24/$I24</f>
        <v>10.0189833214593</v>
      </c>
      <c r="T24" s="39" t="n">
        <f aca="false">Q24*$K24/$I24</f>
        <v>10.1458276702984</v>
      </c>
      <c r="U24" s="42" t="n">
        <v>6.6223</v>
      </c>
      <c r="V24" s="42"/>
      <c r="W24" s="43"/>
      <c r="X24" s="42"/>
      <c r="Y24" s="42"/>
      <c r="Z24" s="44"/>
      <c r="AA24" s="2"/>
      <c r="AB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2.7788</v>
      </c>
      <c r="F25" s="1" t="n">
        <v>3.0512</v>
      </c>
      <c r="G25" s="2" t="n">
        <f aca="false">1000-E25</f>
        <v>1000</v>
      </c>
      <c r="H25" s="1" t="n">
        <v>3.5279</v>
      </c>
      <c r="I25" s="1" t="n">
        <f aca="false">F25-D25</f>
        <v>0.2724</v>
      </c>
      <c r="J25" s="1" t="n">
        <f aca="false">H25-F25</f>
        <v>0.4767</v>
      </c>
      <c r="K25" s="1" t="n">
        <f aca="false">J25+I25</f>
        <v>0.7491</v>
      </c>
      <c r="M25" s="1" t="n">
        <v>3044.3</v>
      </c>
      <c r="N25" s="1" t="n">
        <v>2833.35</v>
      </c>
      <c r="P25" s="1" t="n">
        <f aca="false">(M25/$G$2)^(1/$G$3)</f>
        <v>17.4784601417738</v>
      </c>
      <c r="Q25" s="1" t="n">
        <f aca="false">(N25/$H$2)^(1/$H$3)</f>
        <v>16.7004399378438</v>
      </c>
      <c r="S25" s="1" t="n">
        <f aca="false">P25*$K25/$I25</f>
        <v>48.065765389878</v>
      </c>
      <c r="T25" s="1" t="n">
        <f aca="false">Q25*$K25/$I25</f>
        <v>45.9262098290704</v>
      </c>
      <c r="U25" s="1" t="n">
        <v>1.5599</v>
      </c>
      <c r="V25" s="1" t="n">
        <v>1.6021</v>
      </c>
      <c r="X25" s="1" t="n">
        <f aca="false">AVERAGE(S25:S26)/100</f>
        <v>0.489257680377166</v>
      </c>
      <c r="Y25" s="1" t="n">
        <f aca="false">AVERAGE(T25:T26)/100</f>
        <v>0.467275983173164</v>
      </c>
      <c r="Z25" s="1" t="n">
        <f aca="false">AVERAGE(U25:V26)/100</f>
        <v>0.015452</v>
      </c>
      <c r="AA25" s="1" t="n">
        <f aca="false">SUM(W25:Z25)</f>
        <v>0.97198566355033</v>
      </c>
      <c r="AE25" s="1" t="n">
        <f aca="false">IFERROR(X25/$AA25,"")</f>
        <v>0.503358947281255</v>
      </c>
      <c r="AF25" s="1" t="n">
        <f aca="false">IFERROR(Y25/$AA25,"")</f>
        <v>0.480743698900213</v>
      </c>
      <c r="AG25" s="1" t="n">
        <f aca="false">IFERROR(Z25/$AA25,"")</f>
        <v>0.0158973538185318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2.7389</v>
      </c>
      <c r="F26" s="1" t="n">
        <v>3.0126</v>
      </c>
      <c r="G26" s="2" t="n">
        <f aca="false">1000-E26</f>
        <v>1000</v>
      </c>
      <c r="H26" s="1" t="n">
        <v>3.5168</v>
      </c>
      <c r="I26" s="1" t="n">
        <f aca="false">F26-D26</f>
        <v>0.2737</v>
      </c>
      <c r="J26" s="1" t="n">
        <f aca="false">H26-F26</f>
        <v>0.5042</v>
      </c>
      <c r="K26" s="1" t="n">
        <f aca="false">J26+I26</f>
        <v>0.7779</v>
      </c>
      <c r="M26" s="1" t="n">
        <v>3051.24</v>
      </c>
      <c r="N26" s="1" t="n">
        <v>2837.39</v>
      </c>
      <c r="P26" s="1" t="n">
        <f aca="false">(M26/$G$2)^(1/$G$3)</f>
        <v>17.5168600548097</v>
      </c>
      <c r="Q26" s="1" t="n">
        <f aca="false">(N26/$H$2)^(1/$H$3)</f>
        <v>16.7228225847569</v>
      </c>
      <c r="S26" s="1" t="n">
        <f aca="false">P26*$K26/$I26</f>
        <v>49.7857706855552</v>
      </c>
      <c r="T26" s="1" t="n">
        <f aca="false">Q26*$K26/$I26</f>
        <v>47.5289868055624</v>
      </c>
      <c r="U26" s="1" t="n">
        <v>1.4736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2.7895</v>
      </c>
      <c r="F27" s="1" t="n">
        <v>3.0974</v>
      </c>
      <c r="G27" s="2" t="n">
        <f aca="false">1000-E27</f>
        <v>1000</v>
      </c>
      <c r="H27" s="1" t="n">
        <v>3.5996</v>
      </c>
      <c r="I27" s="1" t="n">
        <f aca="false">F27-D27</f>
        <v>0.3079</v>
      </c>
      <c r="J27" s="1" t="n">
        <f aca="false">H27-F27</f>
        <v>0.5022</v>
      </c>
      <c r="K27" s="1" t="n">
        <f aca="false">J27+I27</f>
        <v>0.8101</v>
      </c>
      <c r="M27" s="1" t="n">
        <v>78.3</v>
      </c>
      <c r="N27" s="1" t="n">
        <v>67.35</v>
      </c>
      <c r="P27" s="1" t="n">
        <f aca="false">(M27/$G$2)^(1/$G$3)</f>
        <v>0.513304144005008</v>
      </c>
      <c r="Q27" s="1" t="n">
        <f aca="false">(N27/$H$2)^(1/$H$3)</f>
        <v>0.496852242962129</v>
      </c>
      <c r="S27" s="1" t="n">
        <f aca="false">P27*$K27/$I27</f>
        <v>1.35052837628599</v>
      </c>
      <c r="T27" s="1" t="n">
        <f aca="false">Q27*$K27/$I27</f>
        <v>1.30724261780975</v>
      </c>
      <c r="X27" s="1" t="n">
        <f aca="false">AVERAGE(S27:S28)/100</f>
        <v>0.0121341150229621</v>
      </c>
      <c r="Y27" s="1" t="n">
        <f aca="false">AVERAGE(T27:T28)/100</f>
        <v>0.0117317632669767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2.7396</v>
      </c>
      <c r="F28" s="1" t="n">
        <v>3.0442</v>
      </c>
      <c r="G28" s="2" t="n">
        <f aca="false">1000-E28</f>
        <v>1000</v>
      </c>
      <c r="H28" s="1" t="n">
        <v>3.5404</v>
      </c>
      <c r="I28" s="1" t="n">
        <f aca="false">F28-D28</f>
        <v>0.3046</v>
      </c>
      <c r="J28" s="1" t="n">
        <f aca="false">H28-F28</f>
        <v>0.4962</v>
      </c>
      <c r="K28" s="1" t="n">
        <f aca="false">J28+I28</f>
        <v>0.8008</v>
      </c>
      <c r="M28" s="1" t="n">
        <v>61.92</v>
      </c>
      <c r="N28" s="1" t="n">
        <v>52.8</v>
      </c>
      <c r="P28" s="1" t="n">
        <f aca="false">(M28/$G$2)^(1/$G$3)</f>
        <v>0.409389789937736</v>
      </c>
      <c r="Q28" s="1" t="n">
        <f aca="false">(N28/$H$2)^(1/$H$3)</f>
        <v>0.395245900149066</v>
      </c>
      <c r="S28" s="1" t="n">
        <f aca="false">P28*$K28/$I28</f>
        <v>1.07629462830643</v>
      </c>
      <c r="T28" s="1" t="n">
        <f aca="false">Q28*$K28/$I28</f>
        <v>1.03911003558559</v>
      </c>
    </row>
  </sheetData>
  <mergeCells count="14">
    <mergeCell ref="O3:Q3"/>
    <mergeCell ref="R3:T3"/>
    <mergeCell ref="U3:V3"/>
    <mergeCell ref="A5:A8"/>
    <mergeCell ref="AC5:AC6"/>
    <mergeCell ref="AC7:AC8"/>
    <mergeCell ref="A9:A12"/>
    <mergeCell ref="AC9:AC10"/>
    <mergeCell ref="AC11:AC12"/>
    <mergeCell ref="A13:A16"/>
    <mergeCell ref="AC13:AC14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K32" activeCellId="0" sqref="K3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4" hidden="false" customHeight="true" outlineLevel="0" collapsed="false">
      <c r="F1" s="46" t="s">
        <v>0</v>
      </c>
      <c r="G1" s="46" t="s">
        <v>39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156.413729</v>
      </c>
      <c r="H2" s="4" t="n">
        <v>147.968358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1.03759299</v>
      </c>
      <c r="H3" s="1" t="n">
        <v>1.04568333</v>
      </c>
      <c r="M3" s="1" t="s">
        <v>4</v>
      </c>
      <c r="N3" s="1" t="s">
        <v>40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42</v>
      </c>
      <c r="B5" s="19" t="s">
        <v>32</v>
      </c>
      <c r="C5" s="20" t="n">
        <v>1</v>
      </c>
      <c r="D5" s="21" t="n">
        <v>2.7341</v>
      </c>
      <c r="E5" s="19" t="n">
        <v>300</v>
      </c>
      <c r="F5" s="20" t="n">
        <v>2.9202</v>
      </c>
      <c r="G5" s="19" t="n">
        <f aca="false">1000-E5</f>
        <v>700</v>
      </c>
      <c r="H5" s="20" t="n">
        <v>3.5688</v>
      </c>
      <c r="I5" s="22" t="n">
        <f aca="false">F5-D5</f>
        <v>0.1861</v>
      </c>
      <c r="J5" s="22" t="n">
        <f aca="false">H5-F5</f>
        <v>0.6486</v>
      </c>
      <c r="K5" s="22" t="n">
        <f aca="false">J5+I5</f>
        <v>0.8347</v>
      </c>
      <c r="L5" s="23" t="n">
        <v>76.7215</v>
      </c>
      <c r="M5" s="23" t="n">
        <v>0.0525</v>
      </c>
      <c r="N5" s="23" t="n">
        <v>0.0664</v>
      </c>
      <c r="O5" s="24" t="n">
        <f aca="false">(L5/$F$2)^(1/$F$3)</f>
        <v>0.505739900934416</v>
      </c>
      <c r="P5" s="24" t="n">
        <f aca="false">(M5/$G$2)^(1/$G$3)</f>
        <v>0.000448492283418835</v>
      </c>
      <c r="Q5" s="24" t="n">
        <f aca="false">(N5/$H$2)^(1/$H$3)</f>
        <v>0.000628441903340449</v>
      </c>
      <c r="R5" s="25" t="n">
        <f aca="false">O5*$K5/$I5</f>
        <v>2.26835623487349</v>
      </c>
      <c r="S5" s="25" t="n">
        <f aca="false">P5*$K5/$I5</f>
        <v>0.00201158790418969</v>
      </c>
      <c r="T5" s="26" t="n">
        <f aca="false">Q5*$K5/$I5</f>
        <v>0.00281870207801329</v>
      </c>
      <c r="U5" s="27" t="n">
        <v>93.8865</v>
      </c>
      <c r="V5" s="27"/>
      <c r="W5" s="28" t="n">
        <f aca="false">AVERAGE(R5:R6)/100</f>
        <v>0.0245295765826063</v>
      </c>
      <c r="X5" s="27" t="n">
        <f aca="false">AVERAGE(S5:S6)/100</f>
        <v>5.33078108341684E-005</v>
      </c>
      <c r="Y5" s="27" t="n">
        <f aca="false">AVERAGE(T5:T6)/100</f>
        <v>6.44235988922182E-005</v>
      </c>
      <c r="Z5" s="29" t="n">
        <f aca="false">AVERAGE(U5:V6)/100</f>
        <v>0.9378455</v>
      </c>
      <c r="AA5" s="2" t="n">
        <f aca="false">SUM(W5:Z5)</f>
        <v>0.962492807992333</v>
      </c>
      <c r="AD5" s="0" t="n">
        <v>0.0245295765826063</v>
      </c>
      <c r="AE5" s="0" t="n">
        <v>5.33078108341684E-005</v>
      </c>
      <c r="AF5" s="0" t="n">
        <v>6.44235988922182E-005</v>
      </c>
      <c r="AG5" s="0" t="n">
        <v>0.975352692007667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2.7246</v>
      </c>
      <c r="E6" s="20" t="n">
        <v>300</v>
      </c>
      <c r="F6" s="20" t="n">
        <v>2.8999</v>
      </c>
      <c r="G6" s="19" t="n">
        <f aca="false">1000-E6</f>
        <v>700</v>
      </c>
      <c r="H6" s="20" t="n">
        <v>3.5398</v>
      </c>
      <c r="I6" s="22" t="n">
        <f aca="false">F6-D6</f>
        <v>0.1753</v>
      </c>
      <c r="J6" s="22" t="n">
        <f aca="false">H6-F6</f>
        <v>0.6399</v>
      </c>
      <c r="K6" s="22" t="n">
        <f aca="false">J6+I6</f>
        <v>0.8152</v>
      </c>
      <c r="L6" s="23" t="n">
        <v>86.6004</v>
      </c>
      <c r="M6" s="23" t="n">
        <v>0.2297</v>
      </c>
      <c r="N6" s="23" t="n">
        <v>0.242</v>
      </c>
      <c r="O6" s="24" t="n">
        <f aca="false">(L6/$F$2)^(1/$F$3)</f>
        <v>0.567178737748837</v>
      </c>
      <c r="P6" s="24" t="n">
        <f aca="false">(M6/$G$2)^(1/$G$3)</f>
        <v>0.00186008401403519</v>
      </c>
      <c r="Q6" s="24" t="n">
        <f aca="false">(N6/$H$2)^(1/$H$3)</f>
        <v>0.00216458893877017</v>
      </c>
      <c r="R6" s="25" t="n">
        <f aca="false">O6*$K6/$I6</f>
        <v>2.63755908164776</v>
      </c>
      <c r="S6" s="25" t="n">
        <f aca="false">P6*$K6/$I6</f>
        <v>0.00864997426264398</v>
      </c>
      <c r="T6" s="26" t="n">
        <f aca="false">Q6*$K6/$I6</f>
        <v>0.0100660177004304</v>
      </c>
      <c r="U6" s="27" t="n">
        <v>93.6826</v>
      </c>
      <c r="V6" s="27"/>
      <c r="W6" s="32"/>
      <c r="X6" s="2"/>
      <c r="Y6" s="2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2.8129</v>
      </c>
      <c r="E7" s="34" t="n">
        <v>100</v>
      </c>
      <c r="F7" s="34" t="n">
        <v>3.0062</v>
      </c>
      <c r="G7" s="30" t="n">
        <f aca="false">1000-E7</f>
        <v>900</v>
      </c>
      <c r="H7" s="34" t="n">
        <v>3.6126</v>
      </c>
      <c r="I7" s="35" t="n">
        <f aca="false">F7-D7</f>
        <v>0.1933</v>
      </c>
      <c r="J7" s="35" t="n">
        <f aca="false">H7-F7</f>
        <v>0.6064</v>
      </c>
      <c r="K7" s="35" t="n">
        <f aca="false">J7+I7</f>
        <v>0.7997</v>
      </c>
      <c r="L7" s="1" t="n">
        <v>3409.961</v>
      </c>
      <c r="M7" s="1" t="n">
        <v>56.553</v>
      </c>
      <c r="N7" s="36" t="n">
        <v>57.3307</v>
      </c>
      <c r="O7" s="37" t="n">
        <f aca="false">(L7/$F$2)^(1/$F$3)</f>
        <v>18.3540048831083</v>
      </c>
      <c r="P7" s="37" t="n">
        <f aca="false">(M7/$G$2)^(1/$G$3)</f>
        <v>0.375135628008707</v>
      </c>
      <c r="Q7" s="37" t="n">
        <f aca="false">(N7/$H$2)^(1/$H$3)</f>
        <v>0.403838866876564</v>
      </c>
      <c r="R7" s="38" t="n">
        <f aca="false">O7*$K7/$I7</f>
        <v>75.9322178221505</v>
      </c>
      <c r="S7" s="38" t="n">
        <f aca="false">P7*$K7/$I7</f>
        <v>1.55197083144626</v>
      </c>
      <c r="T7" s="39" t="n">
        <f aca="false">Q7*$K7/$I7</f>
        <v>1.67071878862487</v>
      </c>
      <c r="U7" s="2" t="n">
        <v>8.9269</v>
      </c>
      <c r="V7" s="2"/>
      <c r="W7" s="32" t="n">
        <f aca="false">AVERAGE(R7:R8)/100</f>
        <v>0.766710988614479</v>
      </c>
      <c r="X7" s="2" t="n">
        <f aca="false">AVERAGE(S7:S8)/100</f>
        <v>0.0156877801381957</v>
      </c>
      <c r="Y7" s="2" t="n">
        <f aca="false">AVERAGE(T7:T8)/100</f>
        <v>0.0168653695993729</v>
      </c>
      <c r="Z7" s="33" t="n">
        <f aca="false">AVERAGE(U7:V8)/100</f>
        <v>0.088521</v>
      </c>
      <c r="AA7" s="2" t="n">
        <f aca="false">SUM(W7:Z7)</f>
        <v>0.887785138352048</v>
      </c>
      <c r="AD7" s="0" t="n">
        <v>0.874355462303404</v>
      </c>
      <c r="AE7" s="0" t="n">
        <v>0.0178903086807633</v>
      </c>
      <c r="AF7" s="0" t="n">
        <v>0.0192332290158323</v>
      </c>
      <c r="AG7" s="0" t="n">
        <v>0.088521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2.7708</v>
      </c>
      <c r="E8" s="34" t="n">
        <v>100</v>
      </c>
      <c r="F8" s="34" t="n">
        <v>2.9693</v>
      </c>
      <c r="G8" s="30" t="n">
        <f aca="false">1000-E8</f>
        <v>900</v>
      </c>
      <c r="H8" s="34" t="n">
        <v>3.604</v>
      </c>
      <c r="I8" s="35" t="n">
        <f aca="false">F8-D8</f>
        <v>0.1985</v>
      </c>
      <c r="J8" s="35" t="n">
        <f aca="false">H8-F8</f>
        <v>0.6347</v>
      </c>
      <c r="K8" s="35" t="n">
        <f aca="false">J8+I8</f>
        <v>0.8332</v>
      </c>
      <c r="L8" s="36" t="n">
        <v>3427.236</v>
      </c>
      <c r="M8" s="36" t="n">
        <v>56.9615</v>
      </c>
      <c r="N8" s="36" t="n">
        <v>57.5871</v>
      </c>
      <c r="O8" s="37" t="n">
        <f aca="false">(L8/$F$2)^(1/$F$3)</f>
        <v>18.4420079336269</v>
      </c>
      <c r="P8" s="37" t="n">
        <f aca="false">(M8/$G$2)^(1/$G$3)</f>
        <v>0.377746833226459</v>
      </c>
      <c r="Q8" s="37" t="n">
        <f aca="false">(N8/$H$2)^(1/$H$3)</f>
        <v>0.405565882804929</v>
      </c>
      <c r="R8" s="38" t="n">
        <f aca="false">O8*$K8/$I8</f>
        <v>77.4099799007454</v>
      </c>
      <c r="S8" s="38" t="n">
        <f aca="false">P8*$K8/$I8</f>
        <v>1.58558519619287</v>
      </c>
      <c r="T8" s="39" t="n">
        <f aca="false">Q8*$K8/$I8</f>
        <v>1.70235513124971</v>
      </c>
      <c r="U8" s="2" t="n">
        <v>8.7773</v>
      </c>
      <c r="V8" s="2"/>
      <c r="W8" s="32"/>
      <c r="X8" s="2"/>
      <c r="Y8" s="2"/>
      <c r="Z8" s="33"/>
      <c r="AA8" s="2"/>
    </row>
    <row r="9" customFormat="false" ht="14.25" hidden="false" customHeight="true" outlineLevel="0" collapsed="false">
      <c r="A9" s="18" t="s">
        <v>43</v>
      </c>
      <c r="B9" s="19" t="s">
        <v>32</v>
      </c>
      <c r="C9" s="20" t="n">
        <v>5</v>
      </c>
      <c r="D9" s="19" t="n">
        <v>2.7388</v>
      </c>
      <c r="E9" s="19" t="n">
        <v>300</v>
      </c>
      <c r="F9" s="20" t="n">
        <v>2.9092</v>
      </c>
      <c r="G9" s="19" t="n">
        <f aca="false">1000-E9</f>
        <v>700</v>
      </c>
      <c r="H9" s="20" t="n">
        <v>3.5437</v>
      </c>
      <c r="I9" s="22" t="n">
        <f aca="false">F9-D9</f>
        <v>0.1704</v>
      </c>
      <c r="J9" s="22" t="n">
        <f aca="false">H9-F9</f>
        <v>0.6345</v>
      </c>
      <c r="K9" s="22" t="n">
        <f aca="false">J9+I9</f>
        <v>0.8049</v>
      </c>
      <c r="L9" s="23" t="n">
        <v>155.3425</v>
      </c>
      <c r="M9" s="23" t="n">
        <v>1501.9181</v>
      </c>
      <c r="N9" s="23" t="n">
        <v>1482.5729</v>
      </c>
      <c r="O9" s="24" t="n">
        <f aca="false">(L9/$F$2)^(1/$F$3)</f>
        <v>0.986128904402904</v>
      </c>
      <c r="P9" s="24" t="n">
        <f aca="false">(M9/$G$2)^(1/$G$3)</f>
        <v>8.84665565062901</v>
      </c>
      <c r="Q9" s="24" t="n">
        <f aca="false">(N9/$H$2)^(1/$H$3)</f>
        <v>9.05988432862505</v>
      </c>
      <c r="R9" s="25" t="n">
        <f aca="false">O9*$K9/$I9</f>
        <v>4.65807015935386</v>
      </c>
      <c r="S9" s="25" t="n">
        <f aca="false">P9*$K9/$I9</f>
        <v>41.7879878708409</v>
      </c>
      <c r="T9" s="26" t="n">
        <f aca="false">Q9*$K9/$I9</f>
        <v>42.7951930522905</v>
      </c>
      <c r="U9" s="27" t="n">
        <v>2.3903</v>
      </c>
      <c r="V9" s="27"/>
      <c r="W9" s="28" t="n">
        <f aca="false">AVERAGE(R9:R10)/100</f>
        <v>0.0467030659416649</v>
      </c>
      <c r="X9" s="27" t="n">
        <f aca="false">AVERAGE(S9:S10)/100</f>
        <v>0.419330315121381</v>
      </c>
      <c r="Y9" s="27" t="n">
        <f aca="false">AVERAGE(T9:T10)/100</f>
        <v>0.429313037792397</v>
      </c>
      <c r="Z9" s="29" t="n">
        <f aca="false">AVERAGE(U9:V10)/100</f>
        <v>0.0243065</v>
      </c>
      <c r="AA9" s="2" t="n">
        <f aca="false">SUM(W9:Z9)</f>
        <v>0.919652918855444</v>
      </c>
      <c r="AD9" s="0" t="n">
        <v>0.0508941309304672</v>
      </c>
      <c r="AE9" s="0" t="n">
        <v>0.456960405716371</v>
      </c>
      <c r="AF9" s="0" t="n">
        <v>0.467838963353162</v>
      </c>
      <c r="AG9" s="0" t="n">
        <v>0.0243065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2.7302</v>
      </c>
      <c r="E10" s="20" t="n">
        <v>300</v>
      </c>
      <c r="F10" s="20" t="n">
        <v>2.9172</v>
      </c>
      <c r="G10" s="19" t="n">
        <f aca="false">1000-E10</f>
        <v>700</v>
      </c>
      <c r="H10" s="20" t="n">
        <v>3.5375</v>
      </c>
      <c r="I10" s="22" t="n">
        <f aca="false">F10-D10</f>
        <v>0.187</v>
      </c>
      <c r="J10" s="22" t="n">
        <f aca="false">H10-F10</f>
        <v>0.6203</v>
      </c>
      <c r="K10" s="22" t="n">
        <f aca="false">J10+I10</f>
        <v>0.8073</v>
      </c>
      <c r="L10" s="23" t="n">
        <v>171.7825</v>
      </c>
      <c r="M10" s="23" t="n">
        <v>1660.7784</v>
      </c>
      <c r="N10" s="23" t="n">
        <v>1639.6831</v>
      </c>
      <c r="O10" s="24" t="n">
        <f aca="false">(L10/$F$2)^(1/$F$3)</f>
        <v>1.08464702888529</v>
      </c>
      <c r="P10" s="24" t="n">
        <f aca="false">(M10/$G$2)^(1/$G$3)</f>
        <v>9.74681042201461</v>
      </c>
      <c r="Q10" s="24" t="n">
        <f aca="false">(N10/$H$2)^(1/$H$3)</f>
        <v>9.97597734752549</v>
      </c>
      <c r="R10" s="25" t="n">
        <f aca="false">O10*$K10/$I10</f>
        <v>4.68254302897912</v>
      </c>
      <c r="S10" s="25" t="n">
        <f aca="false">P10*$K10/$I10</f>
        <v>42.0780751534353</v>
      </c>
      <c r="T10" s="26" t="n">
        <f aca="false">Q10*$K10/$I10</f>
        <v>43.067414506189</v>
      </c>
      <c r="U10" s="27" t="n">
        <v>2.471</v>
      </c>
      <c r="V10" s="27"/>
      <c r="W10" s="32"/>
      <c r="X10" s="2"/>
      <c r="Y10" s="2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2.7171</v>
      </c>
      <c r="E11" s="34" t="n">
        <v>100</v>
      </c>
      <c r="F11" s="34" t="n">
        <v>2.9165</v>
      </c>
      <c r="G11" s="30" t="n">
        <f aca="false">1000-E11</f>
        <v>900</v>
      </c>
      <c r="H11" s="34" t="n">
        <v>3.5383</v>
      </c>
      <c r="I11" s="35" t="n">
        <f aca="false">F11-D11</f>
        <v>0.1994</v>
      </c>
      <c r="J11" s="35" t="n">
        <f aca="false">H11-F11</f>
        <v>0.6218</v>
      </c>
      <c r="K11" s="35" t="n">
        <f aca="false">J11+I11</f>
        <v>0.8212</v>
      </c>
      <c r="L11" s="40" t="n">
        <v>4.0029</v>
      </c>
      <c r="M11" s="40" t="n">
        <v>1.4989</v>
      </c>
      <c r="N11" s="36" t="n">
        <v>0.6946</v>
      </c>
      <c r="O11" s="37" t="n">
        <f aca="false">(L11/$F$2)^(1/$F$3)</f>
        <v>0.0308958006498731</v>
      </c>
      <c r="P11" s="37" t="n">
        <f aca="false">(M11/$G$2)^(1/$G$3)</f>
        <v>0.011340444101167</v>
      </c>
      <c r="Q11" s="37" t="n">
        <f aca="false">(N11/$H$2)^(1/$H$3)</f>
        <v>0.00593320666848319</v>
      </c>
      <c r="R11" s="38" t="n">
        <f aca="false">O11*$K11/$I11</f>
        <v>0.127239877099678</v>
      </c>
      <c r="S11" s="38" t="n">
        <f aca="false">P11*$K11/$I11</f>
        <v>0.0467039754056084</v>
      </c>
      <c r="T11" s="39" t="n">
        <f aca="false">Q11*$K11/$I11</f>
        <v>0.024435051736</v>
      </c>
      <c r="U11" s="2" t="n">
        <v>97.4397</v>
      </c>
      <c r="V11" s="2"/>
      <c r="W11" s="32" t="n">
        <f aca="false">AVERAGE(R11:R12)/100</f>
        <v>0.00127334957867731</v>
      </c>
      <c r="X11" s="2" t="n">
        <f aca="false">AVERAGE(S11:S12)/100</f>
        <v>0.000462548994379192</v>
      </c>
      <c r="Y11" s="2" t="n">
        <f aca="false">AVERAGE(T11:T12)/100</f>
        <v>0.000237586722399035</v>
      </c>
      <c r="Z11" s="33" t="n">
        <f aca="false">AVERAGE(U11:V12)/100</f>
        <v>0.981899</v>
      </c>
      <c r="AA11" s="2" t="n">
        <f aca="false">SUM(W11:Z11)</f>
        <v>0.983872485295456</v>
      </c>
      <c r="AD11" s="0" t="n">
        <v>0.00127334957867731</v>
      </c>
      <c r="AE11" s="0" t="n">
        <v>0.000462548994379192</v>
      </c>
      <c r="AF11" s="0" t="n">
        <v>0.000237586722399035</v>
      </c>
      <c r="AG11" s="0" t="n">
        <v>0.998026514704545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2.7208</v>
      </c>
      <c r="E12" s="34" t="n">
        <v>100</v>
      </c>
      <c r="F12" s="34" t="n">
        <v>2.9277</v>
      </c>
      <c r="G12" s="30" t="n">
        <f aca="false">1000-E12</f>
        <v>900</v>
      </c>
      <c r="H12" s="34" t="n">
        <v>3.5449</v>
      </c>
      <c r="I12" s="35" t="n">
        <f aca="false">F12-D12</f>
        <v>0.2069</v>
      </c>
      <c r="J12" s="35" t="n">
        <f aca="false">H12-F12</f>
        <v>0.6172</v>
      </c>
      <c r="K12" s="35" t="n">
        <f aca="false">J12+I12</f>
        <v>0.8241</v>
      </c>
      <c r="L12" s="36" t="n">
        <v>4.1532</v>
      </c>
      <c r="M12" s="36" t="n">
        <v>1.5208</v>
      </c>
      <c r="N12" s="36" t="n">
        <v>0.6777</v>
      </c>
      <c r="O12" s="37" t="n">
        <f aca="false">(L12/$F$2)^(1/$F$3)</f>
        <v>0.0319928103309594</v>
      </c>
      <c r="P12" s="37" t="n">
        <f aca="false">(M12/$G$2)^(1/$G$3)</f>
        <v>0.0115000908578942</v>
      </c>
      <c r="Q12" s="37" t="n">
        <f aca="false">(N12/$H$2)^(1/$H$3)</f>
        <v>0.00579508114148001</v>
      </c>
      <c r="R12" s="38" t="n">
        <f aca="false">O12*$K12/$I12</f>
        <v>0.127430038635783</v>
      </c>
      <c r="S12" s="38" t="n">
        <f aca="false">P12*$K12/$I12</f>
        <v>0.0458058234702301</v>
      </c>
      <c r="T12" s="39" t="n">
        <f aca="false">Q12*$K12/$I12</f>
        <v>0.023082292743807</v>
      </c>
      <c r="U12" s="2" t="n">
        <v>98.9401</v>
      </c>
      <c r="V12" s="2"/>
      <c r="W12" s="32"/>
      <c r="X12" s="2"/>
      <c r="Y12" s="2"/>
      <c r="Z12" s="33"/>
      <c r="AA12" s="2"/>
    </row>
    <row r="13" customFormat="false" ht="14.25" hidden="false" customHeight="true" outlineLevel="0" collapsed="false">
      <c r="A13" s="18" t="s">
        <v>44</v>
      </c>
      <c r="B13" s="19" t="s">
        <v>32</v>
      </c>
      <c r="C13" s="20" t="n">
        <v>9</v>
      </c>
      <c r="D13" s="19" t="n">
        <v>2.8184</v>
      </c>
      <c r="E13" s="19" t="n">
        <v>300</v>
      </c>
      <c r="F13" s="20" t="n">
        <v>2.9999</v>
      </c>
      <c r="G13" s="19" t="n">
        <f aca="false">1000-E13</f>
        <v>700</v>
      </c>
      <c r="H13" s="20" t="n">
        <v>3.6119</v>
      </c>
      <c r="I13" s="22" t="n">
        <f aca="false">F13-D13</f>
        <v>0.1815</v>
      </c>
      <c r="J13" s="22" t="n">
        <f aca="false">H13-F13</f>
        <v>0.612</v>
      </c>
      <c r="K13" s="22" t="n">
        <f aca="false">J13+I13</f>
        <v>0.7935</v>
      </c>
      <c r="L13" s="23" t="n">
        <v>1858.8765</v>
      </c>
      <c r="M13" s="23" t="n">
        <v>791.5177</v>
      </c>
      <c r="N13" s="23" t="n">
        <v>783.8797</v>
      </c>
      <c r="O13" s="24" t="n">
        <f aca="false">(L13/$F$2)^(1/$F$3)</f>
        <v>10.3349485228905</v>
      </c>
      <c r="P13" s="24" t="n">
        <f aca="false">(M13/$G$2)^(1/$G$3)</f>
        <v>4.77169234756343</v>
      </c>
      <c r="Q13" s="24" t="n">
        <f aca="false">(N13/$H$2)^(1/$H$3)</f>
        <v>4.92546532816537</v>
      </c>
      <c r="R13" s="25" t="n">
        <f aca="false">O13*$K13/$I13</f>
        <v>45.1833699885048</v>
      </c>
      <c r="S13" s="25" t="n">
        <f aca="false">P13*$K13/$I13</f>
        <v>20.86136571786</v>
      </c>
      <c r="T13" s="26" t="n">
        <f aca="false">Q13*$K13/$I13</f>
        <v>21.5336459388387</v>
      </c>
      <c r="U13" s="27" t="n">
        <v>4.4629</v>
      </c>
      <c r="V13" s="27"/>
      <c r="W13" s="28" t="n">
        <f aca="false">AVERAGE(R13:R14)/100</f>
        <v>0.451376662918962</v>
      </c>
      <c r="X13" s="27" t="n">
        <f aca="false">AVERAGE(S13:S14)/100</f>
        <v>0.208428171601451</v>
      </c>
      <c r="Y13" s="27" t="n">
        <f aca="false">AVERAGE(T13:T14)/100</f>
        <v>0.215177791899499</v>
      </c>
      <c r="Z13" s="29" t="n">
        <f aca="false">AVERAGE(U13:V14)/100</f>
        <v>0.044105</v>
      </c>
      <c r="AA13" s="2" t="n">
        <f aca="false">SUM(W13:Z13)</f>
        <v>0.919087626419912</v>
      </c>
      <c r="AD13" s="0" t="n">
        <v>0.493116871321574</v>
      </c>
      <c r="AE13" s="0" t="n">
        <v>0.227702174965648</v>
      </c>
      <c r="AF13" s="0" t="n">
        <v>0.235075953712777</v>
      </c>
      <c r="AG13" s="0" t="n">
        <v>0.044105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2.6975</v>
      </c>
      <c r="E14" s="20" t="n">
        <v>300</v>
      </c>
      <c r="F14" s="20" t="n">
        <v>2.8958</v>
      </c>
      <c r="G14" s="19" t="n">
        <f aca="false">1000-E14</f>
        <v>700</v>
      </c>
      <c r="H14" s="20" t="n">
        <v>3.5458</v>
      </c>
      <c r="I14" s="22" t="n">
        <f aca="false">F14-D14</f>
        <v>0.1983</v>
      </c>
      <c r="J14" s="22" t="n">
        <f aca="false">H14-F14</f>
        <v>0.65</v>
      </c>
      <c r="K14" s="22" t="n">
        <f aca="false">J14+I14</f>
        <v>0.8483</v>
      </c>
      <c r="L14" s="23" t="n">
        <v>1898.0075</v>
      </c>
      <c r="M14" s="23" t="n">
        <v>808.0852</v>
      </c>
      <c r="N14" s="23" t="n">
        <v>800.672</v>
      </c>
      <c r="O14" s="24" t="n">
        <f aca="false">(L14/$F$2)^(1/$F$3)</f>
        <v>10.5407711689798</v>
      </c>
      <c r="P14" s="24" t="n">
        <f aca="false">(M14/$G$2)^(1/$G$3)</f>
        <v>4.86791519964862</v>
      </c>
      <c r="Q14" s="24" t="n">
        <f aca="false">(N14/$H$2)^(1/$H$3)</f>
        <v>5.02632233533233</v>
      </c>
      <c r="R14" s="25" t="n">
        <f aca="false">O14*$K14/$I14</f>
        <v>45.0919625952876</v>
      </c>
      <c r="S14" s="25" t="n">
        <f aca="false">P14*$K14/$I14</f>
        <v>20.8242686024303</v>
      </c>
      <c r="T14" s="26" t="n">
        <f aca="false">Q14*$K14/$I14</f>
        <v>21.5019124410611</v>
      </c>
      <c r="U14" s="27" t="n">
        <v>4.3581</v>
      </c>
      <c r="V14" s="27"/>
      <c r="W14" s="32"/>
      <c r="X14" s="2"/>
      <c r="Y14" s="2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2.7637</v>
      </c>
      <c r="E15" s="34" t="n">
        <v>100</v>
      </c>
      <c r="F15" s="34" t="n">
        <v>2.9687</v>
      </c>
      <c r="G15" s="30" t="n">
        <f aca="false">1000-E15</f>
        <v>900</v>
      </c>
      <c r="H15" s="34" t="n">
        <v>3.6076</v>
      </c>
      <c r="I15" s="35" t="n">
        <f aca="false">F15-D15</f>
        <v>0.205</v>
      </c>
      <c r="J15" s="35" t="n">
        <f aca="false">H15-F15</f>
        <v>0.6389</v>
      </c>
      <c r="K15" s="35" t="n">
        <f aca="false">J15+I15</f>
        <v>0.8439</v>
      </c>
      <c r="L15" s="36" t="n">
        <v>47.7115</v>
      </c>
      <c r="M15" s="36" t="n">
        <v>0.5293</v>
      </c>
      <c r="N15" s="41" t="n">
        <v>0.4396</v>
      </c>
      <c r="O15" s="37" t="n">
        <f aca="false">(L15/$F$2)^(1/$F$3)</f>
        <v>0.322592018903776</v>
      </c>
      <c r="P15" s="37" t="n">
        <f aca="false">(M15/$G$2)^(1/$G$3)</f>
        <v>0.00415851482801292</v>
      </c>
      <c r="Q15" s="37" t="n">
        <f aca="false">(N15/$H$2)^(1/$H$3)</f>
        <v>0.00383082306898614</v>
      </c>
      <c r="R15" s="38" t="n">
        <f aca="false">O15*$K15/$I15</f>
        <v>1.32797758416047</v>
      </c>
      <c r="S15" s="38" t="n">
        <f aca="false">P15*$K15/$I15</f>
        <v>0.0171188812846834</v>
      </c>
      <c r="T15" s="39" t="n">
        <f aca="false">Q15*$K15/$I15</f>
        <v>0.015769910184963</v>
      </c>
      <c r="U15" s="2" t="n">
        <v>99.7309</v>
      </c>
      <c r="V15" s="2"/>
      <c r="W15" s="32" t="n">
        <f aca="false">AVERAGE(R15:R16)/100</f>
        <v>0.0133929691462078</v>
      </c>
      <c r="X15" s="2" t="n">
        <f aca="false">AVERAGE(S15:S16)/100</f>
        <v>0.000176970281941239</v>
      </c>
      <c r="Y15" s="2" t="n">
        <f aca="false">AVERAGE(T15:T16)/100</f>
        <v>0.000163486295835889</v>
      </c>
      <c r="Z15" s="33" t="n">
        <f aca="false">AVERAGE(U15:V16)/100</f>
        <v>0.9939365</v>
      </c>
      <c r="AA15" s="2" t="n">
        <f aca="false">SUM(W15:Z15)</f>
        <v>1.00766992572399</v>
      </c>
      <c r="AD15" s="0" t="n">
        <v>0.0133929691462078</v>
      </c>
      <c r="AE15" s="0" t="n">
        <v>0.000176970281941239</v>
      </c>
      <c r="AF15" s="0" t="n">
        <v>0.000163486295835889</v>
      </c>
      <c r="AG15" s="0" t="n">
        <v>0.986266574276015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2.7028</v>
      </c>
      <c r="E16" s="34" t="n">
        <v>100</v>
      </c>
      <c r="F16" s="34" t="n">
        <v>2.9102</v>
      </c>
      <c r="G16" s="30" t="n">
        <f aca="false">1000-E16</f>
        <v>900</v>
      </c>
      <c r="H16" s="34" t="n">
        <v>3.5749</v>
      </c>
      <c r="I16" s="35" t="n">
        <f aca="false">F16-D16</f>
        <v>0.2074</v>
      </c>
      <c r="J16" s="35" t="n">
        <f aca="false">H16-F16</f>
        <v>0.6647</v>
      </c>
      <c r="K16" s="35" t="n">
        <f aca="false">J16+I16</f>
        <v>0.8721</v>
      </c>
      <c r="L16" s="36" t="n">
        <v>47.4939</v>
      </c>
      <c r="M16" s="36" t="n">
        <v>0.5541</v>
      </c>
      <c r="N16" s="36" t="n">
        <v>0.463</v>
      </c>
      <c r="O16" s="37" t="n">
        <f aca="false">(L16/$F$2)^(1/$F$3)</f>
        <v>0.321199184990046</v>
      </c>
      <c r="P16" s="37" t="n">
        <f aca="false">(M16/$G$2)^(1/$G$3)</f>
        <v>0.00434614300708547</v>
      </c>
      <c r="Q16" s="37" t="n">
        <f aca="false">(N16/$H$2)^(1/$H$3)</f>
        <v>0.00402560736029281</v>
      </c>
      <c r="R16" s="38" t="n">
        <f aca="false">O16*$K16/$I16</f>
        <v>1.3506162450811</v>
      </c>
      <c r="S16" s="38" t="n">
        <f aca="false">P16*$K16/$I16</f>
        <v>0.0182751751035643</v>
      </c>
      <c r="T16" s="39" t="n">
        <f aca="false">Q16*$K16/$I16</f>
        <v>0.0169273489822149</v>
      </c>
      <c r="U16" s="2" t="n">
        <v>99.0564</v>
      </c>
      <c r="V16" s="2"/>
      <c r="W16" s="32"/>
      <c r="X16" s="2"/>
      <c r="Y16" s="2"/>
      <c r="Z16" s="33"/>
      <c r="AA16" s="2"/>
    </row>
    <row r="17" customFormat="false" ht="14.25" hidden="false" customHeight="true" outlineLevel="0" collapsed="false">
      <c r="A17" s="18" t="s">
        <v>45</v>
      </c>
      <c r="B17" s="19" t="s">
        <v>32</v>
      </c>
      <c r="C17" s="20" t="n">
        <v>13</v>
      </c>
      <c r="D17" s="19" t="n">
        <v>2.7304</v>
      </c>
      <c r="E17" s="19" t="n">
        <v>300</v>
      </c>
      <c r="F17" s="20" t="n">
        <v>2.9163</v>
      </c>
      <c r="G17" s="19" t="n">
        <f aca="false">1000-E17</f>
        <v>700</v>
      </c>
      <c r="H17" s="20" t="n">
        <v>3.4647</v>
      </c>
      <c r="I17" s="22" t="n">
        <f aca="false">F17-D17</f>
        <v>0.1859</v>
      </c>
      <c r="J17" s="22" t="n">
        <f aca="false">H17-F17</f>
        <v>0.5484</v>
      </c>
      <c r="K17" s="22" t="n">
        <f aca="false">J17+I17</f>
        <v>0.7343</v>
      </c>
      <c r="L17" s="23" t="n">
        <v>1162.8725</v>
      </c>
      <c r="M17" s="23" t="n">
        <v>1349.5319</v>
      </c>
      <c r="N17" s="23" t="n">
        <v>1339.1162</v>
      </c>
      <c r="O17" s="24" t="n">
        <f aca="false">(L17/$F$2)^(1/$F$3)</f>
        <v>6.62937681901853</v>
      </c>
      <c r="P17" s="24" t="n">
        <f aca="false">(M17/$G$2)^(1/$G$3)</f>
        <v>7.97993638578231</v>
      </c>
      <c r="Q17" s="24" t="n">
        <f aca="false">(N17/$H$2)^(1/$H$3)</f>
        <v>8.21969593388061</v>
      </c>
      <c r="R17" s="25" t="n">
        <f aca="false">O17*$K17/$I17</f>
        <v>26.185860130206</v>
      </c>
      <c r="S17" s="25" t="n">
        <f aca="false">P17*$K17/$I17</f>
        <v>31.5205340940288</v>
      </c>
      <c r="T17" s="26" t="n">
        <f aca="false">Q17*$K17/$I17</f>
        <v>32.4675778604009</v>
      </c>
      <c r="U17" s="27" t="n">
        <v>3.3914</v>
      </c>
      <c r="V17" s="27"/>
      <c r="W17" s="32" t="n">
        <f aca="false">AVERAGE(R17:R18)/100</f>
        <v>0.265342856726465</v>
      </c>
      <c r="X17" s="2" t="n">
        <f aca="false">AVERAGE(S17:S18)/100</f>
        <v>0.319428671211128</v>
      </c>
      <c r="Y17" s="2" t="n">
        <f aca="false">AVERAGE(T17:T18)/100</f>
        <v>0.328949143173593</v>
      </c>
      <c r="Z17" s="33" t="n">
        <f aca="false">AVERAGE(U17:V18)/100</f>
        <v>0.0334115</v>
      </c>
      <c r="AA17" s="2" t="n">
        <f aca="false">SUM(W17:Z17)</f>
        <v>0.947132171111186</v>
      </c>
      <c r="AD17" s="0" t="n">
        <v>0.280695580146002</v>
      </c>
      <c r="AE17" s="0" t="n">
        <v>0.337910796947907</v>
      </c>
      <c r="AF17" s="0" t="n">
        <v>0.347982122906091</v>
      </c>
      <c r="AG17" s="0" t="n">
        <v>0.0334115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2.7801</v>
      </c>
      <c r="E18" s="20" t="n">
        <v>300</v>
      </c>
      <c r="F18" s="20" t="n">
        <v>2.9755</v>
      </c>
      <c r="G18" s="19" t="n">
        <f aca="false">1000-E18</f>
        <v>700</v>
      </c>
      <c r="H18" s="20" t="n">
        <v>3.543</v>
      </c>
      <c r="I18" s="22" t="n">
        <f aca="false">F18-D18</f>
        <v>0.1954</v>
      </c>
      <c r="J18" s="22" t="n">
        <f aca="false">H18-F18</f>
        <v>0.5675</v>
      </c>
      <c r="K18" s="22" t="n">
        <f aca="false">J18+I18</f>
        <v>0.7629</v>
      </c>
      <c r="L18" s="23" t="n">
        <v>1210.3701</v>
      </c>
      <c r="M18" s="23" t="n">
        <v>1403.9143</v>
      </c>
      <c r="N18" s="23" t="n">
        <v>1392.8362</v>
      </c>
      <c r="O18" s="24" t="n">
        <f aca="false">(L18/$F$2)^(1/$F$3)</f>
        <v>6.88541325393628</v>
      </c>
      <c r="P18" s="24" t="n">
        <f aca="false">(M18/$G$2)^(1/$G$3)</f>
        <v>8.28963181145322</v>
      </c>
      <c r="Q18" s="24" t="n">
        <f aca="false">(N18/$H$2)^(1/$H$3)</f>
        <v>8.53475920999041</v>
      </c>
      <c r="R18" s="25" t="n">
        <f aca="false">O18*$K18/$I18</f>
        <v>26.882711215087</v>
      </c>
      <c r="S18" s="25" t="n">
        <f aca="false">P18*$K18/$I18</f>
        <v>32.3652001481969</v>
      </c>
      <c r="T18" s="26" t="n">
        <f aca="false">Q18*$K18/$I18</f>
        <v>33.3222507743178</v>
      </c>
      <c r="U18" s="27" t="n">
        <v>3.2909</v>
      </c>
      <c r="V18" s="27"/>
      <c r="W18" s="32"/>
      <c r="X18" s="2"/>
      <c r="Y18" s="2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2.736</v>
      </c>
      <c r="E19" s="34" t="n">
        <v>100</v>
      </c>
      <c r="F19" s="34" t="n">
        <v>2.9398</v>
      </c>
      <c r="G19" s="30" t="n">
        <f aca="false">1000-E19</f>
        <v>900</v>
      </c>
      <c r="H19" s="34" t="n">
        <v>3.5197</v>
      </c>
      <c r="I19" s="35" t="n">
        <f aca="false">F19-D19</f>
        <v>0.2038</v>
      </c>
      <c r="J19" s="35" t="n">
        <f aca="false">H19-F19</f>
        <v>0.5799</v>
      </c>
      <c r="K19" s="35" t="n">
        <f aca="false">J19+I19</f>
        <v>0.7837</v>
      </c>
      <c r="L19" s="36" t="n">
        <v>30.11</v>
      </c>
      <c r="M19" s="36" t="n">
        <v>1.1737</v>
      </c>
      <c r="N19" s="36" t="n">
        <v>0.7942</v>
      </c>
      <c r="O19" s="37" t="n">
        <f aca="false">(L19/$F$2)^(1/$F$3)</f>
        <v>0.208651158950355</v>
      </c>
      <c r="P19" s="37" t="n">
        <f aca="false">(M19/$G$2)^(1/$G$3)</f>
        <v>0.00895906729416209</v>
      </c>
      <c r="Q19" s="37" t="n">
        <f aca="false">(N19/$H$2)^(1/$H$3)</f>
        <v>0.00674438228713089</v>
      </c>
      <c r="R19" s="38" t="n">
        <f aca="false">O19*$K19/$I19</f>
        <v>0.802354824678084</v>
      </c>
      <c r="S19" s="38" t="n">
        <f aca="false">P19*$K19/$I19</f>
        <v>0.0344515261944791</v>
      </c>
      <c r="T19" s="39" t="n">
        <f aca="false">Q19*$K19/$I19</f>
        <v>0.0259350951836334</v>
      </c>
      <c r="U19" s="2" t="n">
        <v>98.2495</v>
      </c>
      <c r="V19" s="2"/>
      <c r="W19" s="32" t="n">
        <f aca="false">AVERAGE(R19:R20)/100</f>
        <v>0.00825535359714553</v>
      </c>
      <c r="X19" s="2" t="n">
        <f aca="false">AVERAGE(S19:S20)/100</f>
        <v>0.00078494631571017</v>
      </c>
      <c r="Y19" s="2" t="n">
        <f aca="false">AVERAGE(T19:T20)/100</f>
        <v>0.000729409742336783</v>
      </c>
      <c r="Z19" s="33" t="n">
        <f aca="false">AVERAGE(U19:V20)/100</f>
        <v>0.9881925</v>
      </c>
      <c r="AA19" s="2" t="n">
        <f aca="false">SUM(W19:Z19)</f>
        <v>0.997962209655192</v>
      </c>
      <c r="AD19" s="0" t="n">
        <v>0.00825535359714553</v>
      </c>
      <c r="AE19" s="0" t="n">
        <v>0.00078494631571017</v>
      </c>
      <c r="AF19" s="0" t="n">
        <v>0.000729409742336783</v>
      </c>
      <c r="AG19" s="0" t="n">
        <v>0.990230290344808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2.744</v>
      </c>
      <c r="E20" s="34" t="n">
        <v>100</v>
      </c>
      <c r="F20" s="34" t="n">
        <v>2.9481</v>
      </c>
      <c r="G20" s="30" t="n">
        <f aca="false">1000-E20</f>
        <v>900</v>
      </c>
      <c r="H20" s="34" t="n">
        <v>3.5278</v>
      </c>
      <c r="I20" s="35" t="n">
        <f aca="false">F20-D20</f>
        <v>0.2041</v>
      </c>
      <c r="J20" s="35" t="n">
        <f aca="false">H20-F20</f>
        <v>0.5797</v>
      </c>
      <c r="K20" s="35" t="n">
        <f aca="false">J20+I20</f>
        <v>0.7838</v>
      </c>
      <c r="L20" s="36" t="n">
        <v>31.9963</v>
      </c>
      <c r="M20" s="36" t="n">
        <v>4.3847</v>
      </c>
      <c r="N20" s="36" t="n">
        <v>3.9448</v>
      </c>
      <c r="O20" s="37" t="n">
        <f aca="false">(L20/$F$2)^(1/$F$3)</f>
        <v>0.221003973103705</v>
      </c>
      <c r="P20" s="37" t="n">
        <f aca="false">(M20/$G$2)^(1/$G$3)</f>
        <v>0.031908589067359</v>
      </c>
      <c r="Q20" s="37" t="n">
        <f aca="false">(N20/$H$2)^(1/$H$3)</f>
        <v>0.0312339279857207</v>
      </c>
      <c r="R20" s="38" t="n">
        <f aca="false">O20*$K20/$I20</f>
        <v>0.848715894751023</v>
      </c>
      <c r="S20" s="38" t="n">
        <f aca="false">P20*$K20/$I20</f>
        <v>0.122537736947555</v>
      </c>
      <c r="T20" s="39" t="n">
        <f aca="false">Q20*$K20/$I20</f>
        <v>0.119946853283723</v>
      </c>
      <c r="U20" s="2" t="n">
        <v>99.389</v>
      </c>
      <c r="V20" s="2"/>
      <c r="W20" s="32"/>
      <c r="X20" s="2"/>
      <c r="Y20" s="2"/>
      <c r="Z20" s="33"/>
      <c r="AA20" s="2"/>
    </row>
    <row r="21" customFormat="false" ht="14.25" hidden="false" customHeight="true" outlineLevel="0" collapsed="false">
      <c r="A21" s="18" t="s">
        <v>46</v>
      </c>
      <c r="B21" s="19" t="s">
        <v>32</v>
      </c>
      <c r="C21" s="20" t="n">
        <v>17</v>
      </c>
      <c r="D21" s="19" t="n">
        <v>2.7303</v>
      </c>
      <c r="E21" s="19" t="n">
        <v>300</v>
      </c>
      <c r="F21" s="20" t="n">
        <v>2.9152</v>
      </c>
      <c r="G21" s="19" t="n">
        <f aca="false">1000-E21</f>
        <v>700</v>
      </c>
      <c r="H21" s="20" t="n">
        <v>3.4772</v>
      </c>
      <c r="I21" s="22" t="n">
        <f aca="false">F21-D21</f>
        <v>0.1849</v>
      </c>
      <c r="J21" s="22" t="n">
        <f aca="false">H21-F21</f>
        <v>0.562</v>
      </c>
      <c r="K21" s="22" t="n">
        <f aca="false">J21+I21</f>
        <v>0.7469</v>
      </c>
      <c r="L21" s="23" t="n">
        <v>2751.9239</v>
      </c>
      <c r="M21" s="23" t="n">
        <v>474.2914</v>
      </c>
      <c r="N21" s="23" t="n">
        <v>464.3203</v>
      </c>
      <c r="O21" s="24" t="n">
        <f aca="false">(L21/$F$2)^(1/$F$3)</f>
        <v>14.9827672067849</v>
      </c>
      <c r="P21" s="24" t="n">
        <f aca="false">(M21/$G$2)^(1/$G$3)</f>
        <v>2.91283159486088</v>
      </c>
      <c r="Q21" s="24" t="n">
        <f aca="false">(N21/$H$2)^(1/$H$3)</f>
        <v>2.98504892019895</v>
      </c>
      <c r="R21" s="25" t="n">
        <f aca="false">O21*$K21/$I21</f>
        <v>60.52260046916</v>
      </c>
      <c r="S21" s="25" t="n">
        <f aca="false">P21*$K21/$I21</f>
        <v>11.7663273023342</v>
      </c>
      <c r="T21" s="26" t="n">
        <f aca="false">Q21*$K21/$I21</f>
        <v>12.0580478014959</v>
      </c>
      <c r="U21" s="27" t="n">
        <v>5.883</v>
      </c>
      <c r="V21" s="27"/>
      <c r="W21" s="28" t="n">
        <f aca="false">AVERAGE(R21:R22)/100</f>
        <v>0.610501671467566</v>
      </c>
      <c r="X21" s="27" t="n">
        <f aca="false">AVERAGE(S21:S22)/100</f>
        <v>0.118980912136057</v>
      </c>
      <c r="Y21" s="27" t="n">
        <f aca="false">AVERAGE(T21:T22)/100</f>
        <v>0.121720499722465</v>
      </c>
      <c r="Z21" s="29" t="n">
        <f aca="false">AVERAGE(U21:V22)/100</f>
        <v>0.0581</v>
      </c>
      <c r="AA21" s="2" t="n">
        <f aca="false">SUM(W21:Z21)</f>
        <v>0.909303083326088</v>
      </c>
      <c r="AD21" s="0" t="n">
        <v>0.675551505415555</v>
      </c>
      <c r="AE21" s="0" t="n">
        <v>0.131658499993966</v>
      </c>
      <c r="AF21" s="0" t="n">
        <v>0.134689994590479</v>
      </c>
      <c r="AG21" s="0" t="n">
        <v>0.0581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2.7638</v>
      </c>
      <c r="E22" s="20" t="n">
        <v>300</v>
      </c>
      <c r="F22" s="20" t="n">
        <v>2.9464</v>
      </c>
      <c r="G22" s="19" t="n">
        <f aca="false">1000-E22</f>
        <v>700</v>
      </c>
      <c r="H22" s="20" t="n">
        <v>3.5158</v>
      </c>
      <c r="I22" s="22" t="n">
        <f aca="false">F22-D22</f>
        <v>0.1826</v>
      </c>
      <c r="J22" s="22" t="n">
        <f aca="false">H22-F22</f>
        <v>0.5694</v>
      </c>
      <c r="K22" s="22" t="n">
        <f aca="false">J22+I22</f>
        <v>0.752</v>
      </c>
      <c r="L22" s="23" t="n">
        <v>2746.0033</v>
      </c>
      <c r="M22" s="23" t="n">
        <v>475.6849</v>
      </c>
      <c r="N22" s="23" t="n">
        <v>464.034</v>
      </c>
      <c r="O22" s="24" t="n">
        <f aca="false">(L22/$F$2)^(1/$F$3)</f>
        <v>14.9522529206475</v>
      </c>
      <c r="P22" s="24" t="n">
        <f aca="false">(M22/$G$2)^(1/$G$3)</f>
        <v>2.92107918324809</v>
      </c>
      <c r="Q22" s="24" t="n">
        <f aca="false">(N22/$H$2)^(1/$H$3)</f>
        <v>2.98328872514795</v>
      </c>
      <c r="R22" s="25" t="n">
        <f aca="false">O22*$K22/$I22</f>
        <v>61.5777338243533</v>
      </c>
      <c r="S22" s="25" t="n">
        <f aca="false">P22*$K22/$I22</f>
        <v>12.0298551248771</v>
      </c>
      <c r="T22" s="26" t="n">
        <f aca="false">Q22*$K22/$I22</f>
        <v>12.286052142997</v>
      </c>
      <c r="U22" s="27" t="n">
        <v>5.737</v>
      </c>
      <c r="V22" s="27"/>
      <c r="W22" s="32"/>
      <c r="X22" s="2"/>
      <c r="Y22" s="2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2.748</v>
      </c>
      <c r="E23" s="34" t="n">
        <v>100</v>
      </c>
      <c r="F23" s="34" t="n">
        <v>2.9478</v>
      </c>
      <c r="G23" s="30" t="n">
        <f aca="false">1000-E23</f>
        <v>900</v>
      </c>
      <c r="H23" s="34" t="n">
        <v>3.5237</v>
      </c>
      <c r="I23" s="35" t="n">
        <f aca="false">F23-D23</f>
        <v>0.1998</v>
      </c>
      <c r="J23" s="35" t="n">
        <f aca="false">H23-F23</f>
        <v>0.5759</v>
      </c>
      <c r="K23" s="35" t="n">
        <f aca="false">J23+I23</f>
        <v>0.7757</v>
      </c>
      <c r="L23" s="36" t="n">
        <v>76.3715</v>
      </c>
      <c r="M23" s="36" t="n">
        <v>1.1925</v>
      </c>
      <c r="N23" s="36" t="n">
        <v>1.1643</v>
      </c>
      <c r="O23" s="37" t="n">
        <f aca="false">(L23/$F$2)^(1/$F$3)</f>
        <v>0.503555722644206</v>
      </c>
      <c r="P23" s="37" t="n">
        <f aca="false">(M23/$G$2)^(1/$G$3)</f>
        <v>0.00909733194754559</v>
      </c>
      <c r="Q23" s="37" t="n">
        <f aca="false">(N23/$H$2)^(1/$H$3)</f>
        <v>0.00972342265882325</v>
      </c>
      <c r="R23" s="38" t="n">
        <f aca="false">O23*$K23/$I23</f>
        <v>1.9549958661417</v>
      </c>
      <c r="S23" s="38" t="n">
        <f aca="false">P23*$K23/$I23</f>
        <v>0.0353193212798355</v>
      </c>
      <c r="T23" s="39" t="n">
        <f aca="false">Q23*$K23/$I23</f>
        <v>0.0377500448270731</v>
      </c>
      <c r="U23" s="2" t="n">
        <v>98.2209</v>
      </c>
      <c r="V23" s="2"/>
      <c r="W23" s="32" t="n">
        <f aca="false">AVERAGE(R23:R24)/100</f>
        <v>0.0190419585548697</v>
      </c>
      <c r="X23" s="2" t="n">
        <f aca="false">AVERAGE(S23:S24)/100</f>
        <v>0.000267103120469415</v>
      </c>
      <c r="Y23" s="2" t="n">
        <f aca="false">AVERAGE(T23:T24)/100</f>
        <v>0.000286948741310364</v>
      </c>
      <c r="Z23" s="33" t="n">
        <f aca="false">AVERAGE(U23:V24)/100</f>
        <v>0.9787095</v>
      </c>
      <c r="AA23" s="2" t="n">
        <f aca="false">SUM(W23:Z23)</f>
        <v>0.998305510416649</v>
      </c>
      <c r="AD23" s="0" t="n">
        <v>0.0190419585548697</v>
      </c>
      <c r="AE23" s="0" t="n">
        <v>0.000267103120469416</v>
      </c>
      <c r="AF23" s="0" t="n">
        <v>0.000286948741310364</v>
      </c>
      <c r="AG23" s="0" t="n">
        <v>0.980403989583351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2.7552</v>
      </c>
      <c r="E24" s="34" t="n">
        <v>100</v>
      </c>
      <c r="F24" s="34" t="n">
        <v>2.9608</v>
      </c>
      <c r="G24" s="30" t="n">
        <f aca="false">1000-E24</f>
        <v>900</v>
      </c>
      <c r="H24" s="34" t="n">
        <v>3.5479</v>
      </c>
      <c r="I24" s="35" t="n">
        <f aca="false">F24-D24</f>
        <v>0.2056</v>
      </c>
      <c r="J24" s="35" t="n">
        <f aca="false">H24-F24</f>
        <v>0.5871</v>
      </c>
      <c r="K24" s="35" t="n">
        <f aca="false">J24+I24</f>
        <v>0.7927</v>
      </c>
      <c r="L24" s="36" t="n">
        <v>72.7157</v>
      </c>
      <c r="M24" s="36" t="n">
        <v>0.6003</v>
      </c>
      <c r="N24" s="36" t="n">
        <v>0.5922</v>
      </c>
      <c r="O24" s="37" t="n">
        <f aca="false">(L24/$F$2)^(1/$F$3)</f>
        <v>0.480709203604781</v>
      </c>
      <c r="P24" s="37" t="n">
        <f aca="false">(M24/$G$2)^(1/$G$3)</f>
        <v>0.00469487556272006</v>
      </c>
      <c r="Q24" s="37" t="n">
        <f aca="false">(N24/$H$2)^(1/$H$3)</f>
        <v>0.00509388548787176</v>
      </c>
      <c r="R24" s="38" t="n">
        <f aca="false">O24*$K24/$I24</f>
        <v>1.85339584483225</v>
      </c>
      <c r="S24" s="38" t="n">
        <f aca="false">P24*$K24/$I24</f>
        <v>0.0181013028140476</v>
      </c>
      <c r="T24" s="39" t="n">
        <f aca="false">Q24*$K24/$I24</f>
        <v>0.0196397034349997</v>
      </c>
      <c r="U24" s="42" t="n">
        <v>97.521</v>
      </c>
      <c r="V24" s="42"/>
      <c r="W24" s="43"/>
      <c r="X24" s="42"/>
      <c r="Y24" s="4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2.729</v>
      </c>
      <c r="F25" s="1" t="n">
        <v>2.989</v>
      </c>
      <c r="G25" s="2" t="n">
        <f aca="false">1000-E25</f>
        <v>1000</v>
      </c>
      <c r="H25" s="1" t="n">
        <v>3.4899</v>
      </c>
      <c r="I25" s="1" t="n">
        <f aca="false">F25-D25</f>
        <v>0.26</v>
      </c>
      <c r="J25" s="1" t="n">
        <f aca="false">H25-F25</f>
        <v>0.5009</v>
      </c>
      <c r="K25" s="1" t="n">
        <f aca="false">J25+I25</f>
        <v>0.7609</v>
      </c>
      <c r="M25" s="1" t="n">
        <v>2788.92</v>
      </c>
      <c r="N25" s="1" t="n">
        <v>2800.64</v>
      </c>
      <c r="P25" s="1" t="n">
        <f aca="false">(M25/$G$2)^(1/$G$3)</f>
        <v>16.0631389440853</v>
      </c>
      <c r="Q25" s="1" t="n">
        <f aca="false">(N25/$H$2)^(1/$H$3)</f>
        <v>16.6454516520611</v>
      </c>
      <c r="S25" s="1" t="n">
        <f aca="false">P25*$K25/$I25</f>
        <v>47.0093939329019</v>
      </c>
      <c r="T25" s="1" t="n">
        <f aca="false">Q25*$K25/$I25</f>
        <v>48.7135544694357</v>
      </c>
      <c r="U25" s="1" t="n">
        <v>2.1978</v>
      </c>
      <c r="X25" s="1" t="n">
        <f aca="false">AVERAGE(S25:S26)/100</f>
        <v>0.473015233292863</v>
      </c>
      <c r="Y25" s="1" t="n">
        <f aca="false">AVERAGE(T25:T26)/100</f>
        <v>0.48992493893955</v>
      </c>
      <c r="Z25" s="1" t="n">
        <f aca="false">AVERAGE(U25:V26)/100</f>
        <v>0.022118</v>
      </c>
      <c r="AA25" s="1" t="n">
        <f aca="false">SUM(W25:Z25)</f>
        <v>0.985058172232412</v>
      </c>
      <c r="AE25" s="1" t="n">
        <f aca="false">IFERROR(X25/$AA25,"")</f>
        <v>0.480190151837307</v>
      </c>
      <c r="AF25" s="1" t="n">
        <f aca="false">IFERROR(Y25/$AA25,"")</f>
        <v>0.497356351888585</v>
      </c>
      <c r="AG25" s="1" t="n">
        <f aca="false">IFERROR(Z25/$AA25,"")</f>
        <v>0.0224534962741079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2.7384</v>
      </c>
      <c r="F26" s="1" t="n">
        <v>3.01</v>
      </c>
      <c r="G26" s="2" t="n">
        <f aca="false">1000-E26</f>
        <v>1000</v>
      </c>
      <c r="H26" s="1" t="n">
        <v>3.4564</v>
      </c>
      <c r="I26" s="1" t="n">
        <f aca="false">F26-D26</f>
        <v>0.2716</v>
      </c>
      <c r="J26" s="1" t="n">
        <f aca="false">H26-F26</f>
        <v>0.4464</v>
      </c>
      <c r="K26" s="1" t="n">
        <f aca="false">J26+I26</f>
        <v>0.718</v>
      </c>
      <c r="M26" s="1" t="n">
        <v>3139.22</v>
      </c>
      <c r="N26" s="1" t="n">
        <v>3152.14</v>
      </c>
      <c r="P26" s="1" t="n">
        <f aca="false">(M26/$G$2)^(1/$G$3)</f>
        <v>18.0033928694877</v>
      </c>
      <c r="Q26" s="1" t="n">
        <f aca="false">(N26/$H$2)^(1/$H$3)</f>
        <v>18.6380519349549</v>
      </c>
      <c r="S26" s="1" t="n">
        <f aca="false">P26*$K26/$I26</f>
        <v>47.5936527256707</v>
      </c>
      <c r="T26" s="1" t="n">
        <f aca="false">Q26*$K26/$I26</f>
        <v>49.2714333184743</v>
      </c>
      <c r="U26" s="1" t="n">
        <v>2.2258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2.7726</v>
      </c>
      <c r="F27" s="1" t="n">
        <v>3.1952</v>
      </c>
      <c r="G27" s="2" t="n">
        <f aca="false">1000-E27</f>
        <v>1000</v>
      </c>
      <c r="H27" s="1" t="n">
        <v>3.6785</v>
      </c>
      <c r="I27" s="1" t="n">
        <f aca="false">F27-D27</f>
        <v>0.4226</v>
      </c>
      <c r="J27" s="1" t="n">
        <f aca="false">H27-F27</f>
        <v>0.4833</v>
      </c>
      <c r="K27" s="1" t="n">
        <f aca="false">J27+I27</f>
        <v>0.9059</v>
      </c>
      <c r="M27" s="1" t="n">
        <v>6.34</v>
      </c>
      <c r="N27" s="1" t="n">
        <v>2.99</v>
      </c>
      <c r="P27" s="1" t="n">
        <f aca="false">(M27/$G$2)^(1/$G$3)</f>
        <v>0.0455254879098827</v>
      </c>
      <c r="Q27" s="1" t="n">
        <f aca="false">(N27/$H$2)^(1/$H$3)</f>
        <v>0.023962424894358</v>
      </c>
      <c r="S27" s="1" t="n">
        <f aca="false">P27*$K27/$I27</f>
        <v>0.0975900130089038</v>
      </c>
      <c r="T27" s="1" t="n">
        <f aca="false">Q27*$K27/$I27</f>
        <v>0.0513666841263581</v>
      </c>
      <c r="X27" s="1" t="n">
        <f aca="false">AVERAGE(S27:S28)/100</f>
        <v>0.00355303269532338</v>
      </c>
      <c r="Y27" s="1" t="n">
        <f aca="false">AVERAGE(T27:T28)/100</f>
        <v>0.00295460225738688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2.7355</v>
      </c>
      <c r="F28" s="1" t="n">
        <v>2.974</v>
      </c>
      <c r="G28" s="2" t="n">
        <f aca="false">1000-E28</f>
        <v>1000</v>
      </c>
      <c r="H28" s="1" t="n">
        <v>3.4239</v>
      </c>
      <c r="I28" s="1" t="n">
        <f aca="false">F28-D28</f>
        <v>0.2385</v>
      </c>
      <c r="J28" s="1" t="n">
        <f aca="false">H28-F28</f>
        <v>0.4499</v>
      </c>
      <c r="K28" s="1" t="n">
        <f aca="false">J28+I28</f>
        <v>0.6884</v>
      </c>
      <c r="M28" s="1" t="n">
        <v>31.34</v>
      </c>
      <c r="N28" s="1" t="n">
        <v>25.62</v>
      </c>
      <c r="P28" s="1" t="n">
        <f aca="false">(M28/$G$2)^(1/$G$3)</f>
        <v>0.212382977141635</v>
      </c>
      <c r="Q28" s="1" t="n">
        <f aca="false">(N28/$H$2)^(1/$H$3)</f>
        <v>0.186931396736226</v>
      </c>
      <c r="S28" s="1" t="n">
        <f aca="false">P28*$K28/$I28</f>
        <v>0.613016526055772</v>
      </c>
      <c r="T28" s="1" t="n">
        <f aca="false">Q28*$K28/$I28</f>
        <v>0.539553767351019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47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156.413729</v>
      </c>
      <c r="H2" s="4" t="n">
        <v>164.347912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1.03759299</v>
      </c>
      <c r="H3" s="1" t="n">
        <v>1.02652889</v>
      </c>
      <c r="M3" s="1" t="s">
        <v>4</v>
      </c>
      <c r="N3" s="1" t="s">
        <v>48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49</v>
      </c>
      <c r="B5" s="19" t="s">
        <v>32</v>
      </c>
      <c r="C5" s="20" t="n">
        <v>1</v>
      </c>
      <c r="D5" s="21" t="n">
        <v>2.7013</v>
      </c>
      <c r="E5" s="19" t="n">
        <v>300</v>
      </c>
      <c r="F5" s="20" t="n">
        <v>2.8199</v>
      </c>
      <c r="G5" s="19" t="n">
        <f aca="false">1000-E5</f>
        <v>700</v>
      </c>
      <c r="H5" s="20" t="n">
        <v>3.3726</v>
      </c>
      <c r="I5" s="22" t="n">
        <f aca="false">F5-D5</f>
        <v>0.1186</v>
      </c>
      <c r="J5" s="22" t="n">
        <f aca="false">H5-F5</f>
        <v>0.5527</v>
      </c>
      <c r="K5" s="22" t="n">
        <f aca="false">J5+I5</f>
        <v>0.6713</v>
      </c>
      <c r="L5" s="23" t="n">
        <v>55.5399</v>
      </c>
      <c r="M5" s="23" t="n">
        <v>0.0396</v>
      </c>
      <c r="N5" s="23" t="n">
        <v>0.0372</v>
      </c>
      <c r="O5" s="24" t="n">
        <f aca="false">(L5/$F$2)^(1/$F$3)</f>
        <v>0.372486743957617</v>
      </c>
      <c r="P5" s="47" t="n">
        <f aca="false">(M5/$G$2)^(1/$G$3)</f>
        <v>0.000341765208880952</v>
      </c>
      <c r="Q5" s="26" t="n">
        <f aca="false">(N5/$H$2)^(1/$H$3)</f>
        <v>0.000281179258271366</v>
      </c>
      <c r="R5" s="25" t="n">
        <f aca="false">O5*$K5/$I5</f>
        <v>2.10835034754425</v>
      </c>
      <c r="S5" s="47" t="n">
        <f aca="false">P5*$K5/$I5</f>
        <v>0.00193446024217355</v>
      </c>
      <c r="T5" s="26" t="n">
        <f aca="false">Q5*$K5/$I5</f>
        <v>0.00159153150149719</v>
      </c>
      <c r="U5" s="27" t="n">
        <v>94.8602</v>
      </c>
      <c r="V5" s="27"/>
      <c r="W5" s="48" t="n">
        <f aca="false">AVERAGE(R5:R6)/100</f>
        <v>0.0214107577343211</v>
      </c>
      <c r="X5" s="49" t="n">
        <f aca="false">AVERAGE(S5:S6)/100</f>
        <v>1.96696198251342E-005</v>
      </c>
      <c r="Y5" s="49" t="n">
        <f aca="false">AVERAGE(T5:T6)/100</f>
        <v>1.60219079255277E-005</v>
      </c>
      <c r="Z5" s="50" t="n">
        <f aca="false">AVERAGE(U5:V6)/100</f>
        <v>0.975035</v>
      </c>
      <c r="AA5" s="2" t="n">
        <f aca="false">SUM(W5:Z5)</f>
        <v>0.996481449262072</v>
      </c>
      <c r="AD5" s="0" t="n">
        <v>0.0214107577343211</v>
      </c>
      <c r="AE5" s="0" t="n">
        <v>1.96696198251342E-005</v>
      </c>
      <c r="AF5" s="0" t="n">
        <v>1.60219079255277E-005</v>
      </c>
      <c r="AG5" s="0" t="n">
        <v>0.978553550737928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2.7072</v>
      </c>
      <c r="E6" s="20" t="n">
        <v>300</v>
      </c>
      <c r="F6" s="20" t="n">
        <v>2.8274</v>
      </c>
      <c r="G6" s="19" t="n">
        <f aca="false">1000-E6</f>
        <v>700</v>
      </c>
      <c r="H6" s="20" t="n">
        <v>3.4003</v>
      </c>
      <c r="I6" s="22" t="n">
        <f aca="false">F6-D6</f>
        <v>0.1202</v>
      </c>
      <c r="J6" s="22" t="n">
        <f aca="false">H6-F6</f>
        <v>0.5729</v>
      </c>
      <c r="K6" s="22" t="n">
        <f aca="false">J6+I6</f>
        <v>0.6931</v>
      </c>
      <c r="L6" s="23" t="n">
        <v>56.2493</v>
      </c>
      <c r="M6" s="23" t="n">
        <v>0.0402</v>
      </c>
      <c r="N6" s="23" t="n">
        <v>0.037</v>
      </c>
      <c r="O6" s="24" t="n">
        <f aca="false">(L6/$F$2)^(1/$F$3)</f>
        <v>0.376988752212178</v>
      </c>
      <c r="P6" s="47" t="n">
        <f aca="false">(M6/$G$2)^(1/$G$3)</f>
        <v>0.000346754493560764</v>
      </c>
      <c r="Q6" s="26" t="n">
        <f aca="false">(N6/$H$2)^(1/$H$3)</f>
        <v>0.000279706507069288</v>
      </c>
      <c r="R6" s="25" t="n">
        <f aca="false">O6*$K6/$I6</f>
        <v>2.17380119931997</v>
      </c>
      <c r="S6" s="47" t="n">
        <f aca="false">P6*$K6/$I6</f>
        <v>0.00199946372285329</v>
      </c>
      <c r="T6" s="26" t="n">
        <f aca="false">Q6*$K6/$I6</f>
        <v>0.00161285008360835</v>
      </c>
      <c r="U6" s="27" t="n">
        <v>97.836</v>
      </c>
      <c r="V6" s="27" t="n">
        <v>99.8143</v>
      </c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2.7708</v>
      </c>
      <c r="E7" s="34" t="n">
        <v>100</v>
      </c>
      <c r="F7" s="34" t="n">
        <v>2.892</v>
      </c>
      <c r="G7" s="30" t="n">
        <f aca="false">1000-E7</f>
        <v>900</v>
      </c>
      <c r="H7" s="34" t="n">
        <v>3.4467</v>
      </c>
      <c r="I7" s="35" t="n">
        <f aca="false">F7-D7</f>
        <v>0.1212</v>
      </c>
      <c r="J7" s="35" t="n">
        <f aca="false">H7-F7</f>
        <v>0.5547</v>
      </c>
      <c r="K7" s="35" t="n">
        <f aca="false">J7+I7</f>
        <v>0.6759</v>
      </c>
      <c r="L7" s="1" t="n">
        <v>2545.2794</v>
      </c>
      <c r="M7" s="1" t="n">
        <v>56.8928</v>
      </c>
      <c r="N7" s="36" t="n">
        <v>57.1111</v>
      </c>
      <c r="O7" s="52" t="n">
        <f aca="false">(L7/$F$2)^(1/$F$3)</f>
        <v>13.9156050550325</v>
      </c>
      <c r="P7" s="53" t="n">
        <f aca="false">(M7/$G$2)^(1/$G$3)</f>
        <v>0.37730773810131</v>
      </c>
      <c r="Q7" s="54" t="n">
        <f aca="false">(N7/$H$2)^(1/$H$3)</f>
        <v>0.357124409725781</v>
      </c>
      <c r="R7" s="55" t="n">
        <f aca="false">O7*$K7/$I7</f>
        <v>77.6036093786835</v>
      </c>
      <c r="S7" s="53" t="n">
        <f aca="false">P7*$K7/$I7</f>
        <v>2.10414439094617</v>
      </c>
      <c r="T7" s="54" t="n">
        <f aca="false">Q7*$K7/$I7</f>
        <v>1.99158736413907</v>
      </c>
      <c r="U7" s="2" t="n">
        <v>8.024</v>
      </c>
      <c r="V7" s="2"/>
      <c r="W7" s="51" t="n">
        <f aca="false">AVERAGE(R7:R8)/100</f>
        <v>0.783593498343663</v>
      </c>
      <c r="X7" s="0" t="n">
        <f aca="false">AVERAGE(S7:S8)/100</f>
        <v>0.0212708116859395</v>
      </c>
      <c r="Y7" s="1" t="n">
        <f aca="false">AVERAGE(T7:T8)/100</f>
        <v>0.0201387707454584</v>
      </c>
      <c r="Z7" s="33" t="n">
        <f aca="false">AVERAGE(U7:V8)/100</f>
        <v>0.080074</v>
      </c>
      <c r="AA7" s="2" t="n">
        <f aca="false">SUM(W7:Z7)</f>
        <v>0.905077080775061</v>
      </c>
      <c r="AD7" s="0" t="n">
        <v>0.873751928150476</v>
      </c>
      <c r="AE7" s="0" t="n">
        <v>0.0237181813825671</v>
      </c>
      <c r="AF7" s="0" t="n">
        <v>0.0224558904669567</v>
      </c>
      <c r="AG7" s="0" t="n">
        <v>0.080074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2.6999</v>
      </c>
      <c r="E8" s="34" t="n">
        <v>100</v>
      </c>
      <c r="F8" s="34" t="n">
        <v>2.8161</v>
      </c>
      <c r="G8" s="30" t="n">
        <f aca="false">1000-E8</f>
        <v>900</v>
      </c>
      <c r="H8" s="34" t="n">
        <v>3.3773</v>
      </c>
      <c r="I8" s="35" t="n">
        <f aca="false">F8-D8</f>
        <v>0.1162</v>
      </c>
      <c r="J8" s="35" t="n">
        <f aca="false">H8-F8</f>
        <v>0.5612</v>
      </c>
      <c r="K8" s="35" t="n">
        <f aca="false">J8+I8</f>
        <v>0.6774</v>
      </c>
      <c r="L8" s="36" t="n">
        <v>2478.7887</v>
      </c>
      <c r="M8" s="36" t="n">
        <v>55.5639</v>
      </c>
      <c r="N8" s="36" t="n">
        <v>55.8238</v>
      </c>
      <c r="O8" s="52" t="n">
        <f aca="false">(L8/$F$2)^(1/$F$3)</f>
        <v>13.5712629047885</v>
      </c>
      <c r="P8" s="53" t="n">
        <f aca="false">(M8/$G$2)^(1/$G$3)</f>
        <v>0.368810282481974</v>
      </c>
      <c r="Q8" s="54" t="n">
        <f aca="false">(N8/$H$2)^(1/$H$3)</f>
        <v>0.349280455287119</v>
      </c>
      <c r="R8" s="55" t="n">
        <f aca="false">O8*$K8/$I8</f>
        <v>79.1150902900492</v>
      </c>
      <c r="S8" s="53" t="n">
        <f aca="false">P8*$K8/$I8</f>
        <v>2.15001794624173</v>
      </c>
      <c r="T8" s="54" t="n">
        <f aca="false">Q8*$K8/$I8</f>
        <v>2.03616678495262</v>
      </c>
      <c r="U8" s="2" t="n">
        <v>7.9908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50</v>
      </c>
      <c r="B9" s="19" t="s">
        <v>32</v>
      </c>
      <c r="C9" s="20" t="n">
        <v>5</v>
      </c>
      <c r="D9" s="19" t="n">
        <v>2.7245</v>
      </c>
      <c r="E9" s="19" t="n">
        <v>300</v>
      </c>
      <c r="F9" s="20" t="n">
        <v>2.8419</v>
      </c>
      <c r="G9" s="19" t="n">
        <f aca="false">1000-E9</f>
        <v>700</v>
      </c>
      <c r="H9" s="20" t="n">
        <v>3.4066</v>
      </c>
      <c r="I9" s="22" t="n">
        <f aca="false">F9-D9</f>
        <v>0.1174</v>
      </c>
      <c r="J9" s="22" t="n">
        <f aca="false">H9-F9</f>
        <v>0.5647</v>
      </c>
      <c r="K9" s="22" t="n">
        <f aca="false">J9+I9</f>
        <v>0.6821</v>
      </c>
      <c r="L9" s="23" t="n">
        <v>108.408</v>
      </c>
      <c r="M9" s="23" t="n">
        <v>1377.7625</v>
      </c>
      <c r="N9" s="23" t="n">
        <v>1105.9791</v>
      </c>
      <c r="O9" s="24" t="n">
        <f aca="false">(L9/$F$2)^(1/$F$3)</f>
        <v>0.70153706879258</v>
      </c>
      <c r="P9" s="47" t="n">
        <f aca="false">(M9/$G$2)^(1/$G$3)</f>
        <v>8.14075855740274</v>
      </c>
      <c r="Q9" s="26" t="n">
        <f aca="false">(N9/$H$2)^(1/$H$3)</f>
        <v>6.40597038276665</v>
      </c>
      <c r="R9" s="25" t="n">
        <f aca="false">O9*$K9/$I9</f>
        <v>4.07596622336814</v>
      </c>
      <c r="S9" s="47" t="n">
        <f aca="false">P9*$K9/$I9</f>
        <v>47.2982232709064</v>
      </c>
      <c r="T9" s="26" t="n">
        <f aca="false">Q9*$K9/$I9</f>
        <v>37.219015315887</v>
      </c>
      <c r="U9" s="27" t="n">
        <v>3.2518</v>
      </c>
      <c r="V9" s="27"/>
      <c r="W9" s="56" t="n">
        <f aca="false">AVERAGE(R9:R10)/100</f>
        <v>0.039262203929739</v>
      </c>
      <c r="X9" s="57" t="n">
        <f aca="false">AVERAGE(S9:S10)/100</f>
        <v>0.456031029026115</v>
      </c>
      <c r="Y9" s="57" t="n">
        <f aca="false">AVERAGE(T9:T10)/100</f>
        <v>0.368413709255228</v>
      </c>
      <c r="Z9" s="29" t="n">
        <f aca="false">AVERAGE(U9:V10)/100</f>
        <v>0.0324405</v>
      </c>
      <c r="AA9" s="2" t="n">
        <f aca="false">SUM(W9:Z9)</f>
        <v>0.896147442211083</v>
      </c>
      <c r="AD9" s="0" t="n">
        <v>0.0439831111069989</v>
      </c>
      <c r="AE9" s="0" t="n">
        <v>0.510864429663411</v>
      </c>
      <c r="AF9" s="0" t="n">
        <v>0.41271195922959</v>
      </c>
      <c r="AG9" s="0" t="n">
        <v>0.0324405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2.7725</v>
      </c>
      <c r="E10" s="20" t="n">
        <v>300</v>
      </c>
      <c r="F10" s="20" t="n">
        <v>2.8896</v>
      </c>
      <c r="G10" s="19" t="n">
        <f aca="false">1000-E10</f>
        <v>700</v>
      </c>
      <c r="H10" s="20" t="n">
        <v>3.457</v>
      </c>
      <c r="I10" s="22" t="n">
        <f aca="false">F10-D10</f>
        <v>0.1171</v>
      </c>
      <c r="J10" s="22" t="n">
        <f aca="false">H10-F10</f>
        <v>0.5674</v>
      </c>
      <c r="K10" s="22" t="n">
        <f aca="false">J10+I10</f>
        <v>0.6845</v>
      </c>
      <c r="L10" s="23" t="n">
        <v>99.3714</v>
      </c>
      <c r="M10" s="23" t="n">
        <v>1267.4271</v>
      </c>
      <c r="N10" s="23" t="n">
        <v>1076.2182</v>
      </c>
      <c r="O10" s="24" t="n">
        <f aca="false">(L10/$F$2)^(1/$F$3)</f>
        <v>0.646055765198072</v>
      </c>
      <c r="P10" s="47" t="n">
        <f aca="false">(M10/$G$2)^(1/$G$3)</f>
        <v>7.51150438972753</v>
      </c>
      <c r="Q10" s="26" t="n">
        <f aca="false">(N10/$H$2)^(1/$H$3)</f>
        <v>6.23798740287375</v>
      </c>
      <c r="R10" s="25" t="n">
        <f aca="false">O10*$K10/$I10</f>
        <v>3.77647456257967</v>
      </c>
      <c r="S10" s="47" t="n">
        <f aca="false">P10*$K10/$I10</f>
        <v>43.9079825343167</v>
      </c>
      <c r="T10" s="26" t="n">
        <f aca="false">Q10*$K10/$I10</f>
        <v>36.4637265351586</v>
      </c>
      <c r="U10" s="27" t="n">
        <v>3.2363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2.7079</v>
      </c>
      <c r="E11" s="34" t="n">
        <v>100</v>
      </c>
      <c r="F11" s="34" t="n">
        <v>2.8283</v>
      </c>
      <c r="G11" s="30" t="n">
        <f aca="false">1000-E11</f>
        <v>900</v>
      </c>
      <c r="H11" s="34" t="n">
        <v>3.3915</v>
      </c>
      <c r="I11" s="35" t="n">
        <f aca="false">F11-D11</f>
        <v>0.1204</v>
      </c>
      <c r="J11" s="35" t="n">
        <f aca="false">H11-F11</f>
        <v>0.5632</v>
      </c>
      <c r="K11" s="35" t="n">
        <f aca="false">J11+I11</f>
        <v>0.6836</v>
      </c>
      <c r="L11" s="40" t="n">
        <v>1.0187</v>
      </c>
      <c r="M11" s="40" t="n">
        <v>1.3953</v>
      </c>
      <c r="N11" s="36" t="n">
        <v>1.2605</v>
      </c>
      <c r="O11" s="52" t="n">
        <f aca="false">(L11/$F$2)^(1/$F$3)</f>
        <v>0.0084590303985429</v>
      </c>
      <c r="P11" s="53" t="n">
        <f aca="false">(M11/$G$2)^(1/$G$3)</f>
        <v>0.0105840519593034</v>
      </c>
      <c r="Q11" s="54" t="n">
        <f aca="false">(N11/$H$2)^(1/$H$3)</f>
        <v>0.00869847161222544</v>
      </c>
      <c r="R11" s="55" t="n">
        <f aca="false">O11*$K11/$I11</f>
        <v>0.0480281825618266</v>
      </c>
      <c r="S11" s="53" t="n">
        <f aca="false">P11*$K11/$I11</f>
        <v>0.0600935043137859</v>
      </c>
      <c r="T11" s="54" t="n">
        <f aca="false">Q11*$K11/$I11</f>
        <v>0.0493876677252268</v>
      </c>
      <c r="U11" s="2" t="n">
        <v>85.2153</v>
      </c>
      <c r="V11" s="2"/>
      <c r="W11" s="51" t="n">
        <f aca="false">AVERAGE(R11:R12)/100</f>
        <v>0.000477543991152536</v>
      </c>
      <c r="X11" s="0" t="n">
        <f aca="false">AVERAGE(S11:S12)/100</f>
        <v>0.000598299282471471</v>
      </c>
      <c r="Y11" s="1" t="n">
        <f aca="false">AVERAGE(T11:T12)/100</f>
        <v>0.000492421394944429</v>
      </c>
      <c r="Z11" s="33" t="n">
        <f aca="false">AVERAGE(U11:V12)/100</f>
        <v>0.844857</v>
      </c>
      <c r="AA11" s="2" t="n">
        <f aca="false">SUM(W11:Z11)</f>
        <v>0.846425264668569</v>
      </c>
      <c r="AD11" s="0" t="n">
        <v>0.000477543991152536</v>
      </c>
      <c r="AE11" s="0" t="n">
        <v>0.000598299282471471</v>
      </c>
      <c r="AF11" s="0" t="n">
        <v>0.000492421394944429</v>
      </c>
      <c r="AG11" s="0" t="n">
        <v>0.998431735331432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2.7899</v>
      </c>
      <c r="E12" s="34" t="n">
        <v>100</v>
      </c>
      <c r="F12" s="34" t="n">
        <v>2.911</v>
      </c>
      <c r="G12" s="30" t="n">
        <f aca="false">1000-E12</f>
        <v>900</v>
      </c>
      <c r="H12" s="34" t="n">
        <v>3.473</v>
      </c>
      <c r="I12" s="35" t="n">
        <f aca="false">F12-D12</f>
        <v>0.1211</v>
      </c>
      <c r="J12" s="35" t="n">
        <f aca="false">H12-F12</f>
        <v>0.562</v>
      </c>
      <c r="K12" s="35" t="n">
        <f aca="false">J12+I12</f>
        <v>0.6831</v>
      </c>
      <c r="L12" s="36" t="n">
        <v>1.0134</v>
      </c>
      <c r="M12" s="36" t="n">
        <v>1.392</v>
      </c>
      <c r="N12" s="36" t="n">
        <v>1.2613</v>
      </c>
      <c r="O12" s="52" t="n">
        <f aca="false">(L12/$F$2)^(1/$F$3)</f>
        <v>0.0084173657699857</v>
      </c>
      <c r="P12" s="53" t="n">
        <f aca="false">(M12/$G$2)^(1/$G$3)</f>
        <v>0.010559925704962</v>
      </c>
      <c r="Q12" s="54" t="n">
        <f aca="false">(N12/$H$2)^(1/$H$3)</f>
        <v>0.00870384954476522</v>
      </c>
      <c r="R12" s="55" t="n">
        <f aca="false">O12*$K12/$I12</f>
        <v>0.0474806156686806</v>
      </c>
      <c r="S12" s="53" t="n">
        <f aca="false">P12*$K12/$I12</f>
        <v>0.0595663521805083</v>
      </c>
      <c r="T12" s="54" t="n">
        <f aca="false">Q12*$K12/$I12</f>
        <v>0.0490966112636591</v>
      </c>
      <c r="U12" s="2" t="n">
        <v>83.7561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51</v>
      </c>
      <c r="B13" s="19" t="s">
        <v>32</v>
      </c>
      <c r="C13" s="20" t="n">
        <v>9</v>
      </c>
      <c r="D13" s="19" t="n">
        <v>2.699</v>
      </c>
      <c r="E13" s="19" t="n">
        <v>300</v>
      </c>
      <c r="F13" s="20" t="n">
        <v>2.8788</v>
      </c>
      <c r="G13" s="19" t="n">
        <f aca="false">1000-E13</f>
        <v>700</v>
      </c>
      <c r="H13" s="20" t="n">
        <v>3.4598</v>
      </c>
      <c r="I13" s="22" t="n">
        <f aca="false">F13-D13</f>
        <v>0.1798</v>
      </c>
      <c r="J13" s="22" t="n">
        <f aca="false">H13-F13</f>
        <v>0.581</v>
      </c>
      <c r="K13" s="22" t="n">
        <f aca="false">J13+I13</f>
        <v>0.7608</v>
      </c>
      <c r="L13" s="23" t="n">
        <v>1730.8582</v>
      </c>
      <c r="M13" s="23" t="n">
        <v>970.019</v>
      </c>
      <c r="N13" s="23" t="n">
        <v>930.6113</v>
      </c>
      <c r="O13" s="24" t="n">
        <f aca="false">(L13/$F$2)^(1/$F$3)</f>
        <v>9.65994677964558</v>
      </c>
      <c r="P13" s="47" t="n">
        <f aca="false">(M13/$G$2)^(1/$G$3)</f>
        <v>5.80486522177361</v>
      </c>
      <c r="Q13" s="26" t="n">
        <f aca="false">(N13/$H$2)^(1/$H$3)</f>
        <v>5.41432127235173</v>
      </c>
      <c r="R13" s="25" t="n">
        <f aca="false">O13*$K13/$I13</f>
        <v>40.8747914902912</v>
      </c>
      <c r="S13" s="47" t="n">
        <f aca="false">P13*$K13/$I13</f>
        <v>24.5625220285059</v>
      </c>
      <c r="T13" s="26" t="n">
        <f aca="false">Q13*$K13/$I13</f>
        <v>22.9099867853459</v>
      </c>
      <c r="U13" s="27" t="n">
        <v>4.6408</v>
      </c>
      <c r="V13" s="27"/>
      <c r="W13" s="56" t="n">
        <f aca="false">AVERAGE(R13:R14)/100</f>
        <v>0.442040914660317</v>
      </c>
      <c r="X13" s="57" t="n">
        <f aca="false">AVERAGE(S13:S14)/100</f>
        <v>0.264707844251777</v>
      </c>
      <c r="Y13" s="57" t="n">
        <f aca="false">AVERAGE(T13:T14)/100</f>
        <v>0.233970113526665</v>
      </c>
      <c r="Z13" s="29" t="n">
        <f aca="false">AVERAGE(U13:V14)/100</f>
        <v>0.0429306666666667</v>
      </c>
      <c r="AA13" s="2" t="n">
        <f aca="false">SUM(W13:Z13)</f>
        <v>0.983649539105425</v>
      </c>
      <c r="AD13" s="0" t="n">
        <v>0.44972394611712</v>
      </c>
      <c r="AE13" s="0" t="n">
        <v>0.26930868237965</v>
      </c>
      <c r="AF13" s="0" t="n">
        <v>0.238036704836563</v>
      </c>
      <c r="AG13" s="0" t="n">
        <v>0.0429306666666667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2.7274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3.4872</v>
      </c>
      <c r="I14" s="22" t="n">
        <f aca="false">F14-D14</f>
        <v>0.203</v>
      </c>
      <c r="J14" s="22" t="n">
        <f aca="false">H14-F14</f>
        <v>0.5568</v>
      </c>
      <c r="K14" s="22" t="n">
        <f aca="false">J14+I14</f>
        <v>0.7598</v>
      </c>
      <c r="L14" s="23" t="n">
        <v>2310.9367</v>
      </c>
      <c r="M14" s="23" t="n">
        <v>1279.8042</v>
      </c>
      <c r="N14" s="23" t="n">
        <v>1101.5948</v>
      </c>
      <c r="O14" s="24" t="n">
        <f aca="false">(L14/$F$2)^(1/$F$3)</f>
        <v>12.6997610722292</v>
      </c>
      <c r="P14" s="47" t="n">
        <f aca="false">(M14/$G$2)^(1/$G$3)</f>
        <v>7.58218808217355</v>
      </c>
      <c r="Q14" s="26" t="n">
        <f aca="false">(N14/$H$2)^(1/$H$3)</f>
        <v>6.3812309709889</v>
      </c>
      <c r="R14" s="25" t="n">
        <f aca="false">O14*$K14/$I14</f>
        <v>47.5333914417722</v>
      </c>
      <c r="S14" s="47" t="n">
        <f aca="false">P14*$K14/$I14</f>
        <v>28.3790468218496</v>
      </c>
      <c r="T14" s="26" t="n">
        <f aca="false">Q14*$K14/$I14</f>
        <v>23.884035919987</v>
      </c>
      <c r="U14" s="27" t="n">
        <v>4.1703</v>
      </c>
      <c r="V14" s="27" t="n">
        <v>4.0681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2.6932</v>
      </c>
      <c r="E15" s="34" t="n">
        <v>100</v>
      </c>
      <c r="F15" s="34" t="n">
        <v>2.8994</v>
      </c>
      <c r="G15" s="30" t="n">
        <f aca="false">1000-E15</f>
        <v>900</v>
      </c>
      <c r="H15" s="34" t="n">
        <v>3.4787</v>
      </c>
      <c r="I15" s="35" t="n">
        <f aca="false">F15-D15</f>
        <v>0.2062</v>
      </c>
      <c r="J15" s="35" t="n">
        <f aca="false">H15-F15</f>
        <v>0.5793</v>
      </c>
      <c r="K15" s="35" t="n">
        <f aca="false">J15+I15</f>
        <v>0.7855</v>
      </c>
      <c r="L15" s="36" t="n">
        <v>37.8412</v>
      </c>
      <c r="M15" s="36" t="n">
        <v>1.0273</v>
      </c>
      <c r="N15" s="41" t="n">
        <v>0.5447</v>
      </c>
      <c r="O15" s="52" t="n">
        <f aca="false">(L15/$F$2)^(1/$F$3)</f>
        <v>0.259043499895929</v>
      </c>
      <c r="P15" s="53" t="n">
        <f aca="false">(M15/$G$2)^(1/$G$3)</f>
        <v>0.00787951159493257</v>
      </c>
      <c r="Q15" s="54" t="n">
        <f aca="false">(N15/$H$2)^(1/$H$3)</f>
        <v>0.00384126613440799</v>
      </c>
      <c r="R15" s="55" t="n">
        <f aca="false">O15*$K15/$I15</f>
        <v>0.986802469293174</v>
      </c>
      <c r="S15" s="53" t="n">
        <f aca="false">P15*$K15/$I15</f>
        <v>0.030016277196021</v>
      </c>
      <c r="T15" s="54" t="n">
        <f aca="false">Q15*$K15/$I15</f>
        <v>0.014632951254013</v>
      </c>
      <c r="U15" s="2" t="n">
        <v>99.3191</v>
      </c>
      <c r="V15" s="2"/>
      <c r="W15" s="51" t="n">
        <f aca="false">AVERAGE(R15:R16)/100</f>
        <v>0.00493401234646587</v>
      </c>
      <c r="X15" s="0" t="n">
        <f aca="false">AVERAGE(S15:S16)/100</f>
        <v>0.000150081385980105</v>
      </c>
      <c r="Y15" s="1" t="n">
        <f aca="false">AVERAGE(T15:T16)/100</f>
        <v>7.31647562700649E-005</v>
      </c>
      <c r="Z15" s="33" t="n">
        <f aca="false">AVERAGE(U15:V16)/100</f>
        <v>0.9965775</v>
      </c>
      <c r="AA15" s="2" t="n">
        <f aca="false">SUM(W15:Z15)</f>
        <v>1.00173475848872</v>
      </c>
      <c r="AD15" s="0" t="n">
        <v>0.00986802469293175</v>
      </c>
      <c r="AE15" s="0" t="n">
        <v>0.00030016277196021</v>
      </c>
      <c r="AF15" s="0" t="n">
        <v>0.00014632951254013</v>
      </c>
      <c r="AG15" s="0" t="n">
        <v>0.989685483022568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2.7189</v>
      </c>
      <c r="E16" s="34" t="n">
        <v>100</v>
      </c>
      <c r="F16" s="34" t="n">
        <v>2.9127</v>
      </c>
      <c r="G16" s="30" t="n">
        <f aca="false">1000-E16</f>
        <v>900</v>
      </c>
      <c r="H16" s="34" t="n">
        <v>3.4667</v>
      </c>
      <c r="I16" s="35" t="n">
        <f aca="false">F16-D16</f>
        <v>0.1938</v>
      </c>
      <c r="J16" s="35" t="n">
        <f aca="false">H16-F16</f>
        <v>0.554</v>
      </c>
      <c r="K16" s="35" t="n">
        <f aca="false">J16+I16</f>
        <v>0.7478</v>
      </c>
      <c r="L16" s="36"/>
      <c r="M16" s="36"/>
      <c r="N16" s="36"/>
      <c r="O16" s="52" t="n">
        <f aca="false">(L16/$F$2)^(1/$F$3)</f>
        <v>0</v>
      </c>
      <c r="P16" s="53" t="n">
        <f aca="false">(M16/$G$2)^(1/$G$3)</f>
        <v>0</v>
      </c>
      <c r="Q16" s="54" t="n">
        <f aca="false">(N16/$H$2)^(1/$H$3)</f>
        <v>0</v>
      </c>
      <c r="R16" s="55" t="n">
        <f aca="false">O16*$K16/$I16</f>
        <v>0</v>
      </c>
      <c r="S16" s="53" t="n">
        <f aca="false">P16*$K16/$I16</f>
        <v>0</v>
      </c>
      <c r="T16" s="54" t="n">
        <f aca="false">Q16*$K16/$I16</f>
        <v>0</v>
      </c>
      <c r="U16" s="2" t="n">
        <v>99.9964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52</v>
      </c>
      <c r="B17" s="19" t="s">
        <v>32</v>
      </c>
      <c r="C17" s="20" t="n">
        <v>13</v>
      </c>
      <c r="D17" s="19" t="n">
        <v>2.7179</v>
      </c>
      <c r="E17" s="19" t="n">
        <v>300</v>
      </c>
      <c r="F17" s="20" t="n">
        <v>2.9029</v>
      </c>
      <c r="G17" s="19" t="n">
        <f aca="false">1000-E17</f>
        <v>700</v>
      </c>
      <c r="H17" s="20" t="n">
        <v>3.453</v>
      </c>
      <c r="I17" s="22" t="n">
        <f aca="false">F17-D17</f>
        <v>0.185</v>
      </c>
      <c r="J17" s="22" t="n">
        <f aca="false">H17-F17</f>
        <v>0.5501</v>
      </c>
      <c r="K17" s="22" t="n">
        <f aca="false">J17+I17</f>
        <v>0.7351</v>
      </c>
      <c r="L17" s="23"/>
      <c r="M17" s="23"/>
      <c r="N17" s="23"/>
      <c r="O17" s="24" t="n">
        <f aca="false">(L17/$F$2)^(1/$F$3)</f>
        <v>0</v>
      </c>
      <c r="P17" s="47" t="n">
        <f aca="false">(M17/$G$2)^(1/$G$3)</f>
        <v>0</v>
      </c>
      <c r="Q17" s="26" t="n">
        <f aca="false">(N17/$H$2)^(1/$H$3)</f>
        <v>0</v>
      </c>
      <c r="R17" s="25" t="n">
        <f aca="false">O17*$K17/$I17</f>
        <v>0</v>
      </c>
      <c r="S17" s="47" t="n">
        <f aca="false">P17*$K17/$I17</f>
        <v>0</v>
      </c>
      <c r="T17" s="26" t="n">
        <f aca="false">Q17*$K17/$I17</f>
        <v>0</v>
      </c>
      <c r="U17" s="27" t="n">
        <v>3.5476</v>
      </c>
      <c r="V17" s="27"/>
      <c r="W17" s="56" t="n">
        <f aca="false">AVERAGE(R17:R18)/100</f>
        <v>0</v>
      </c>
      <c r="X17" s="57" t="n">
        <f aca="false">AVERAGE(S17:S18)/100</f>
        <v>0</v>
      </c>
      <c r="Y17" s="57" t="n">
        <f aca="false">AVERAGE(T17:T18)/100</f>
        <v>0</v>
      </c>
      <c r="Z17" s="29" t="n">
        <f aca="false">AVERAGE(U17:V18)/100</f>
        <v>0.0357665</v>
      </c>
      <c r="AA17" s="2" t="n">
        <f aca="false">SUM(W17:Z17)</f>
        <v>0.0357665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2.754</v>
      </c>
      <c r="E18" s="20" t="n">
        <v>300</v>
      </c>
      <c r="F18" s="20" t="n">
        <v>2.9499</v>
      </c>
      <c r="G18" s="19" t="n">
        <f aca="false">1000-E18</f>
        <v>700</v>
      </c>
      <c r="H18" s="20" t="n">
        <v>3.516</v>
      </c>
      <c r="I18" s="22" t="n">
        <f aca="false">F18-D18</f>
        <v>0.1959</v>
      </c>
      <c r="J18" s="22" t="n">
        <f aca="false">H18-F18</f>
        <v>0.5661</v>
      </c>
      <c r="K18" s="22" t="n">
        <f aca="false">J18+I18</f>
        <v>0.762</v>
      </c>
      <c r="L18" s="23"/>
      <c r="M18" s="23"/>
      <c r="N18" s="23"/>
      <c r="O18" s="24" t="n">
        <f aca="false">(L18/$F$2)^(1/$F$3)</f>
        <v>0</v>
      </c>
      <c r="P18" s="47" t="n">
        <f aca="false">(M18/$G$2)^(1/$G$3)</f>
        <v>0</v>
      </c>
      <c r="Q18" s="26" t="n">
        <f aca="false">(N18/$H$2)^(1/$H$3)</f>
        <v>0</v>
      </c>
      <c r="R18" s="25" t="n">
        <f aca="false">O18*$K18/$I18</f>
        <v>0</v>
      </c>
      <c r="S18" s="47" t="n">
        <f aca="false">P18*$K18/$I18</f>
        <v>0</v>
      </c>
      <c r="T18" s="26" t="n">
        <f aca="false">Q18*$K18/$I18</f>
        <v>0</v>
      </c>
      <c r="U18" s="27" t="n">
        <v>3.6057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2.8124</v>
      </c>
      <c r="E19" s="34" t="n">
        <v>100</v>
      </c>
      <c r="F19" s="34" t="n">
        <v>3.0131</v>
      </c>
      <c r="G19" s="30" t="n">
        <f aca="false">1000-E19</f>
        <v>900</v>
      </c>
      <c r="H19" s="34" t="n">
        <v>3.5794</v>
      </c>
      <c r="I19" s="35" t="n">
        <f aca="false">F19-D19</f>
        <v>0.2007</v>
      </c>
      <c r="J19" s="35" t="n">
        <f aca="false">H19-F19</f>
        <v>0.5663</v>
      </c>
      <c r="K19" s="35" t="n">
        <f aca="false">J19+I19</f>
        <v>0.767</v>
      </c>
      <c r="L19" s="36"/>
      <c r="M19" s="36"/>
      <c r="N19" s="36"/>
      <c r="O19" s="52" t="n">
        <f aca="false">(L19/$F$2)^(1/$F$3)</f>
        <v>0</v>
      </c>
      <c r="P19" s="53" t="n">
        <f aca="false">(M19/$G$2)^(1/$G$3)</f>
        <v>0</v>
      </c>
      <c r="Q19" s="54" t="n">
        <f aca="false">(N19/$H$2)^(1/$H$3)</f>
        <v>0</v>
      </c>
      <c r="R19" s="55" t="n">
        <f aca="false">O19*$K19/$I19</f>
        <v>0</v>
      </c>
      <c r="S19" s="53" t="n">
        <f aca="false">P19*$K19/$I19</f>
        <v>0</v>
      </c>
      <c r="T19" s="54" t="n">
        <f aca="false">Q19*$K19/$I19</f>
        <v>0</v>
      </c>
      <c r="U19" s="2" t="n">
        <v>101.1918</v>
      </c>
      <c r="V19" s="2" t="n">
        <v>94.5604</v>
      </c>
      <c r="W19" s="51" t="n">
        <f aca="false">AVERAGE(R19:R20)/100</f>
        <v>0</v>
      </c>
      <c r="X19" s="0" t="n">
        <f aca="false">AVERAGE(S19:S20)/100</f>
        <v>0</v>
      </c>
      <c r="Y19" s="1" t="n">
        <f aca="false">AVERAGE(T19:T20)/100</f>
        <v>0</v>
      </c>
      <c r="Z19" s="33" t="n">
        <f aca="false">AVERAGE(U19:V20)/100</f>
        <v>0.984174</v>
      </c>
      <c r="AA19" s="2" t="n">
        <f aca="false">SUM(W19:Z19)</f>
        <v>0.984174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2.7546</v>
      </c>
      <c r="E20" s="34" t="n">
        <v>100</v>
      </c>
      <c r="F20" s="34" t="n">
        <v>2.9584</v>
      </c>
      <c r="G20" s="30" t="n">
        <f aca="false">1000-E20</f>
        <v>900</v>
      </c>
      <c r="H20" s="34" t="n">
        <v>3.5212</v>
      </c>
      <c r="I20" s="35" t="n">
        <f aca="false">F20-D20</f>
        <v>0.2038</v>
      </c>
      <c r="J20" s="35" t="n">
        <f aca="false">H20-F20</f>
        <v>0.5628</v>
      </c>
      <c r="K20" s="35" t="n">
        <f aca="false">J20+I20</f>
        <v>0.7666</v>
      </c>
      <c r="L20" s="36"/>
      <c r="M20" s="36"/>
      <c r="N20" s="36"/>
      <c r="O20" s="52" t="n">
        <f aca="false">(L20/$F$2)^(1/$F$3)</f>
        <v>0</v>
      </c>
      <c r="P20" s="53" t="n">
        <f aca="false">(M20/$G$2)^(1/$G$3)</f>
        <v>0</v>
      </c>
      <c r="Q20" s="54" t="n">
        <f aca="false">(N20/$H$2)^(1/$H$3)</f>
        <v>0</v>
      </c>
      <c r="R20" s="55" t="n">
        <f aca="false">O20*$K20/$I20</f>
        <v>0</v>
      </c>
      <c r="S20" s="53" t="n">
        <f aca="false">P20*$K20/$I20</f>
        <v>0</v>
      </c>
      <c r="T20" s="54" t="n">
        <f aca="false">Q20*$K20/$I20</f>
        <v>0</v>
      </c>
      <c r="U20" s="2" t="n">
        <v>99.5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53</v>
      </c>
      <c r="B21" s="19" t="s">
        <v>32</v>
      </c>
      <c r="C21" s="20" t="n">
        <v>17</v>
      </c>
      <c r="D21" s="19" t="n">
        <v>2.7277</v>
      </c>
      <c r="E21" s="19" t="n">
        <v>300</v>
      </c>
      <c r="F21" s="20" t="n">
        <v>2.9309</v>
      </c>
      <c r="G21" s="19" t="n">
        <f aca="false">1000-E21</f>
        <v>700</v>
      </c>
      <c r="H21" s="20" t="n">
        <v>3.4876</v>
      </c>
      <c r="I21" s="22" t="n">
        <f aca="false">F21-D21</f>
        <v>0.2032</v>
      </c>
      <c r="J21" s="22" t="n">
        <f aca="false">H21-F21</f>
        <v>0.5567</v>
      </c>
      <c r="K21" s="22" t="n">
        <f aca="false">J21+I21</f>
        <v>0.7599</v>
      </c>
      <c r="L21" s="23"/>
      <c r="M21" s="23"/>
      <c r="N21" s="23"/>
      <c r="O21" s="24" t="n">
        <f aca="false">(L21/$F$2)^(1/$F$3)</f>
        <v>0</v>
      </c>
      <c r="P21" s="47" t="n">
        <f aca="false">(M21/$G$2)^(1/$G$3)</f>
        <v>0</v>
      </c>
      <c r="Q21" s="26" t="n">
        <f aca="false">(N21/$H$2)^(1/$H$3)</f>
        <v>0</v>
      </c>
      <c r="R21" s="25" t="n">
        <f aca="false">O21*$K21/$I21</f>
        <v>0</v>
      </c>
      <c r="S21" s="47" t="n">
        <f aca="false">P21*$K21/$I21</f>
        <v>0</v>
      </c>
      <c r="T21" s="26" t="n">
        <f aca="false">Q21*$K21/$I21</f>
        <v>0</v>
      </c>
      <c r="U21" s="27"/>
      <c r="V21" s="27"/>
      <c r="W21" s="56" t="n">
        <f aca="false">AVERAGE(R21:R22)/100</f>
        <v>0</v>
      </c>
      <c r="X21" s="57" t="n">
        <f aca="false">AVERAGE(S21:S22)/100</f>
        <v>0</v>
      </c>
      <c r="Y21" s="57" t="n">
        <f aca="false">AVERAGE(T21:T22)/100</f>
        <v>0</v>
      </c>
      <c r="Z21" s="29" t="n">
        <f aca="false">AVERAGE(U21:V22)/100</f>
        <v>0.954764</v>
      </c>
      <c r="AA21" s="2" t="n">
        <f aca="false">SUM(W21:Z21)</f>
        <v>0.954764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2.7236</v>
      </c>
      <c r="E22" s="20" t="n">
        <v>300</v>
      </c>
      <c r="F22" s="20" t="n">
        <v>2.9478</v>
      </c>
      <c r="G22" s="19" t="n">
        <f aca="false">1000-E22</f>
        <v>700</v>
      </c>
      <c r="H22" s="20" t="n">
        <v>3.5161</v>
      </c>
      <c r="I22" s="22" t="n">
        <f aca="false">F22-D22</f>
        <v>0.2242</v>
      </c>
      <c r="J22" s="22" t="n">
        <f aca="false">H22-F22</f>
        <v>0.5683</v>
      </c>
      <c r="K22" s="22" t="n">
        <f aca="false">J22+I22</f>
        <v>0.7925</v>
      </c>
      <c r="L22" s="23"/>
      <c r="M22" s="23"/>
      <c r="N22" s="23"/>
      <c r="O22" s="24" t="n">
        <f aca="false">(L22/$F$2)^(1/$F$3)</f>
        <v>0</v>
      </c>
      <c r="P22" s="47" t="n">
        <f aca="false">(M22/$G$2)^(1/$G$3)</f>
        <v>0</v>
      </c>
      <c r="Q22" s="26" t="n">
        <f aca="false">(N22/$H$2)^(1/$H$3)</f>
        <v>0</v>
      </c>
      <c r="R22" s="25" t="n">
        <f aca="false">O22*$K22/$I22</f>
        <v>0</v>
      </c>
      <c r="S22" s="47" t="n">
        <f aca="false">P22*$K22/$I22</f>
        <v>0</v>
      </c>
      <c r="T22" s="26" t="n">
        <f aca="false">Q22*$K22/$I22</f>
        <v>0</v>
      </c>
      <c r="U22" s="27" t="n">
        <v>96.4875</v>
      </c>
      <c r="V22" s="27" t="n">
        <v>94.4653</v>
      </c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2.7657</v>
      </c>
      <c r="E23" s="34" t="n">
        <v>100</v>
      </c>
      <c r="F23" s="34" t="n">
        <v>2.9728</v>
      </c>
      <c r="G23" s="30" t="n">
        <f aca="false">1000-E23</f>
        <v>900</v>
      </c>
      <c r="H23" s="34" t="n">
        <v>3.682</v>
      </c>
      <c r="I23" s="35" t="n">
        <f aca="false">F23-D23</f>
        <v>0.2071</v>
      </c>
      <c r="J23" s="35" t="n">
        <f aca="false">H23-F23</f>
        <v>0.7092</v>
      </c>
      <c r="K23" s="35" t="n">
        <f aca="false">J23+I23</f>
        <v>0.9163</v>
      </c>
      <c r="L23" s="36"/>
      <c r="M23" s="36"/>
      <c r="N23" s="36"/>
      <c r="O23" s="52" t="n">
        <f aca="false">(L23/$F$2)^(1/$F$3)</f>
        <v>0</v>
      </c>
      <c r="P23" s="53" t="n">
        <f aca="false">(M23/$G$2)^(1/$G$3)</f>
        <v>0</v>
      </c>
      <c r="Q23" s="54" t="n">
        <f aca="false">(N23/$H$2)^(1/$H$3)</f>
        <v>0</v>
      </c>
      <c r="R23" s="55" t="n">
        <f aca="false">O23*$K23/$I23</f>
        <v>0</v>
      </c>
      <c r="S23" s="53" t="n">
        <f aca="false">P23*$K23/$I23</f>
        <v>0</v>
      </c>
      <c r="T23" s="54" t="n">
        <f aca="false">Q23*$K23/$I23</f>
        <v>0</v>
      </c>
      <c r="U23" s="2" t="n">
        <v>5.7</v>
      </c>
      <c r="V23" s="2"/>
      <c r="W23" s="51" t="n">
        <f aca="false">AVERAGE(R23:R24)/100</f>
        <v>0</v>
      </c>
      <c r="X23" s="0" t="n">
        <f aca="false">AVERAGE(S23:S24)/100</f>
        <v>0</v>
      </c>
      <c r="Y23" s="1" t="n">
        <f aca="false">AVERAGE(T23:T24)/100</f>
        <v>0</v>
      </c>
      <c r="Z23" s="33" t="n">
        <f aca="false">AVERAGE(U23:V24)/100</f>
        <v>0.05666</v>
      </c>
      <c r="AA23" s="2" t="n">
        <f aca="false">SUM(W23:Z23)</f>
        <v>0.05666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2.7535</v>
      </c>
      <c r="E24" s="34" t="n">
        <v>100</v>
      </c>
      <c r="F24" s="34" t="n">
        <v>2.9725</v>
      </c>
      <c r="G24" s="30" t="n">
        <f aca="false">1000-E24</f>
        <v>900</v>
      </c>
      <c r="H24" s="34" t="n">
        <v>3.5466</v>
      </c>
      <c r="I24" s="35" t="n">
        <f aca="false">F24-D24</f>
        <v>0.219</v>
      </c>
      <c r="J24" s="35" t="n">
        <f aca="false">H24-F24</f>
        <v>0.5741</v>
      </c>
      <c r="K24" s="35" t="n">
        <f aca="false">J24+I24</f>
        <v>0.7931</v>
      </c>
      <c r="L24" s="36"/>
      <c r="M24" s="36"/>
      <c r="N24" s="36"/>
      <c r="O24" s="58" t="n">
        <f aca="false">(L24/$F$2)^(1/$F$3)</f>
        <v>0</v>
      </c>
      <c r="P24" s="59" t="n">
        <f aca="false">(M24/$G$2)^(1/$G$3)</f>
        <v>0</v>
      </c>
      <c r="Q24" s="60" t="n">
        <f aca="false">(N24/$H$2)^(1/$H$3)</f>
        <v>0</v>
      </c>
      <c r="R24" s="55" t="n">
        <f aca="false">O24*$K24/$I24</f>
        <v>0</v>
      </c>
      <c r="S24" s="53" t="n">
        <f aca="false">P24*$K24/$I24</f>
        <v>0</v>
      </c>
      <c r="T24" s="54" t="n">
        <f aca="false">Q24*$K24/$I24</f>
        <v>0</v>
      </c>
      <c r="U24" s="42" t="n">
        <v>5.632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2.7507</v>
      </c>
      <c r="F25" s="1" t="n">
        <v>3.0125</v>
      </c>
      <c r="G25" s="2" t="n">
        <f aca="false">1000-E25</f>
        <v>1000</v>
      </c>
      <c r="H25" s="1" t="n">
        <v>3.4537</v>
      </c>
      <c r="I25" s="1" t="n">
        <f aca="false">F25-D25</f>
        <v>0.2618</v>
      </c>
      <c r="J25" s="1" t="n">
        <f aca="false">H25-F25</f>
        <v>0.4412</v>
      </c>
      <c r="K25" s="1" t="n">
        <f aca="false">J25+I25</f>
        <v>0.703</v>
      </c>
      <c r="M25" s="1" t="n">
        <v>3266.95</v>
      </c>
      <c r="N25" s="1" t="n">
        <v>3086.41</v>
      </c>
      <c r="P25" s="1" t="n">
        <f aca="false">(M25/$G$2)^(1/$G$3)</f>
        <v>18.7088695586386</v>
      </c>
      <c r="Q25" s="1" t="n">
        <f aca="false">(N25/$H$2)^(1/$H$3)</f>
        <v>17.4089706722135</v>
      </c>
      <c r="S25" s="1" t="n">
        <f aca="false">P25*$K25/$I25</f>
        <v>50.2381027491326</v>
      </c>
      <c r="T25" s="1" t="n">
        <f aca="false">Q25*$K25/$I25</f>
        <v>46.7475415682432</v>
      </c>
      <c r="U25" s="1" t="n">
        <v>3.2005</v>
      </c>
      <c r="X25" s="1" t="n">
        <f aca="false">AVERAGE(S25:S26)/100</f>
        <v>0.502380435990308</v>
      </c>
      <c r="Y25" s="1" t="n">
        <f aca="false">AVERAGE(T25:T26)/100</f>
        <v>0.467698888400843</v>
      </c>
      <c r="Z25" s="1" t="n">
        <f aca="false">AVERAGE(U25:V26)/100</f>
        <v>0.0319855</v>
      </c>
      <c r="AA25" s="1" t="n">
        <f aca="false">SUM(W25:Z25)</f>
        <v>1.00206482439115</v>
      </c>
      <c r="AE25" s="1" t="n">
        <f aca="false">IFERROR(X25/$AA25,"")</f>
        <v>0.501345246097778</v>
      </c>
      <c r="AF25" s="1" t="n">
        <f aca="false">IFERROR(Y25/$AA25,"")</f>
        <v>0.466735162253614</v>
      </c>
      <c r="AG25" s="1" t="n">
        <f aca="false">IFERROR(Z25/$AA25,"")</f>
        <v>0.0319195916486084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2.7564</v>
      </c>
      <c r="F26" s="1" t="n">
        <v>3.04</v>
      </c>
      <c r="G26" s="2" t="n">
        <f aca="false">1000-E26</f>
        <v>1000</v>
      </c>
      <c r="H26" s="1" t="n">
        <v>3.5266</v>
      </c>
      <c r="I26" s="1" t="n">
        <f aca="false">F26-D26</f>
        <v>0.2836</v>
      </c>
      <c r="J26" s="1" t="n">
        <f aca="false">H26-F26</f>
        <v>0.4866</v>
      </c>
      <c r="K26" s="1" t="n">
        <f aca="false">J26+I26</f>
        <v>0.7702</v>
      </c>
      <c r="M26" s="1" t="n">
        <v>3228.83</v>
      </c>
      <c r="N26" s="1" t="n">
        <v>3053.78</v>
      </c>
      <c r="P26" s="1" t="n">
        <f aca="false">(M26/$G$2)^(1/$G$3)</f>
        <v>18.4984320822075</v>
      </c>
      <c r="Q26" s="1" t="n">
        <f aca="false">(N26/$H$2)^(1/$H$3)</f>
        <v>17.2296522479122</v>
      </c>
      <c r="S26" s="1" t="n">
        <f aca="false">P26*$K26/$I26</f>
        <v>50.2379844489289</v>
      </c>
      <c r="T26" s="1" t="n">
        <f aca="false">Q26*$K26/$I26</f>
        <v>46.7922361119253</v>
      </c>
      <c r="U26" s="1" t="n">
        <v>3.1966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2.7665</v>
      </c>
      <c r="F27" s="1" t="n">
        <v>3.0608</v>
      </c>
      <c r="G27" s="2" t="n">
        <f aca="false">1000-E27</f>
        <v>1000</v>
      </c>
      <c r="H27" s="1" t="n">
        <v>3.4632</v>
      </c>
      <c r="I27" s="1" t="n">
        <f aca="false">F27-D27</f>
        <v>0.2943</v>
      </c>
      <c r="J27" s="1" t="n">
        <f aca="false">H27-F27</f>
        <v>0.4024</v>
      </c>
      <c r="K27" s="1" t="n">
        <f aca="false">J27+I27</f>
        <v>0.6967</v>
      </c>
      <c r="M27" s="1" t="n">
        <v>10.53</v>
      </c>
      <c r="N27" s="1" t="n">
        <v>9.44</v>
      </c>
      <c r="P27" s="1" t="n">
        <f aca="false">(M27/$G$2)^(1/$G$3)</f>
        <v>0.0742353267915583</v>
      </c>
      <c r="Q27" s="1" t="n">
        <f aca="false">(N27/$H$2)^(1/$H$3)</f>
        <v>0.0618406382893861</v>
      </c>
      <c r="S27" s="1" t="n">
        <f aca="false">P27*$K27/$I27</f>
        <v>0.175738199713485</v>
      </c>
      <c r="T27" s="1" t="n">
        <f aca="false">Q27*$K27/$I27</f>
        <v>0.14639610158415</v>
      </c>
      <c r="X27" s="1" t="n">
        <f aca="false">AVERAGE(S27:S28)/100</f>
        <v>0.00207414316969858</v>
      </c>
      <c r="Y27" s="1" t="n">
        <f aca="false">AVERAGE(T27:T28)/100</f>
        <v>0.00174350577574045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2.7466</v>
      </c>
      <c r="F28" s="1" t="n">
        <v>3.0467</v>
      </c>
      <c r="G28" s="2" t="n">
        <f aca="false">1000-E28</f>
        <v>1000</v>
      </c>
      <c r="H28" s="1" t="n">
        <v>3.532</v>
      </c>
      <c r="I28" s="1" t="n">
        <f aca="false">F28-D28</f>
        <v>0.3001</v>
      </c>
      <c r="J28" s="1" t="n">
        <f aca="false">H28-F28</f>
        <v>0.4853</v>
      </c>
      <c r="K28" s="1" t="n">
        <f aca="false">J28+I28</f>
        <v>0.7854</v>
      </c>
      <c r="M28" s="1" t="n">
        <v>13.06</v>
      </c>
      <c r="N28" s="1" t="n">
        <v>11.87</v>
      </c>
      <c r="P28" s="1" t="n">
        <f aca="false">(M28/$G$2)^(1/$G$3)</f>
        <v>0.0913560469968065</v>
      </c>
      <c r="Q28" s="1" t="n">
        <f aca="false">(N28/$H$2)^(1/$H$3)</f>
        <v>0.077300415806644</v>
      </c>
      <c r="S28" s="1" t="n">
        <f aca="false">P28*$K28/$I28</f>
        <v>0.239090434226231</v>
      </c>
      <c r="T28" s="1" t="n">
        <f aca="false">Q28*$K28/$I28</f>
        <v>0.202305053563939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3.81"/>
    <col collapsed="false" customWidth="true" hidden="false" outlineLevel="0" max="9" min="9" style="1" width="10.76"/>
    <col collapsed="false" customWidth="true" hidden="false" outlineLevel="0" max="10" min="10" style="1" width="11.17"/>
    <col collapsed="false" customWidth="true" hidden="false" outlineLevel="0" max="11" min="11" style="1" width="11.0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54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156.413729</v>
      </c>
      <c r="H2" s="4" t="n">
        <v>129.780531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1.03759299</v>
      </c>
      <c r="H3" s="1" t="n">
        <v>1.03602508</v>
      </c>
      <c r="M3" s="1" t="s">
        <v>4</v>
      </c>
      <c r="N3" s="1" t="s">
        <v>55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56</v>
      </c>
      <c r="B5" s="19" t="s">
        <v>32</v>
      </c>
      <c r="C5" s="20" t="n">
        <v>1</v>
      </c>
      <c r="D5" s="21" t="n">
        <v>2.8196</v>
      </c>
      <c r="E5" s="19" t="n">
        <v>300</v>
      </c>
      <c r="F5" s="20" t="n">
        <v>3.0137</v>
      </c>
      <c r="G5" s="19" t="n">
        <f aca="false">1000-E5</f>
        <v>700</v>
      </c>
      <c r="H5" s="20" t="n">
        <v>3.5711</v>
      </c>
      <c r="I5" s="22" t="n">
        <f aca="false">F5-D5</f>
        <v>0.1941</v>
      </c>
      <c r="J5" s="22" t="n">
        <f aca="false">H5-F5</f>
        <v>0.5574</v>
      </c>
      <c r="K5" s="22" t="n">
        <f aca="false">J5+I5</f>
        <v>0.7515</v>
      </c>
      <c r="L5" s="23" t="n">
        <v>44.3399</v>
      </c>
      <c r="M5" s="23" t="n">
        <v>0.0206</v>
      </c>
      <c r="N5" s="23" t="n">
        <v>0.0466</v>
      </c>
      <c r="O5" s="24" t="n">
        <f aca="false">(L5/$F$2)^(1/$F$3)</f>
        <v>0.300971627912207</v>
      </c>
      <c r="P5" s="47" t="n">
        <f aca="false">(M5/$G$2)^(1/$G$3)</f>
        <v>0.000182046881705432</v>
      </c>
      <c r="Q5" s="26" t="n">
        <f aca="false">(N5/$H$2)^(1/$H$3)</f>
        <v>0.000473108945958362</v>
      </c>
      <c r="R5" s="25" t="n">
        <f aca="false">O5*$K5/$I5</f>
        <v>1.16527655010831</v>
      </c>
      <c r="S5" s="47" t="n">
        <f aca="false">P5*$K5/$I5</f>
        <v>0.000704833753743596</v>
      </c>
      <c r="T5" s="26" t="n">
        <f aca="false">Q5*$K5/$I5</f>
        <v>0.00183174329153894</v>
      </c>
      <c r="U5" s="27" t="n">
        <v>96.2569</v>
      </c>
      <c r="V5" s="27"/>
      <c r="W5" s="48" t="n">
        <f aca="false">AVERAGE(R5:R6)/100</f>
        <v>0.00743720400888518</v>
      </c>
      <c r="X5" s="49" t="n">
        <f aca="false">AVERAGE(S5:S6)/100</f>
        <v>4.96397301176585E-006</v>
      </c>
      <c r="Y5" s="49" t="n">
        <f aca="false">AVERAGE(T5:T6)/100</f>
        <v>1.16618192150982E-005</v>
      </c>
      <c r="Z5" s="50" t="n">
        <f aca="false">AVERAGE(U5:V6)/100</f>
        <v>0.97173</v>
      </c>
      <c r="AA5" s="2" t="n">
        <f aca="false">SUM(W5:Z5)</f>
        <v>0.979183829801112</v>
      </c>
      <c r="AD5" s="0" t="n">
        <v>0.00743720400888518</v>
      </c>
      <c r="AE5" s="0" t="n">
        <v>4.96397301176585E-006</v>
      </c>
      <c r="AF5" s="0" t="n">
        <v>1.16618192150982E-005</v>
      </c>
      <c r="AG5" s="0" t="n">
        <v>0.992546170198888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2.8655</v>
      </c>
      <c r="E6" s="20" t="n">
        <v>300</v>
      </c>
      <c r="F6" s="20" t="n">
        <v>3.0706</v>
      </c>
      <c r="G6" s="19" t="n">
        <f aca="false">1000-E6</f>
        <v>700</v>
      </c>
      <c r="H6" s="20" t="n">
        <v>3.6826</v>
      </c>
      <c r="I6" s="22" t="n">
        <f aca="false">F6-D6</f>
        <v>0.2051</v>
      </c>
      <c r="J6" s="22" t="n">
        <f aca="false">H6-F6</f>
        <v>0.612</v>
      </c>
      <c r="K6" s="22" t="n">
        <f aca="false">J6+I6</f>
        <v>0.8171</v>
      </c>
      <c r="L6" s="23" t="n">
        <v>11.0618</v>
      </c>
      <c r="M6" s="23" t="n">
        <v>0.0079</v>
      </c>
      <c r="N6" s="23" t="n">
        <v>0.0118</v>
      </c>
      <c r="O6" s="24" t="n">
        <f aca="false">(L6/$F$2)^(1/$F$3)</f>
        <v>0.0808663419621284</v>
      </c>
      <c r="P6" s="47" t="n">
        <f aca="false">(M6/$G$2)^(1/$G$3)</f>
        <v>7.2280957104178E-005</v>
      </c>
      <c r="Q6" s="26" t="n">
        <f aca="false">(N6/$H$2)^(1/$H$3)</f>
        <v>0.000125660598590981</v>
      </c>
      <c r="R6" s="25" t="n">
        <f aca="false">O6*$K6/$I6</f>
        <v>0.322164251668723</v>
      </c>
      <c r="S6" s="47" t="n">
        <f aca="false">P6*$K6/$I6</f>
        <v>0.000287960848609575</v>
      </c>
      <c r="T6" s="26" t="n">
        <f aca="false">Q6*$K6/$I6</f>
        <v>0.000500620551480696</v>
      </c>
      <c r="U6" s="27" t="n">
        <v>98.0891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2.7973</v>
      </c>
      <c r="E7" s="34" t="n">
        <v>100</v>
      </c>
      <c r="F7" s="34" t="n">
        <v>2.9822</v>
      </c>
      <c r="G7" s="30" t="n">
        <f aca="false">1000-E7</f>
        <v>900</v>
      </c>
      <c r="H7" s="34" t="n">
        <v>3.5877</v>
      </c>
      <c r="I7" s="35" t="n">
        <f aca="false">F7-D7</f>
        <v>0.1849</v>
      </c>
      <c r="J7" s="35" t="n">
        <f aca="false">H7-F7</f>
        <v>0.6055</v>
      </c>
      <c r="K7" s="35" t="n">
        <f aca="false">J7+I7</f>
        <v>0.7904</v>
      </c>
      <c r="L7" s="1" t="n">
        <v>356.0803</v>
      </c>
      <c r="M7" s="1" t="n">
        <v>6.3681</v>
      </c>
      <c r="N7" s="36" t="n">
        <v>5.6482</v>
      </c>
      <c r="O7" s="52" t="n">
        <f aca="false">(L7/$F$2)^(1/$F$3)</f>
        <v>2.16244989571547</v>
      </c>
      <c r="P7" s="53" t="n">
        <f aca="false">(M7/$G$2)^(1/$G$3)</f>
        <v>0.0457199387500349</v>
      </c>
      <c r="Q7" s="54" t="n">
        <f aca="false">(N7/$H$2)^(1/$H$3)</f>
        <v>0.0485328920811165</v>
      </c>
      <c r="R7" s="55" t="n">
        <f aca="false">O7*$K7/$I7</f>
        <v>9.24391778027856</v>
      </c>
      <c r="S7" s="53" t="n">
        <f aca="false">P7*$K7/$I7</f>
        <v>0.195440992904421</v>
      </c>
      <c r="T7" s="54" t="n">
        <f aca="false">Q7*$K7/$I7</f>
        <v>0.207465645759407</v>
      </c>
      <c r="U7" s="2" t="n">
        <v>7.7273</v>
      </c>
      <c r="V7" s="2"/>
      <c r="W7" s="51" t="n">
        <f aca="false">AVERAGE(R7:R8)/100</f>
        <v>0.263874390976527</v>
      </c>
      <c r="X7" s="0" t="n">
        <f aca="false">AVERAGE(S7:S8)/100</f>
        <v>0.00570232984465359</v>
      </c>
      <c r="Y7" s="1" t="n">
        <f aca="false">AVERAGE(T7:T8)/100</f>
        <v>0.00609042319793964</v>
      </c>
      <c r="Z7" s="33" t="n">
        <f aca="false">AVERAGE(U7:V8)/100</f>
        <v>0.0787575</v>
      </c>
      <c r="AA7" s="2" t="n">
        <f aca="false">SUM(W7:Z7)</f>
        <v>0.35442464401912</v>
      </c>
      <c r="AD7" s="0" t="n">
        <v>0.881832706230425</v>
      </c>
      <c r="AE7" s="0" t="n">
        <v>0.0190564190034519</v>
      </c>
      <c r="AF7" s="0" t="n">
        <v>0.0203533747661228</v>
      </c>
      <c r="AG7" s="0" t="n">
        <v>0.0787575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2.7953</v>
      </c>
      <c r="E8" s="34" t="n">
        <v>100</v>
      </c>
      <c r="F8" s="34" t="n">
        <v>3.0093</v>
      </c>
      <c r="G8" s="30" t="n">
        <f aca="false">1000-E8</f>
        <v>900</v>
      </c>
      <c r="H8" s="34" t="n">
        <v>3.5658</v>
      </c>
      <c r="I8" s="35" t="n">
        <f aca="false">F8-D8</f>
        <v>0.214</v>
      </c>
      <c r="J8" s="35" t="n">
        <f aca="false">H8-F8</f>
        <v>0.5565</v>
      </c>
      <c r="K8" s="35" t="n">
        <f aca="false">J8+I8</f>
        <v>0.7705</v>
      </c>
      <c r="L8" s="36" t="n">
        <v>2193.9495</v>
      </c>
      <c r="M8" s="36" t="n">
        <v>39.041</v>
      </c>
      <c r="N8" s="36" t="n">
        <v>34.7985</v>
      </c>
      <c r="O8" s="52" t="n">
        <f aca="false">(L8/$F$2)^(1/$F$3)</f>
        <v>12.0903640867174</v>
      </c>
      <c r="P8" s="53" t="n">
        <f aca="false">(M8/$G$2)^(1/$G$3)</f>
        <v>0.262472868098154</v>
      </c>
      <c r="Q8" s="54" t="n">
        <f aca="false">(N8/$H$2)^(1/$H$3)</f>
        <v>0.280691063827779</v>
      </c>
      <c r="R8" s="55" t="n">
        <f aca="false">O8*$K8/$I8</f>
        <v>43.5309604150268</v>
      </c>
      <c r="S8" s="53" t="n">
        <f aca="false">P8*$K8/$I8</f>
        <v>0.945024976026297</v>
      </c>
      <c r="T8" s="54" t="n">
        <f aca="false">Q8*$K8/$I8</f>
        <v>1.01061899382852</v>
      </c>
      <c r="U8" s="2" t="n">
        <v>8.0242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57</v>
      </c>
      <c r="B9" s="19" t="s">
        <v>32</v>
      </c>
      <c r="C9" s="20" t="n">
        <v>5</v>
      </c>
      <c r="D9" s="19" t="n">
        <v>2.7911</v>
      </c>
      <c r="E9" s="19" t="n">
        <v>300</v>
      </c>
      <c r="F9" s="20" t="n">
        <v>2.9917</v>
      </c>
      <c r="G9" s="19" t="n">
        <f aca="false">1000-E9</f>
        <v>700</v>
      </c>
      <c r="H9" s="20" t="n">
        <v>3.6113</v>
      </c>
      <c r="I9" s="22" t="n">
        <f aca="false">F9-D9</f>
        <v>0.2006</v>
      </c>
      <c r="J9" s="22" t="n">
        <f aca="false">H9-F9</f>
        <v>0.6196</v>
      </c>
      <c r="K9" s="22" t="n">
        <f aca="false">J9+I9</f>
        <v>0.8202</v>
      </c>
      <c r="L9" s="23" t="n">
        <v>2.5679</v>
      </c>
      <c r="M9" s="23" t="n">
        <v>3.8544</v>
      </c>
      <c r="N9" s="23" t="n">
        <v>4.1471</v>
      </c>
      <c r="O9" s="24" t="n">
        <f aca="false">(L9/$F$2)^(1/$F$3)</f>
        <v>0.0202956139040449</v>
      </c>
      <c r="P9" s="47" t="n">
        <f aca="false">(M9/$G$2)^(1/$G$3)</f>
        <v>0.0281807677510952</v>
      </c>
      <c r="Q9" s="26" t="n">
        <f aca="false">(N9/$H$2)^(1/$H$3)</f>
        <v>0.0360193500285744</v>
      </c>
      <c r="R9" s="25" t="n">
        <f aca="false">O9*$K9/$I9</f>
        <v>0.0829833625328898</v>
      </c>
      <c r="S9" s="47" t="n">
        <f aca="false">P9*$K9/$I9</f>
        <v>0.115223657574518</v>
      </c>
      <c r="T9" s="26" t="n">
        <f aca="false">Q9*$K9/$I9</f>
        <v>0.147273533865587</v>
      </c>
      <c r="U9" s="27" t="n">
        <v>98.7791</v>
      </c>
      <c r="V9" s="27"/>
      <c r="W9" s="56" t="n">
        <f aca="false">AVERAGE(R9:R10)/100</f>
        <v>0.000870153351752123</v>
      </c>
      <c r="X9" s="57" t="n">
        <f aca="false">AVERAGE(S9:S10)/100</f>
        <v>0.0025674506288186</v>
      </c>
      <c r="Y9" s="57" t="n">
        <f aca="false">AVERAGE(T9:T10)/100</f>
        <v>0.00295007111481544</v>
      </c>
      <c r="Z9" s="29" t="n">
        <f aca="false">AVERAGE(U9:V10)/100</f>
        <v>0.9803175</v>
      </c>
      <c r="AA9" s="2" t="n">
        <f aca="false">SUM(W9:Z9)</f>
        <v>0.986705175095386</v>
      </c>
      <c r="AD9" s="0" t="n">
        <v>0.000829833625328898</v>
      </c>
      <c r="AE9" s="0" t="n">
        <v>0.00115223657574518</v>
      </c>
      <c r="AF9" s="0" t="n">
        <v>0.00147273533865587</v>
      </c>
      <c r="AG9" s="0" t="n">
        <v>0.99654519446027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2.8057</v>
      </c>
      <c r="E10" s="20" t="n">
        <v>300</v>
      </c>
      <c r="F10" s="20" t="n">
        <v>3.0124</v>
      </c>
      <c r="G10" s="19" t="n">
        <f aca="false">1000-E10</f>
        <v>700</v>
      </c>
      <c r="H10" s="20" t="n">
        <v>3.6202</v>
      </c>
      <c r="I10" s="22" t="n">
        <f aca="false">F10-D10</f>
        <v>0.2067</v>
      </c>
      <c r="J10" s="22" t="n">
        <f aca="false">H10-F10</f>
        <v>0.6078</v>
      </c>
      <c r="K10" s="22" t="n">
        <f aca="false">J10+I10</f>
        <v>0.8145</v>
      </c>
      <c r="L10" s="23" t="n">
        <v>2.9449</v>
      </c>
      <c r="M10" s="23" t="n">
        <v>14.5037</v>
      </c>
      <c r="N10" s="23" t="n">
        <v>13.4774</v>
      </c>
      <c r="O10" s="24" t="n">
        <f aca="false">(L10/$F$2)^(1/$F$3)</f>
        <v>0.0231055598844499</v>
      </c>
      <c r="P10" s="47" t="n">
        <f aca="false">(M10/$G$2)^(1/$G$3)</f>
        <v>0.10107020131947</v>
      </c>
      <c r="Q10" s="26" t="n">
        <f aca="false">(N10/$H$2)^(1/$H$3)</f>
        <v>0.112356661063785</v>
      </c>
      <c r="R10" s="25" t="n">
        <f aca="false">O10*$K10/$I10</f>
        <v>0.0910473078175348</v>
      </c>
      <c r="S10" s="47" t="n">
        <f aca="false">P10*$K10/$I10</f>
        <v>0.398266468189202</v>
      </c>
      <c r="T10" s="26" t="n">
        <f aca="false">Q10*$K10/$I10</f>
        <v>0.4427406890975</v>
      </c>
      <c r="U10" s="27" t="n">
        <v>97.2844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2.8658</v>
      </c>
      <c r="E11" s="34" t="n">
        <v>100</v>
      </c>
      <c r="F11" s="34" t="n">
        <v>3.053</v>
      </c>
      <c r="G11" s="30" t="n">
        <f aca="false">1000-E11</f>
        <v>900</v>
      </c>
      <c r="H11" s="34" t="n">
        <v>3.678</v>
      </c>
      <c r="I11" s="35" t="n">
        <f aca="false">F11-D11</f>
        <v>0.1872</v>
      </c>
      <c r="J11" s="35" t="n">
        <f aca="false">H11-F11</f>
        <v>0.625</v>
      </c>
      <c r="K11" s="35" t="n">
        <f aca="false">J11+I11</f>
        <v>0.8122</v>
      </c>
      <c r="L11" s="40" t="n">
        <v>84.6803</v>
      </c>
      <c r="M11" s="40" t="n">
        <v>880.5096</v>
      </c>
      <c r="N11" s="36" t="n">
        <v>786.4432</v>
      </c>
      <c r="O11" s="52" t="n">
        <f aca="false">(L11/$F$2)^(1/$F$3)</f>
        <v>0.555267964818676</v>
      </c>
      <c r="P11" s="53" t="n">
        <f aca="false">(M11/$G$2)^(1/$G$3)</f>
        <v>5.28773116869426</v>
      </c>
      <c r="Q11" s="54" t="n">
        <f aca="false">(N11/$H$2)^(1/$H$3)</f>
        <v>5.69180322810508</v>
      </c>
      <c r="R11" s="55" t="n">
        <f aca="false">O11*$K11/$I11</f>
        <v>2.40912735590667</v>
      </c>
      <c r="S11" s="53" t="n">
        <f aca="false">P11*$K11/$I11</f>
        <v>22.9417481581917</v>
      </c>
      <c r="T11" s="54" t="n">
        <f aca="false">Q11*$K11/$I11</f>
        <v>24.6948855868961</v>
      </c>
      <c r="U11" s="2" t="n">
        <v>2.9293</v>
      </c>
      <c r="V11" s="2"/>
      <c r="W11" s="51" t="n">
        <f aca="false">AVERAGE(R11:R12)/100</f>
        <v>0.0346950880777213</v>
      </c>
      <c r="X11" s="0" t="n">
        <f aca="false">AVERAGE(S11:S12)/100</f>
        <v>0.331954801317649</v>
      </c>
      <c r="Y11" s="1" t="n">
        <f aca="false">AVERAGE(T11:T12)/100</f>
        <v>0.356988056397143</v>
      </c>
      <c r="Z11" s="33" t="n">
        <f aca="false">AVERAGE(U11:V12)/100</f>
        <v>0.02924</v>
      </c>
      <c r="AA11" s="2" t="n">
        <f aca="false">SUM(W11:Z11)</f>
        <v>0.752877945792514</v>
      </c>
      <c r="AD11" s="0" t="n">
        <v>0.0465434460674148</v>
      </c>
      <c r="AE11" s="0" t="n">
        <v>0.445317226384806</v>
      </c>
      <c r="AF11" s="0" t="n">
        <v>0.478899327547779</v>
      </c>
      <c r="AG11" s="0" t="n">
        <v>0.02924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2.8543</v>
      </c>
      <c r="E12" s="34" t="n">
        <v>100</v>
      </c>
      <c r="F12" s="34" t="n">
        <v>3.0652</v>
      </c>
      <c r="G12" s="30" t="n">
        <f aca="false">1000-E12</f>
        <v>900</v>
      </c>
      <c r="H12" s="34" t="n">
        <v>3.6767</v>
      </c>
      <c r="I12" s="35" t="n">
        <f aca="false">F12-D12</f>
        <v>0.2109</v>
      </c>
      <c r="J12" s="35" t="n">
        <f aca="false">H12-F12</f>
        <v>0.6115</v>
      </c>
      <c r="K12" s="35" t="n">
        <f aca="false">J12+I12</f>
        <v>0.8224</v>
      </c>
      <c r="L12" s="36" t="n">
        <v>184.6941</v>
      </c>
      <c r="M12" s="36" t="n">
        <v>1908.1354</v>
      </c>
      <c r="N12" s="36" t="n">
        <v>1699.7787</v>
      </c>
      <c r="O12" s="52" t="n">
        <f aca="false">(L12/$F$2)^(1/$F$3)</f>
        <v>1.16166568063906</v>
      </c>
      <c r="P12" s="53" t="n">
        <f aca="false">(M12/$G$2)^(1/$G$3)</f>
        <v>11.142313756099</v>
      </c>
      <c r="Q12" s="54" t="n">
        <f aca="false">(N12/$H$2)^(1/$H$3)</f>
        <v>11.9766595921147</v>
      </c>
      <c r="R12" s="55" t="n">
        <f aca="false">O12*$K12/$I12</f>
        <v>4.52989025963758</v>
      </c>
      <c r="S12" s="53" t="n">
        <f aca="false">P12*$K12/$I12</f>
        <v>43.4492121053382</v>
      </c>
      <c r="T12" s="54" t="n">
        <f aca="false">Q12*$K12/$I12</f>
        <v>46.7027256925326</v>
      </c>
      <c r="U12" s="2" t="n">
        <v>2.9187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58</v>
      </c>
      <c r="B13" s="19" t="s">
        <v>32</v>
      </c>
      <c r="C13" s="20" t="n">
        <v>9</v>
      </c>
      <c r="D13" s="19" t="n">
        <v>2.8603</v>
      </c>
      <c r="E13" s="19" t="n">
        <v>300</v>
      </c>
      <c r="F13" s="20" t="n">
        <v>3.0593</v>
      </c>
      <c r="G13" s="19" t="n">
        <f aca="false">1000-E13</f>
        <v>700</v>
      </c>
      <c r="H13" s="20" t="n">
        <v>3.6801</v>
      </c>
      <c r="I13" s="22" t="n">
        <f aca="false">F13-D13</f>
        <v>0.199</v>
      </c>
      <c r="J13" s="22" t="n">
        <f aca="false">H13-F13</f>
        <v>0.6208</v>
      </c>
      <c r="K13" s="22" t="n">
        <f aca="false">J13+I13</f>
        <v>0.8198</v>
      </c>
      <c r="L13" s="23" t="n">
        <v>67.8512</v>
      </c>
      <c r="M13" s="23" t="n">
        <v>13.7089</v>
      </c>
      <c r="N13" s="23" t="n">
        <v>13.5458</v>
      </c>
      <c r="O13" s="24" t="n">
        <f aca="false">(L13/$F$2)^(1/$F$3)</f>
        <v>0.450213157020532</v>
      </c>
      <c r="P13" s="47" t="n">
        <f aca="false">(M13/$G$2)^(1/$G$3)</f>
        <v>0.0957268409996605</v>
      </c>
      <c r="Q13" s="26" t="n">
        <f aca="false">(N13/$H$2)^(1/$H$3)</f>
        <v>0.112907012727136</v>
      </c>
      <c r="R13" s="25" t="n">
        <f aca="false">O13*$K13/$I13</f>
        <v>1.85469721671071</v>
      </c>
      <c r="S13" s="47" t="n">
        <f aca="false">P13*$K13/$I13</f>
        <v>0.394356101766441</v>
      </c>
      <c r="T13" s="26" t="n">
        <f aca="false">Q13*$K13/$I13</f>
        <v>0.465131502681941</v>
      </c>
      <c r="U13" s="27" t="n">
        <v>97.4976</v>
      </c>
      <c r="V13" s="27"/>
      <c r="W13" s="56" t="n">
        <f aca="false">AVERAGE(R13:R14)/100</f>
        <v>0.0174422380068271</v>
      </c>
      <c r="X13" s="57" t="n">
        <f aca="false">AVERAGE(S13:S14)/100</f>
        <v>0.00358967991276696</v>
      </c>
      <c r="Y13" s="57" t="n">
        <f aca="false">AVERAGE(T13:T14)/100</f>
        <v>0.00420661462210444</v>
      </c>
      <c r="Z13" s="29" t="n">
        <f aca="false">AVERAGE(U13:V14)/100</f>
        <v>0.9728655</v>
      </c>
      <c r="AA13" s="2" t="n">
        <f aca="false">SUM(W13:Z13)</f>
        <v>0.998104032541699</v>
      </c>
      <c r="AD13" s="0" t="n">
        <v>0.0174422380068271</v>
      </c>
      <c r="AE13" s="0" t="n">
        <v>0.00358967991276696</v>
      </c>
      <c r="AF13" s="0" t="n">
        <v>0.00420661462210444</v>
      </c>
      <c r="AG13" s="0" t="n">
        <v>0.974761467458302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2.8429</v>
      </c>
      <c r="E14" s="20" t="n">
        <v>300</v>
      </c>
      <c r="F14" s="20" t="n">
        <v>3.046</v>
      </c>
      <c r="G14" s="19" t="n">
        <f aca="false">1000-E14</f>
        <v>700</v>
      </c>
      <c r="H14" s="20" t="n">
        <v>3.6531</v>
      </c>
      <c r="I14" s="22" t="n">
        <f aca="false">F14-D14</f>
        <v>0.2031</v>
      </c>
      <c r="J14" s="22" t="n">
        <f aca="false">H14-F14</f>
        <v>0.6071</v>
      </c>
      <c r="K14" s="22" t="n">
        <f aca="false">J14+I14</f>
        <v>0.8102</v>
      </c>
      <c r="L14" s="23" t="n">
        <v>61.3935</v>
      </c>
      <c r="M14" s="23" t="n">
        <v>11.5442</v>
      </c>
      <c r="N14" s="23" t="n">
        <v>11.2407</v>
      </c>
      <c r="O14" s="24" t="n">
        <f aca="false">(L14/$F$2)^(1/$F$3)</f>
        <v>0.409546659001937</v>
      </c>
      <c r="P14" s="47" t="n">
        <f aca="false">(M14/$G$2)^(1/$G$3)</f>
        <v>0.0811146306934456</v>
      </c>
      <c r="Q14" s="26" t="n">
        <f aca="false">(N14/$H$2)^(1/$H$3)</f>
        <v>0.0943032309987413</v>
      </c>
      <c r="R14" s="25" t="n">
        <f aca="false">O14*$K14/$I14</f>
        <v>1.6337503846547</v>
      </c>
      <c r="S14" s="47" t="n">
        <f aca="false">P14*$K14/$I14</f>
        <v>0.323579880786951</v>
      </c>
      <c r="T14" s="26" t="n">
        <f aca="false">Q14*$K14/$I14</f>
        <v>0.376191421738948</v>
      </c>
      <c r="U14" s="27" t="n">
        <v>97.0755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2.8676</v>
      </c>
      <c r="E15" s="34" t="n">
        <v>100</v>
      </c>
      <c r="F15" s="34" t="n">
        <v>3.0561</v>
      </c>
      <c r="G15" s="30" t="n">
        <f aca="false">1000-E15</f>
        <v>900</v>
      </c>
      <c r="H15" s="34" t="n">
        <v>3.6339</v>
      </c>
      <c r="I15" s="35" t="n">
        <f aca="false">F15-D15</f>
        <v>0.1885</v>
      </c>
      <c r="J15" s="35" t="n">
        <f aca="false">H15-F15</f>
        <v>0.5778</v>
      </c>
      <c r="K15" s="35" t="n">
        <f aca="false">J15+I15</f>
        <v>0.7663</v>
      </c>
      <c r="L15" s="36" t="n">
        <v>1883.4151</v>
      </c>
      <c r="M15" s="36" t="n">
        <v>957.9184</v>
      </c>
      <c r="N15" s="41" t="n">
        <v>857.5647</v>
      </c>
      <c r="O15" s="52" t="n">
        <f aca="false">(L15/$F$2)^(1/$F$3)</f>
        <v>10.4640442937683</v>
      </c>
      <c r="P15" s="53" t="n">
        <f aca="false">(M15/$G$2)^(1/$G$3)</f>
        <v>5.73505961065621</v>
      </c>
      <c r="Q15" s="54" t="n">
        <f aca="false">(N15/$H$2)^(1/$H$3)</f>
        <v>6.18788146419771</v>
      </c>
      <c r="R15" s="55" t="n">
        <f aca="false">O15*$K15/$I15</f>
        <v>42.5389768823057</v>
      </c>
      <c r="S15" s="53" t="n">
        <f aca="false">P15*$K15/$I15</f>
        <v>23.3144624914899</v>
      </c>
      <c r="T15" s="54" t="n">
        <f aca="false">Q15*$K15/$I15</f>
        <v>25.1552974324388</v>
      </c>
      <c r="U15" s="2" t="n">
        <v>4.1294</v>
      </c>
      <c r="V15" s="2"/>
      <c r="W15" s="51" t="n">
        <f aca="false">AVERAGE(R15:R16)/100</f>
        <v>0.407759479698317</v>
      </c>
      <c r="X15" s="0" t="n">
        <f aca="false">AVERAGE(S15:S16)/100</f>
        <v>0.223529682337524</v>
      </c>
      <c r="Y15" s="1" t="n">
        <f aca="false">AVERAGE(T15:T16)/100</f>
        <v>0.239831510226846</v>
      </c>
      <c r="Z15" s="33" t="n">
        <f aca="false">AVERAGE(U15:V16)/100</f>
        <v>0.04192</v>
      </c>
      <c r="AA15" s="2" t="n">
        <f aca="false">SUM(W15:Z15)</f>
        <v>0.913040672262687</v>
      </c>
      <c r="AD15" s="0" t="n">
        <v>0.448463932436169</v>
      </c>
      <c r="AE15" s="0" t="n">
        <v>0.245843457597749</v>
      </c>
      <c r="AF15" s="0" t="n">
        <v>0.263772609966082</v>
      </c>
      <c r="AG15" s="0" t="n">
        <v>0.04192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2.8544</v>
      </c>
      <c r="E16" s="34" t="n">
        <v>100</v>
      </c>
      <c r="F16" s="34" t="n">
        <v>3.0582</v>
      </c>
      <c r="G16" s="30" t="n">
        <f aca="false">1000-E16</f>
        <v>900</v>
      </c>
      <c r="H16" s="34" t="n">
        <v>3.6349</v>
      </c>
      <c r="I16" s="35" t="n">
        <f aca="false">F16-D16</f>
        <v>0.2038</v>
      </c>
      <c r="J16" s="35" t="n">
        <f aca="false">H16-F16</f>
        <v>0.5767</v>
      </c>
      <c r="K16" s="35" t="n">
        <f aca="false">J16+I16</f>
        <v>0.7805</v>
      </c>
      <c r="L16" s="36" t="n">
        <v>1830.7463</v>
      </c>
      <c r="M16" s="36" t="n">
        <v>932.0335</v>
      </c>
      <c r="N16" s="36" t="n">
        <v>824.3351</v>
      </c>
      <c r="O16" s="52" t="n">
        <f aca="false">(L16/$F$2)^(1/$F$3)</f>
        <v>10.1868454886477</v>
      </c>
      <c r="P16" s="53" t="n">
        <f aca="false">(M16/$G$2)^(1/$G$3)</f>
        <v>5.58562766984217</v>
      </c>
      <c r="Q16" s="54" t="n">
        <f aca="false">(N16/$H$2)^(1/$H$3)</f>
        <v>5.95628794377349</v>
      </c>
      <c r="R16" s="55" t="n">
        <f aca="false">O16*$K16/$I16</f>
        <v>39.0129190573577</v>
      </c>
      <c r="S16" s="53" t="n">
        <f aca="false">P16*$K16/$I16</f>
        <v>21.3914739760148</v>
      </c>
      <c r="T16" s="54" t="n">
        <f aca="false">Q16*$K16/$I16</f>
        <v>22.8110046129304</v>
      </c>
      <c r="U16" s="2" t="n">
        <v>4.2546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59</v>
      </c>
      <c r="B17" s="19" t="s">
        <v>32</v>
      </c>
      <c r="C17" s="20" t="n">
        <v>13</v>
      </c>
      <c r="D17" s="19" t="n">
        <v>2.7934</v>
      </c>
      <c r="E17" s="19" t="n">
        <v>300</v>
      </c>
      <c r="F17" s="20" t="n">
        <v>2.9943</v>
      </c>
      <c r="G17" s="19" t="n">
        <f aca="false">1000-E17</f>
        <v>700</v>
      </c>
      <c r="H17" s="20" t="n">
        <v>3.616</v>
      </c>
      <c r="I17" s="22" t="n">
        <f aca="false">F17-D17</f>
        <v>0.2009</v>
      </c>
      <c r="J17" s="22" t="n">
        <f aca="false">H17-F17</f>
        <v>0.6217</v>
      </c>
      <c r="K17" s="22" t="n">
        <f aca="false">J17+I17</f>
        <v>0.8226</v>
      </c>
      <c r="L17" s="23" t="n">
        <v>57.1915</v>
      </c>
      <c r="M17" s="23" t="n">
        <v>0.3476</v>
      </c>
      <c r="N17" s="23" t="n">
        <v>0.7863</v>
      </c>
      <c r="O17" s="24" t="n">
        <f aca="false">(L17/$F$2)^(1/$F$3)</f>
        <v>0.382963479112082</v>
      </c>
      <c r="P17" s="47" t="n">
        <f aca="false">(M17/$G$2)^(1/$G$3)</f>
        <v>0.00277289039303249</v>
      </c>
      <c r="Q17" s="26" t="n">
        <f aca="false">(N17/$H$2)^(1/$H$3)</f>
        <v>0.00723586983884516</v>
      </c>
      <c r="R17" s="25" t="n">
        <f aca="false">O17*$K17/$I17</f>
        <v>1.56807246350223</v>
      </c>
      <c r="S17" s="47" t="n">
        <f aca="false">P17*$K17/$I17</f>
        <v>0.0113538060592759</v>
      </c>
      <c r="T17" s="26" t="n">
        <f aca="false">Q17*$K17/$I17</f>
        <v>0.02962780751336</v>
      </c>
      <c r="U17" s="27" t="n">
        <v>98.3636</v>
      </c>
      <c r="V17" s="27"/>
      <c r="W17" s="56" t="n">
        <f aca="false">AVERAGE(R17:R18)/100</f>
        <v>0.0155227650154516</v>
      </c>
      <c r="X17" s="57" t="n">
        <f aca="false">AVERAGE(S17:S18)/100</f>
        <v>0.000110416181143723</v>
      </c>
      <c r="Y17" s="57" t="n">
        <f aca="false">AVERAGE(T17:T18)/100</f>
        <v>0.000288936088933308</v>
      </c>
      <c r="Z17" s="29" t="n">
        <f aca="false">AVERAGE(U17:V18)/100</f>
        <v>0.9848205</v>
      </c>
      <c r="AA17" s="2" t="n">
        <f aca="false">SUM(W17:Z17)</f>
        <v>1.00074261728553</v>
      </c>
      <c r="AD17" s="0" t="n">
        <v>0.0155227650154516</v>
      </c>
      <c r="AE17" s="0" t="n">
        <v>0.000110416181143723</v>
      </c>
      <c r="AF17" s="0" t="n">
        <v>0.000288936088933308</v>
      </c>
      <c r="AG17" s="0" t="n">
        <v>0.984077882714471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2.8597</v>
      </c>
      <c r="E18" s="20" t="n">
        <v>300</v>
      </c>
      <c r="F18" s="20" t="n">
        <v>3.0662</v>
      </c>
      <c r="G18" s="19" t="n">
        <f aca="false">1000-E18</f>
        <v>700</v>
      </c>
      <c r="H18" s="20" t="n">
        <v>3.6961</v>
      </c>
      <c r="I18" s="22" t="n">
        <f aca="false">F18-D18</f>
        <v>0.2065</v>
      </c>
      <c r="J18" s="22" t="n">
        <f aca="false">H18-F18</f>
        <v>0.6299</v>
      </c>
      <c r="K18" s="22" t="n">
        <f aca="false">J18+I18</f>
        <v>0.8364</v>
      </c>
      <c r="L18" s="23" t="n">
        <v>56.6206</v>
      </c>
      <c r="M18" s="23" t="n">
        <v>0.3315</v>
      </c>
      <c r="N18" s="23" t="n">
        <v>0.7544</v>
      </c>
      <c r="O18" s="24" t="n">
        <f aca="false">(L18/$F$2)^(1/$F$3)</f>
        <v>0.379343892186682</v>
      </c>
      <c r="P18" s="47" t="n">
        <f aca="false">(M18/$G$2)^(1/$G$3)</f>
        <v>0.00264900445958306</v>
      </c>
      <c r="Q18" s="26" t="n">
        <f aca="false">(N18/$H$2)^(1/$H$3)</f>
        <v>0.00695231733792054</v>
      </c>
      <c r="R18" s="25" t="n">
        <f aca="false">O18*$K18/$I18</f>
        <v>1.53648053958809</v>
      </c>
      <c r="S18" s="47" t="n">
        <f aca="false">P18*$K18/$I18</f>
        <v>0.0107294301694686</v>
      </c>
      <c r="T18" s="26" t="n">
        <f aca="false">Q18*$K18/$I18</f>
        <v>0.0281594102733015</v>
      </c>
      <c r="U18" s="27" t="n">
        <v>98.6005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2.797</v>
      </c>
      <c r="E19" s="34" t="n">
        <v>100</v>
      </c>
      <c r="F19" s="34" t="n">
        <v>2.9859</v>
      </c>
      <c r="G19" s="30" t="n">
        <f aca="false">1000-E19</f>
        <v>900</v>
      </c>
      <c r="H19" s="34" t="n">
        <v>3.5978</v>
      </c>
      <c r="I19" s="35" t="n">
        <f aca="false">F19-D19</f>
        <v>0.1889</v>
      </c>
      <c r="J19" s="35" t="n">
        <f aca="false">H19-F19</f>
        <v>0.6119</v>
      </c>
      <c r="K19" s="35" t="n">
        <f aca="false">J19+I19</f>
        <v>0.8008</v>
      </c>
      <c r="L19" s="36" t="n">
        <v>2552.0538</v>
      </c>
      <c r="M19" s="36" t="n">
        <v>489.9162</v>
      </c>
      <c r="N19" s="36" t="n">
        <v>436.5485</v>
      </c>
      <c r="O19" s="52" t="n">
        <f aca="false">(L19/$F$2)^(1/$F$3)</f>
        <v>13.9506611492736</v>
      </c>
      <c r="P19" s="53" t="n">
        <f aca="false">(M19/$G$2)^(1/$G$3)</f>
        <v>3.0052590953675</v>
      </c>
      <c r="Q19" s="54" t="n">
        <f aca="false">(N19/$H$2)^(1/$H$3)</f>
        <v>3.22480942407326</v>
      </c>
      <c r="R19" s="55" t="n">
        <f aca="false">O19*$K19/$I19</f>
        <v>59.1407593877093</v>
      </c>
      <c r="S19" s="53" t="n">
        <f aca="false">P19*$K19/$I19</f>
        <v>12.7401349050836</v>
      </c>
      <c r="T19" s="54" t="n">
        <f aca="false">Q19*$K19/$I19</f>
        <v>13.6708702318574</v>
      </c>
      <c r="U19" s="2" t="n">
        <v>5.4714</v>
      </c>
      <c r="V19" s="2"/>
      <c r="W19" s="51" t="n">
        <f aca="false">AVERAGE(R19:R20)/100</f>
        <v>0.589818560132147</v>
      </c>
      <c r="X19" s="0" t="n">
        <f aca="false">AVERAGE(S19:S20)/100</f>
        <v>0.127568324457594</v>
      </c>
      <c r="Y19" s="1" t="n">
        <f aca="false">AVERAGE(T19:T20)/100</f>
        <v>0.137074834761931</v>
      </c>
      <c r="Z19" s="33" t="n">
        <f aca="false">AVERAGE(U19:V20)/100</f>
        <v>0.0557895</v>
      </c>
      <c r="AA19" s="2" t="n">
        <f aca="false">SUM(W19:Z19)</f>
        <v>0.910251219351672</v>
      </c>
      <c r="AD19" s="0" t="n">
        <v>0.651770424536064</v>
      </c>
      <c r="AE19" s="0" t="n">
        <v>0.140967522233366</v>
      </c>
      <c r="AF19" s="0" t="n">
        <v>0.15147255323057</v>
      </c>
      <c r="AG19" s="0" t="n">
        <v>0.0557895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2.844</v>
      </c>
      <c r="E20" s="34" t="n">
        <v>100</v>
      </c>
      <c r="F20" s="34" t="n">
        <v>3.0682</v>
      </c>
      <c r="G20" s="30" t="n">
        <f aca="false">1000-E20</f>
        <v>900</v>
      </c>
      <c r="H20" s="34" t="n">
        <v>3.6788</v>
      </c>
      <c r="I20" s="35" t="n">
        <f aca="false">F20-D20</f>
        <v>0.2242</v>
      </c>
      <c r="J20" s="35" t="n">
        <f aca="false">H20-F20</f>
        <v>0.6106</v>
      </c>
      <c r="K20" s="35" t="n">
        <f aca="false">J20+I20</f>
        <v>0.8348</v>
      </c>
      <c r="L20" s="36" t="n">
        <v>2910.3341</v>
      </c>
      <c r="M20" s="36" t="n">
        <v>562.037</v>
      </c>
      <c r="N20" s="36" t="n">
        <v>502.1243</v>
      </c>
      <c r="O20" s="52" t="n">
        <f aca="false">(L20/$F$2)^(1/$F$3)</f>
        <v>15.7979228337339</v>
      </c>
      <c r="P20" s="53" t="n">
        <f aca="false">(M20/$G$2)^(1/$G$3)</f>
        <v>3.43055273473739</v>
      </c>
      <c r="Q20" s="54" t="n">
        <f aca="false">(N20/$H$2)^(1/$H$3)</f>
        <v>3.69121524286364</v>
      </c>
      <c r="R20" s="55" t="n">
        <f aca="false">O20*$K20/$I20</f>
        <v>58.8229526387201</v>
      </c>
      <c r="S20" s="53" t="n">
        <f aca="false">P20*$K20/$I20</f>
        <v>12.7735299864352</v>
      </c>
      <c r="T20" s="54" t="n">
        <f aca="false">Q20*$K20/$I20</f>
        <v>13.7440967205288</v>
      </c>
      <c r="U20" s="2" t="n">
        <v>5.6865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60</v>
      </c>
      <c r="B21" s="19" t="s">
        <v>32</v>
      </c>
      <c r="C21" s="20" t="n">
        <v>17</v>
      </c>
      <c r="D21" s="19" t="n">
        <v>2.8171</v>
      </c>
      <c r="E21" s="19" t="n">
        <v>300</v>
      </c>
      <c r="F21" s="20" t="n">
        <v>3.0182</v>
      </c>
      <c r="G21" s="19" t="n">
        <f aca="false">1000-E21</f>
        <v>700</v>
      </c>
      <c r="H21" s="20" t="n">
        <v>3.6413</v>
      </c>
      <c r="I21" s="22" t="n">
        <f aca="false">F21-D21</f>
        <v>0.2011</v>
      </c>
      <c r="J21" s="22" t="n">
        <f aca="false">H21-F21</f>
        <v>0.6231</v>
      </c>
      <c r="K21" s="22" t="n">
        <f aca="false">J21+I21</f>
        <v>0.8242</v>
      </c>
      <c r="L21" s="23" t="n">
        <v>28.4676</v>
      </c>
      <c r="M21" s="23" t="n">
        <v>15.6783</v>
      </c>
      <c r="N21" s="23" t="n">
        <v>14.9531</v>
      </c>
      <c r="O21" s="24" t="n">
        <f aca="false">(L21/$F$2)^(1/$F$3)</f>
        <v>0.197861924441783</v>
      </c>
      <c r="P21" s="47" t="n">
        <f aca="false">(M21/$G$2)^(1/$G$3)</f>
        <v>0.108947672350498</v>
      </c>
      <c r="Q21" s="26" t="n">
        <f aca="false">(N21/$H$2)^(1/$H$3)</f>
        <v>0.124209506267659</v>
      </c>
      <c r="R21" s="25" t="n">
        <f aca="false">O21*$K21/$I21</f>
        <v>0.810928881774823</v>
      </c>
      <c r="S21" s="47" t="n">
        <f aca="false">P21*$K21/$I21</f>
        <v>0.446517511443461</v>
      </c>
      <c r="T21" s="26" t="n">
        <f aca="false">Q21*$K21/$I21</f>
        <v>0.509067504056709</v>
      </c>
      <c r="U21" s="27" t="n">
        <v>99.6359</v>
      </c>
      <c r="V21" s="27"/>
      <c r="W21" s="56" t="n">
        <f aca="false">AVERAGE(R21:R22)/100</f>
        <v>0.007364574603056</v>
      </c>
      <c r="X21" s="57" t="n">
        <f aca="false">AVERAGE(S21:S22)/100</f>
        <v>0.00353168091761004</v>
      </c>
      <c r="Y21" s="57" t="n">
        <f aca="false">AVERAGE(T21:T22)/100</f>
        <v>0.00410647912599192</v>
      </c>
      <c r="Z21" s="29" t="n">
        <f aca="false">AVERAGE(U21:V22)/100</f>
        <v>0.9930095</v>
      </c>
      <c r="AA21" s="2" t="n">
        <f aca="false">SUM(W21:Z21)</f>
        <v>1.00801223464666</v>
      </c>
      <c r="AD21" s="0" t="n">
        <v>0.007364574603056</v>
      </c>
      <c r="AE21" s="0" t="n">
        <v>0.00353168091761004</v>
      </c>
      <c r="AF21" s="0" t="n">
        <v>0.00410647912599192</v>
      </c>
      <c r="AG21" s="0" t="n">
        <v>0.984997265353342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2.8546</v>
      </c>
      <c r="E22" s="20" t="n">
        <v>300</v>
      </c>
      <c r="F22" s="20" t="n">
        <v>3.0634</v>
      </c>
      <c r="G22" s="19" t="n">
        <f aca="false">1000-E22</f>
        <v>700</v>
      </c>
      <c r="H22" s="20" t="n">
        <v>3.6714</v>
      </c>
      <c r="I22" s="22" t="n">
        <f aca="false">F22-D22</f>
        <v>0.2088</v>
      </c>
      <c r="J22" s="22" t="n">
        <f aca="false">H22-F22</f>
        <v>0.608</v>
      </c>
      <c r="K22" s="22" t="n">
        <f aca="false">J22+I22</f>
        <v>0.8168</v>
      </c>
      <c r="L22" s="23" t="n">
        <v>24.1335</v>
      </c>
      <c r="M22" s="23" t="n">
        <v>9.3818</v>
      </c>
      <c r="N22" s="23" t="n">
        <v>9.4568</v>
      </c>
      <c r="O22" s="24" t="n">
        <f aca="false">(L22/$F$2)^(1/$F$3)</f>
        <v>0.169224638723109</v>
      </c>
      <c r="P22" s="47" t="n">
        <f aca="false">(M22/$G$2)^(1/$G$3)</f>
        <v>0.0664178975636641</v>
      </c>
      <c r="Q22" s="26" t="n">
        <f aca="false">(N22/$H$2)^(1/$H$3)</f>
        <v>0.0798154670107514</v>
      </c>
      <c r="R22" s="25" t="n">
        <f aca="false">O22*$K22/$I22</f>
        <v>0.661986038836376</v>
      </c>
      <c r="S22" s="47" t="n">
        <f aca="false">P22*$K22/$I22</f>
        <v>0.259818672078548</v>
      </c>
      <c r="T22" s="26" t="n">
        <f aca="false">Q22*$K22/$I22</f>
        <v>0.312228321141675</v>
      </c>
      <c r="U22" s="27" t="n">
        <v>98.966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2.8415</v>
      </c>
      <c r="E23" s="34" t="n">
        <v>100</v>
      </c>
      <c r="F23" s="34" t="n">
        <v>3.0318</v>
      </c>
      <c r="G23" s="30" t="n">
        <f aca="false">1000-E23</f>
        <v>900</v>
      </c>
      <c r="H23" s="34" t="n">
        <v>3.6222</v>
      </c>
      <c r="I23" s="35" t="n">
        <f aca="false">F23-D23</f>
        <v>0.1903</v>
      </c>
      <c r="J23" s="35" t="n">
        <f aca="false">H23-F23</f>
        <v>0.5904</v>
      </c>
      <c r="K23" s="35" t="n">
        <f aca="false">J23+I23</f>
        <v>0.7807</v>
      </c>
      <c r="L23" s="36" t="n">
        <v>864.6152</v>
      </c>
      <c r="M23" s="36" t="n">
        <v>1206.4066</v>
      </c>
      <c r="N23" s="36" t="n">
        <v>1065.0018</v>
      </c>
      <c r="O23" s="52" t="n">
        <f aca="false">(L23/$F$2)^(1/$F$3)</f>
        <v>5.00771075038498</v>
      </c>
      <c r="P23" s="53" t="n">
        <f aca="false">(M23/$G$2)^(1/$G$3)</f>
        <v>7.16265518550563</v>
      </c>
      <c r="Q23" s="54" t="n">
        <f aca="false">(N23/$H$2)^(1/$H$3)</f>
        <v>7.62700312494806</v>
      </c>
      <c r="R23" s="55" t="n">
        <f aca="false">O23*$K23/$I23</f>
        <v>20.5439820432241</v>
      </c>
      <c r="S23" s="53" t="n">
        <f aca="false">P23*$K23/$I23</f>
        <v>29.3845764756923</v>
      </c>
      <c r="T23" s="54" t="n">
        <f aca="false">Q23*$K23/$I23</f>
        <v>31.2895498667732</v>
      </c>
      <c r="U23" s="2" t="n">
        <v>3.5236</v>
      </c>
      <c r="V23" s="2"/>
      <c r="W23" s="51" t="n">
        <f aca="false">AVERAGE(R23:R24)/100</f>
        <v>0.210701212814855</v>
      </c>
      <c r="X23" s="0" t="n">
        <f aca="false">AVERAGE(S23:S24)/100</f>
        <v>0.301336289956508</v>
      </c>
      <c r="Y23" s="1" t="n">
        <f aca="false">AVERAGE(T23:T24)/100</f>
        <v>0.321915565070503</v>
      </c>
      <c r="Z23" s="33" t="n">
        <f aca="false">AVERAGE(U23:V24)/100</f>
        <v>0.0351605</v>
      </c>
      <c r="AA23" s="2" t="n">
        <f aca="false">SUM(W23:Z23)</f>
        <v>0.869113567841866</v>
      </c>
      <c r="AD23" s="0" t="n">
        <v>0.243770136067449</v>
      </c>
      <c r="AE23" s="0" t="n">
        <v>0.348630116663378</v>
      </c>
      <c r="AF23" s="0" t="n">
        <v>0.372439247269173</v>
      </c>
      <c r="AG23" s="0" t="n">
        <v>0.0351605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2.8375</v>
      </c>
      <c r="E24" s="34" t="n">
        <v>100</v>
      </c>
      <c r="F24" s="34" t="n">
        <v>3.0545</v>
      </c>
      <c r="G24" s="30" t="n">
        <f aca="false">1000-E24</f>
        <v>900</v>
      </c>
      <c r="H24" s="34" t="n">
        <v>3.6628</v>
      </c>
      <c r="I24" s="35" t="n">
        <f aca="false">F24-D24</f>
        <v>0.217</v>
      </c>
      <c r="J24" s="35" t="n">
        <f aca="false">H24-F24</f>
        <v>0.6083</v>
      </c>
      <c r="K24" s="35" t="n">
        <f aca="false">J24+I24</f>
        <v>0.8253</v>
      </c>
      <c r="L24" s="36" t="n">
        <v>987.3946</v>
      </c>
      <c r="M24" s="36" t="n">
        <v>1374.1399</v>
      </c>
      <c r="N24" s="36" t="n">
        <v>1220.8149</v>
      </c>
      <c r="O24" s="58" t="n">
        <f aca="false">(L24/$F$2)^(1/$F$3)</f>
        <v>5.67840607389441</v>
      </c>
      <c r="P24" s="59" t="n">
        <f aca="false">(M24/$G$2)^(1/$G$3)</f>
        <v>8.12012830351049</v>
      </c>
      <c r="Q24" s="60" t="n">
        <f aca="false">(N24/$H$2)^(1/$H$3)</f>
        <v>8.70144578089188</v>
      </c>
      <c r="R24" s="55" t="n">
        <f aca="false">O24*$K24/$I24</f>
        <v>21.5962605197468</v>
      </c>
      <c r="S24" s="53" t="n">
        <f aca="false">P24*$K24/$I24</f>
        <v>30.8826815156092</v>
      </c>
      <c r="T24" s="54" t="n">
        <f aca="false">Q24*$K24/$I24</f>
        <v>33.0935631473275</v>
      </c>
      <c r="U24" s="42" t="n">
        <v>3.5085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2.7782</v>
      </c>
      <c r="F25" s="1" t="n">
        <v>3.0825</v>
      </c>
      <c r="G25" s="2" t="n">
        <f aca="false">1000-E25</f>
        <v>1000</v>
      </c>
      <c r="H25" s="1" t="n">
        <v>3.5059</v>
      </c>
      <c r="I25" s="1" t="n">
        <f aca="false">F25-D25</f>
        <v>0.3043</v>
      </c>
      <c r="J25" s="1" t="n">
        <f aca="false">H25-F25</f>
        <v>0.4234</v>
      </c>
      <c r="K25" s="1" t="n">
        <f aca="false">J25+I25</f>
        <v>0.7277</v>
      </c>
      <c r="M25" s="1" t="n">
        <v>3.74</v>
      </c>
      <c r="N25" s="1" t="n">
        <v>3.41</v>
      </c>
      <c r="P25" s="1" t="n">
        <f aca="false">(M25/$G$2)^(1/$G$3)</f>
        <v>0.0273742184686809</v>
      </c>
      <c r="Q25" s="1" t="n">
        <f aca="false">(N25/$H$2)^(1/$H$3)</f>
        <v>0.0298195478363678</v>
      </c>
      <c r="S25" s="1" t="n">
        <f aca="false">P25*$K25/$I25</f>
        <v>0.0654624343728528</v>
      </c>
      <c r="T25" s="1" t="n">
        <f aca="false">Q25*$K25/$I25</f>
        <v>0.0713101707542716</v>
      </c>
      <c r="X25" s="1" t="n">
        <f aca="false">AVERAGE(S25:S26)/100</f>
        <v>0.000614812083227204</v>
      </c>
      <c r="Y25" s="1" t="n">
        <f aca="false">AVERAGE(T25:T26)/100</f>
        <v>0.000702968295364527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2.7759</v>
      </c>
      <c r="F26" s="1" t="n">
        <v>3.0842</v>
      </c>
      <c r="G26" s="2" t="n">
        <f aca="false">1000-E26</f>
        <v>1000</v>
      </c>
      <c r="H26" s="1" t="n">
        <v>3.524</v>
      </c>
      <c r="I26" s="1" t="n">
        <f aca="false">F26-D26</f>
        <v>0.3083</v>
      </c>
      <c r="J26" s="1" t="n">
        <f aca="false">H26-F26</f>
        <v>0.4398</v>
      </c>
      <c r="K26" s="1" t="n">
        <f aca="false">J26+I26</f>
        <v>0.7481</v>
      </c>
      <c r="M26" s="1" t="n">
        <v>3.22</v>
      </c>
      <c r="N26" s="1" t="n">
        <v>3.26</v>
      </c>
      <c r="P26" s="1" t="n">
        <f aca="false">(M26/$G$2)^(1/$G$3)</f>
        <v>0.0236963568167877</v>
      </c>
      <c r="Q26" s="1" t="n">
        <f aca="false">(N26/$H$2)^(1/$H$3)</f>
        <v>0.0285524655108071</v>
      </c>
      <c r="S26" s="1" t="n">
        <f aca="false">P26*$K26/$I26</f>
        <v>0.0574999822725881</v>
      </c>
      <c r="T26" s="1" t="n">
        <f aca="false">Q26*$K26/$I26</f>
        <v>0.0692834883186338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2.7654</v>
      </c>
      <c r="F27" s="1" t="n">
        <v>3.0632</v>
      </c>
      <c r="G27" s="2" t="n">
        <f aca="false">1000-E27</f>
        <v>1000</v>
      </c>
      <c r="H27" s="1" t="n">
        <v>3.544</v>
      </c>
      <c r="I27" s="1" t="n">
        <f aca="false">F27-D27</f>
        <v>0.2978</v>
      </c>
      <c r="J27" s="1" t="n">
        <f aca="false">H27-F27</f>
        <v>0.4808</v>
      </c>
      <c r="K27" s="1" t="n">
        <f aca="false">J27+I27</f>
        <v>0.7786</v>
      </c>
      <c r="M27" s="1" t="n">
        <v>3069.29</v>
      </c>
      <c r="N27" s="1" t="n">
        <v>2601.67</v>
      </c>
      <c r="P27" s="1" t="n">
        <f aca="false">(M27/$G$2)^(1/$G$3)</f>
        <v>17.6167182287165</v>
      </c>
      <c r="Q27" s="1" t="n">
        <f aca="false">(N27/$H$2)^(1/$H$3)</f>
        <v>18.0620696309114</v>
      </c>
      <c r="S27" s="1" t="n">
        <f aca="false">P27*$K27/$I27</f>
        <v>46.0590222057712</v>
      </c>
      <c r="T27" s="1" t="n">
        <f aca="false">Q27*$K27/$I27</f>
        <v>47.2233962882055</v>
      </c>
      <c r="U27" s="1" t="n">
        <v>2.9064</v>
      </c>
      <c r="X27" s="1" t="n">
        <f aca="false">AVERAGE(S27:S28)/100</f>
        <v>0.461782281124586</v>
      </c>
      <c r="Y27" s="1" t="n">
        <f aca="false">AVERAGE(T27:T28)/100</f>
        <v>0.473514302831314</v>
      </c>
      <c r="Z27" s="1" t="n">
        <f aca="false">AVERAGE(U27:V28)/100</f>
        <v>0.029216</v>
      </c>
      <c r="AA27" s="1" t="n">
        <f aca="false">SUM(W27:Z27)</f>
        <v>0.9645125839559</v>
      </c>
      <c r="AE27" s="1" t="n">
        <f aca="false">IFERROR(X27/$AA27,"")</f>
        <v>0.478772686646149</v>
      </c>
      <c r="AF27" s="1" t="n">
        <f aca="false">IFERROR(Y27/$AA27,"")</f>
        <v>0.490936365899156</v>
      </c>
      <c r="AG27" s="1" t="n">
        <f aca="false">IFERROR(Z27/$AA27,"")</f>
        <v>0.0302909474546947</v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2.7345</v>
      </c>
      <c r="F28" s="1" t="n">
        <v>3.038</v>
      </c>
      <c r="G28" s="2" t="n">
        <f aca="false">1000-E28</f>
        <v>1000</v>
      </c>
      <c r="H28" s="1" t="n">
        <v>3.5149</v>
      </c>
      <c r="I28" s="1" t="n">
        <f aca="false">F28-D28</f>
        <v>0.3035</v>
      </c>
      <c r="J28" s="1" t="n">
        <f aca="false">H28-F28</f>
        <v>0.4769</v>
      </c>
      <c r="K28" s="1" t="n">
        <f aca="false">J28+I28</f>
        <v>0.7804</v>
      </c>
      <c r="M28" s="1" t="n">
        <v>3139.55</v>
      </c>
      <c r="N28" s="1" t="n">
        <v>2661.81</v>
      </c>
      <c r="P28" s="1" t="n">
        <f aca="false">(M28/$G$2)^(1/$G$3)</f>
        <v>18.0052168436837</v>
      </c>
      <c r="Q28" s="1" t="n">
        <f aca="false">(N28/$H$2)^(1/$H$3)</f>
        <v>18.4649121071122</v>
      </c>
      <c r="S28" s="1" t="n">
        <f aca="false">P28*$K28/$I28</f>
        <v>46.2974340191459</v>
      </c>
      <c r="T28" s="1" t="n">
        <f aca="false">Q28*$K28/$I28</f>
        <v>47.4794642780572</v>
      </c>
      <c r="U28" s="1" t="n">
        <v>2.9368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61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156.413729</v>
      </c>
      <c r="H2" s="4" t="n">
        <v>141.723567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1.03759299</v>
      </c>
      <c r="H3" s="1" t="n">
        <v>1.05899702</v>
      </c>
      <c r="M3" s="1" t="s">
        <v>4</v>
      </c>
      <c r="N3" s="1" t="s">
        <v>62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2.8242</v>
      </c>
      <c r="E5" s="19" t="n">
        <v>300</v>
      </c>
      <c r="F5" s="20" t="n">
        <v>2.9878</v>
      </c>
      <c r="G5" s="19" t="n">
        <f aca="false">1000-E5</f>
        <v>700</v>
      </c>
      <c r="H5" s="20" t="n">
        <v>3.6215</v>
      </c>
      <c r="I5" s="22" t="n">
        <f aca="false">F5-D5</f>
        <v>0.1636</v>
      </c>
      <c r="J5" s="22" t="n">
        <f aca="false">H5-F5</f>
        <v>0.6337</v>
      </c>
      <c r="K5" s="22" t="n">
        <f aca="false">J5+I5</f>
        <v>0.7973</v>
      </c>
      <c r="L5" s="23" t="n">
        <v>196.6166</v>
      </c>
      <c r="M5" s="23" t="n">
        <v>2077.8537</v>
      </c>
      <c r="N5" s="23" t="n">
        <v>1940.8217</v>
      </c>
      <c r="O5" s="24" t="n">
        <f aca="false">(L5/$F$2)^(1/$F$3)</f>
        <v>1.23252865289927</v>
      </c>
      <c r="P5" s="47" t="n">
        <f aca="false">(M5/$G$2)^(1/$G$3)</f>
        <v>12.0959617831771</v>
      </c>
      <c r="Q5" s="26" t="n">
        <f aca="false">(N5/$H$2)^(1/$H$3)</f>
        <v>11.8365845646425</v>
      </c>
      <c r="R5" s="25" t="n">
        <f aca="false">O5*$K5/$I5</f>
        <v>6.00669373445349</v>
      </c>
      <c r="S5" s="47" t="n">
        <f aca="false">P5*$K5/$I5</f>
        <v>58.9493296438089</v>
      </c>
      <c r="T5" s="26" t="n">
        <f aca="false">Q5*$K5/$I5</f>
        <v>57.6852620622829</v>
      </c>
      <c r="U5" s="27" t="n">
        <v>1.6603</v>
      </c>
      <c r="V5" s="27" t="n">
        <v>1.7084</v>
      </c>
      <c r="W5" s="48" t="n">
        <f aca="false">AVERAGE(R5:R6)/100</f>
        <v>0.0371682083093487</v>
      </c>
      <c r="X5" s="49" t="n">
        <f aca="false">AVERAGE(S5:S6)/100</f>
        <v>0.294776056881034</v>
      </c>
      <c r="Y5" s="49" t="n">
        <f aca="false">AVERAGE(T5:T6)/100</f>
        <v>0.2884668648548</v>
      </c>
      <c r="Z5" s="50" t="n">
        <f aca="false">AVERAGE(U5:V6)/100</f>
        <v>0.016628</v>
      </c>
      <c r="AA5" s="2" t="n">
        <f aca="false">SUM(W5:Z5)</f>
        <v>0.637039130045182</v>
      </c>
      <c r="AD5" s="0" t="n">
        <v>0.0589128298502947</v>
      </c>
      <c r="AE5" s="0" t="n">
        <v>0.467229723274154</v>
      </c>
      <c r="AF5" s="0" t="n">
        <v>0.457229446875551</v>
      </c>
      <c r="AG5" s="0" t="n">
        <v>0.016628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2.8409</v>
      </c>
      <c r="E6" s="20" t="n">
        <v>300</v>
      </c>
      <c r="F6" s="20" t="n">
        <v>3.0311</v>
      </c>
      <c r="G6" s="19" t="n">
        <f aca="false">1000-E6</f>
        <v>700</v>
      </c>
      <c r="H6" s="20" t="n">
        <v>3.661</v>
      </c>
      <c r="I6" s="22" t="n">
        <f aca="false">F6-D6</f>
        <v>0.1902</v>
      </c>
      <c r="J6" s="22" t="n">
        <f aca="false">H6-F6</f>
        <v>0.6299</v>
      </c>
      <c r="K6" s="22" t="n">
        <f aca="false">J6+I6</f>
        <v>0.8201</v>
      </c>
      <c r="L6" s="23" t="n">
        <v>49.0171</v>
      </c>
      <c r="M6" s="23" t="n">
        <v>0.1665</v>
      </c>
      <c r="N6" s="23" t="n">
        <v>0.1841</v>
      </c>
      <c r="O6" s="24" t="n">
        <f aca="false">(L6/$F$2)^(1/$F$3)</f>
        <v>0.330941953169823</v>
      </c>
      <c r="P6" s="47" t="n">
        <f aca="false">(M6/$G$2)^(1/$G$3)</f>
        <v>0.00136410864781436</v>
      </c>
      <c r="Q6" s="26" t="n">
        <f aca="false">(N6/$H$2)^(1/$H$3)</f>
        <v>0.00188110575587301</v>
      </c>
      <c r="R6" s="25" t="n">
        <f aca="false">O6*$K6/$I6</f>
        <v>1.42694792741626</v>
      </c>
      <c r="S6" s="47" t="n">
        <f aca="false">P6*$K6/$I6</f>
        <v>0.00588173239785784</v>
      </c>
      <c r="T6" s="26" t="n">
        <f aca="false">Q6*$K6/$I6</f>
        <v>0.00811090867713699</v>
      </c>
      <c r="U6" s="27" t="n">
        <v>1.6197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2.751</v>
      </c>
      <c r="E7" s="34" t="n">
        <v>100</v>
      </c>
      <c r="F7" s="34" t="n">
        <v>2.9515</v>
      </c>
      <c r="G7" s="30" t="n">
        <f aca="false">1000-E7</f>
        <v>900</v>
      </c>
      <c r="H7" s="34" t="n">
        <v>3.5894</v>
      </c>
      <c r="I7" s="35" t="n">
        <f aca="false">F7-D7</f>
        <v>0.2005</v>
      </c>
      <c r="J7" s="35" t="n">
        <f aca="false">H7-F7</f>
        <v>0.6379</v>
      </c>
      <c r="K7" s="35" t="n">
        <f aca="false">J7+I7</f>
        <v>0.8384</v>
      </c>
      <c r="L7" s="1" t="n">
        <v>5.1491</v>
      </c>
      <c r="M7" s="1" t="n">
        <v>0.7548</v>
      </c>
      <c r="N7" s="36" t="n">
        <v>1.512</v>
      </c>
      <c r="O7" s="52" t="n">
        <f aca="false">(L7/$F$2)^(1/$F$3)</f>
        <v>0.0392115591625741</v>
      </c>
      <c r="P7" s="53" t="n">
        <f aca="false">(M7/$G$2)^(1/$G$3)</f>
        <v>0.00585442132563692</v>
      </c>
      <c r="Q7" s="54" t="n">
        <f aca="false">(N7/$H$2)^(1/$H$3)</f>
        <v>0.0137392895308659</v>
      </c>
      <c r="R7" s="55" t="n">
        <f aca="false">O7*$K7/$I7</f>
        <v>0.163964943650385</v>
      </c>
      <c r="S7" s="53" t="n">
        <f aca="false">P7*$K7/$I7</f>
        <v>0.0244805328649077</v>
      </c>
      <c r="T7" s="54" t="n">
        <f aca="false">Q7*$K7/$I7</f>
        <v>0.0574514730308127</v>
      </c>
      <c r="U7" s="2" t="n">
        <v>98.0875</v>
      </c>
      <c r="V7" s="2"/>
      <c r="W7" s="51" t="n">
        <f aca="false">AVERAGE(R7:R8)/100</f>
        <v>0.00162434254587306</v>
      </c>
      <c r="X7" s="0" t="n">
        <f aca="false">AVERAGE(S7:S8)/100</f>
        <v>0.000246400830026448</v>
      </c>
      <c r="Y7" s="1" t="n">
        <f aca="false">AVERAGE(T7:T8)/100</f>
        <v>0.000575143848132982</v>
      </c>
      <c r="Z7" s="33" t="n">
        <f aca="false">AVERAGE(U7:V8)/100</f>
        <v>0.984287</v>
      </c>
      <c r="AA7" s="2" t="n">
        <f aca="false">SUM(W7:Z7)</f>
        <v>0.986732887224033</v>
      </c>
      <c r="AD7" s="0" t="n">
        <v>0.00162434254587306</v>
      </c>
      <c r="AE7" s="0" t="n">
        <v>0.000246400830026448</v>
      </c>
      <c r="AF7" s="0" t="n">
        <v>0.000575143848132982</v>
      </c>
      <c r="AG7" s="0" t="n">
        <v>0.997554112775968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2.736</v>
      </c>
      <c r="E8" s="34" t="n">
        <v>100</v>
      </c>
      <c r="F8" s="34" t="n">
        <v>2.9446</v>
      </c>
      <c r="G8" s="30" t="n">
        <f aca="false">1000-E8</f>
        <v>900</v>
      </c>
      <c r="H8" s="34" t="n">
        <v>3.5794</v>
      </c>
      <c r="I8" s="35" t="n">
        <f aca="false">F8-D8</f>
        <v>0.2086</v>
      </c>
      <c r="J8" s="35" t="n">
        <f aca="false">H8-F8</f>
        <v>0.6348</v>
      </c>
      <c r="K8" s="35" t="n">
        <f aca="false">J8+I8</f>
        <v>0.8434</v>
      </c>
      <c r="L8" s="36" t="n">
        <v>5.2303</v>
      </c>
      <c r="M8" s="36" t="n">
        <v>0.7922</v>
      </c>
      <c r="N8" s="36" t="n">
        <v>1.5705</v>
      </c>
      <c r="O8" s="52" t="n">
        <f aca="false">(L8/$F$2)^(1/$F$3)</f>
        <v>0.0397966371453092</v>
      </c>
      <c r="P8" s="53" t="n">
        <f aca="false">(M8/$G$2)^(1/$G$3)</f>
        <v>0.00613374848598964</v>
      </c>
      <c r="Q8" s="54" t="n">
        <f aca="false">(N8/$H$2)^(1/$H$3)</f>
        <v>0.0142407209744848</v>
      </c>
      <c r="R8" s="55" t="n">
        <f aca="false">O8*$K8/$I8</f>
        <v>0.160903565524228</v>
      </c>
      <c r="S8" s="53" t="n">
        <f aca="false">P8*$K8/$I8</f>
        <v>0.0247996331403819</v>
      </c>
      <c r="T8" s="54" t="n">
        <f aca="false">Q8*$K8/$I8</f>
        <v>0.0575772965957836</v>
      </c>
      <c r="U8" s="2" t="n">
        <v>98.808</v>
      </c>
      <c r="V8" s="2" t="n">
        <v>98.3906</v>
      </c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2.752</v>
      </c>
      <c r="E9" s="19" t="n">
        <v>300</v>
      </c>
      <c r="F9" s="20" t="n">
        <v>2.8709</v>
      </c>
      <c r="G9" s="19" t="n">
        <f aca="false">1000-E9</f>
        <v>700</v>
      </c>
      <c r="H9" s="20" t="n">
        <v>3.5013</v>
      </c>
      <c r="I9" s="22" t="n">
        <f aca="false">F9-D9</f>
        <v>0.1189</v>
      </c>
      <c r="J9" s="22" t="n">
        <f aca="false">H9-F9</f>
        <v>0.6304</v>
      </c>
      <c r="K9" s="22" t="n">
        <f aca="false">J9+I9</f>
        <v>0.7493</v>
      </c>
      <c r="L9" s="23" t="n">
        <v>47.7925</v>
      </c>
      <c r="M9" s="23" t="n">
        <v>0.0294</v>
      </c>
      <c r="N9" s="23" t="n">
        <v>0.0785</v>
      </c>
      <c r="O9" s="24" t="n">
        <f aca="false">(L9/$F$2)^(1/$F$3)</f>
        <v>0.323110404339002</v>
      </c>
      <c r="P9" s="47" t="n">
        <f aca="false">(M9/$G$2)^(1/$G$3)</f>
        <v>0.000256487610533892</v>
      </c>
      <c r="Q9" s="26" t="n">
        <f aca="false">(N9/$H$2)^(1/$H$3)</f>
        <v>0.000841108732681711</v>
      </c>
      <c r="R9" s="25" t="n">
        <f aca="false">O9*$K9/$I9</f>
        <v>2.03622057166707</v>
      </c>
      <c r="S9" s="47" t="n">
        <f aca="false">P9*$K9/$I9</f>
        <v>0.00161636809565219</v>
      </c>
      <c r="T9" s="26" t="n">
        <f aca="false">Q9*$K9/$I9</f>
        <v>0.00530061205549543</v>
      </c>
      <c r="U9" s="27" t="n">
        <v>88.714</v>
      </c>
      <c r="V9" s="27" t="n">
        <v>89.9148</v>
      </c>
      <c r="W9" s="56" t="n">
        <f aca="false">AVERAGE(R9:R10)/100</f>
        <v>0.0548043740600342</v>
      </c>
      <c r="X9" s="57" t="n">
        <f aca="false">AVERAGE(S9:S10)/100</f>
        <v>0.444956914537688</v>
      </c>
      <c r="Y9" s="57" t="n">
        <f aca="false">AVERAGE(T9:T10)/100</f>
        <v>0.431767192496147</v>
      </c>
      <c r="Z9" s="29" t="n">
        <f aca="false">AVERAGE(U9:V10)/100</f>
        <v>0.92712775</v>
      </c>
      <c r="AA9" s="2" t="n">
        <f aca="false">SUM(W9:Z9)</f>
        <v>1.85865623109387</v>
      </c>
      <c r="AD9" s="0" t="n">
        <v>0.0203622057166707</v>
      </c>
      <c r="AE9" s="0" t="n">
        <v>1.61636809565219E-005</v>
      </c>
      <c r="AF9" s="0" t="n">
        <v>5.30061205549543E-005</v>
      </c>
      <c r="AG9" s="0" t="n">
        <v>0.979568624481818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2.8169</v>
      </c>
      <c r="E10" s="20" t="n">
        <v>300</v>
      </c>
      <c r="F10" s="20" t="n">
        <v>2.9387</v>
      </c>
      <c r="G10" s="19" t="n">
        <f aca="false">1000-E10</f>
        <v>700</v>
      </c>
      <c r="H10" s="20" t="n">
        <v>3.5666</v>
      </c>
      <c r="I10" s="22" t="n">
        <f aca="false">F10-D10</f>
        <v>0.1218</v>
      </c>
      <c r="J10" s="22" t="n">
        <f aca="false">H10-F10</f>
        <v>0.6279</v>
      </c>
      <c r="K10" s="22" t="n">
        <f aca="false">J10+I10</f>
        <v>0.7497</v>
      </c>
      <c r="L10" s="23" t="n">
        <v>233.4297</v>
      </c>
      <c r="M10" s="23" t="n">
        <v>2500.2667</v>
      </c>
      <c r="N10" s="23" t="n">
        <v>2323.4063</v>
      </c>
      <c r="O10" s="24" t="n">
        <f aca="false">(L10/$F$2)^(1/$F$3)</f>
        <v>1.44994382616164</v>
      </c>
      <c r="P10" s="47" t="n">
        <f aca="false">(M10/$G$2)^(1/$G$3)</f>
        <v>14.4577211744751</v>
      </c>
      <c r="Q10" s="26" t="n">
        <f aca="false">(N10/$H$2)^(1/$H$3)</f>
        <v>14.028549012482</v>
      </c>
      <c r="R10" s="25" t="n">
        <f aca="false">O10*$K10/$I10</f>
        <v>8.92465424033978</v>
      </c>
      <c r="S10" s="47" t="n">
        <f aca="false">P10*$K10/$I10</f>
        <v>88.9897665394419</v>
      </c>
      <c r="T10" s="26" t="n">
        <f aca="false">Q10*$K10/$I10</f>
        <v>86.348137887174</v>
      </c>
      <c r="U10" s="27" t="n">
        <v>99.5197</v>
      </c>
      <c r="V10" s="27" t="n">
        <v>92.7026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2.7959</v>
      </c>
      <c r="E11" s="34" t="n">
        <v>100</v>
      </c>
      <c r="F11" s="34" t="n">
        <v>2.9182</v>
      </c>
      <c r="G11" s="30" t="n">
        <f aca="false">1000-E11</f>
        <v>900</v>
      </c>
      <c r="H11" s="34" t="n">
        <v>3.5465</v>
      </c>
      <c r="I11" s="35" t="n">
        <f aca="false">F11-D11</f>
        <v>0.1223</v>
      </c>
      <c r="J11" s="35" t="n">
        <f aca="false">H11-F11</f>
        <v>0.6283</v>
      </c>
      <c r="K11" s="35" t="n">
        <f aca="false">J11+I11</f>
        <v>0.7506</v>
      </c>
      <c r="L11" s="40" t="n">
        <v>2184.6416</v>
      </c>
      <c r="M11" s="40" t="n">
        <v>40.364</v>
      </c>
      <c r="N11" s="36" t="n">
        <v>38.4122</v>
      </c>
      <c r="O11" s="52" t="n">
        <f aca="false">(L11/$F$2)^(1/$F$3)</f>
        <v>12.041804984059</v>
      </c>
      <c r="P11" s="53" t="n">
        <f aca="false">(M11/$G$2)^(1/$G$3)</f>
        <v>0.271039945267602</v>
      </c>
      <c r="Q11" s="54" t="n">
        <f aca="false">(N11/$H$2)^(1/$H$3)</f>
        <v>0.291483063512154</v>
      </c>
      <c r="R11" s="55" t="n">
        <f aca="false">O11*$K11/$I11</f>
        <v>73.9049780951323</v>
      </c>
      <c r="S11" s="53" t="n">
        <f aca="false">P11*$K11/$I11</f>
        <v>1.66347165100459</v>
      </c>
      <c r="T11" s="54" t="n">
        <f aca="false">Q11*$K11/$I11</f>
        <v>1.78893857295358</v>
      </c>
      <c r="U11" s="2" t="n">
        <v>8.078</v>
      </c>
      <c r="V11" s="2"/>
      <c r="W11" s="51" t="n">
        <f aca="false">AVERAGE(R11:R12)/100</f>
        <v>0.735334099628945</v>
      </c>
      <c r="X11" s="0" t="n">
        <f aca="false">AVERAGE(S11:S12)/100</f>
        <v>0.0165595971269269</v>
      </c>
      <c r="Y11" s="1" t="n">
        <f aca="false">AVERAGE(T11:T12)/100</f>
        <v>0.0177858907038867</v>
      </c>
      <c r="Z11" s="33" t="n">
        <f aca="false">AVERAGE(U11:V12)/100</f>
        <v>0.081533</v>
      </c>
      <c r="AA11" s="2" t="n">
        <f aca="false">SUM(W11:Z11)</f>
        <v>0.851212587459759</v>
      </c>
      <c r="AD11" s="0" t="n">
        <v>0.877482156845181</v>
      </c>
      <c r="AE11" s="0" t="n">
        <v>0.0197607468642559</v>
      </c>
      <c r="AF11" s="0" t="n">
        <v>0.021224096290563</v>
      </c>
      <c r="AG11" s="0" t="n">
        <v>0.081533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2.8006</v>
      </c>
      <c r="E12" s="34" t="n">
        <v>100</v>
      </c>
      <c r="F12" s="34" t="n">
        <v>2.931</v>
      </c>
      <c r="G12" s="30" t="n">
        <f aca="false">1000-E12</f>
        <v>900</v>
      </c>
      <c r="H12" s="34" t="n">
        <v>3.5408</v>
      </c>
      <c r="I12" s="35" t="n">
        <f aca="false">F12-D12</f>
        <v>0.1304</v>
      </c>
      <c r="J12" s="35" t="n">
        <f aca="false">H12-F12</f>
        <v>0.6098</v>
      </c>
      <c r="K12" s="35" t="n">
        <f aca="false">J12+I12</f>
        <v>0.7402</v>
      </c>
      <c r="L12" s="36" t="n">
        <v>2347.2958</v>
      </c>
      <c r="M12" s="36" t="n">
        <v>43.3602</v>
      </c>
      <c r="N12" s="36" t="n">
        <v>41.2124</v>
      </c>
      <c r="O12" s="52" t="n">
        <f aca="false">(L12/$F$2)^(1/$F$3)</f>
        <v>12.8888194740849</v>
      </c>
      <c r="P12" s="53" t="n">
        <f aca="false">(M12/$G$2)^(1/$G$3)</f>
        <v>0.290404741663408</v>
      </c>
      <c r="Q12" s="54" t="n">
        <f aca="false">(N12/$H$2)^(1/$H$3)</f>
        <v>0.311508294574734</v>
      </c>
      <c r="R12" s="55" t="n">
        <f aca="false">O12*$K12/$I12</f>
        <v>73.1618418306567</v>
      </c>
      <c r="S12" s="53" t="n">
        <f aca="false">P12*$K12/$I12</f>
        <v>1.64844777438079</v>
      </c>
      <c r="T12" s="54" t="n">
        <f aca="false">Q12*$K12/$I12</f>
        <v>1.76823956782376</v>
      </c>
      <c r="U12" s="2" t="n">
        <v>8.2286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2.7584</v>
      </c>
      <c r="E13" s="19" t="n">
        <v>300</v>
      </c>
      <c r="F13" s="20" t="n">
        <v>2.9397</v>
      </c>
      <c r="G13" s="19" t="n">
        <f aca="false">1000-E13</f>
        <v>700</v>
      </c>
      <c r="H13" s="20" t="n">
        <v>3.58</v>
      </c>
      <c r="I13" s="22" t="n">
        <f aca="false">F13-D13</f>
        <v>0.1813</v>
      </c>
      <c r="J13" s="22" t="n">
        <f aca="false">H13-F13</f>
        <v>0.6403</v>
      </c>
      <c r="K13" s="22" t="n">
        <f aca="false">J13+I13</f>
        <v>0.8216</v>
      </c>
      <c r="L13" s="23" t="n">
        <v>1568.3479</v>
      </c>
      <c r="M13" s="23" t="n">
        <v>839.7914</v>
      </c>
      <c r="N13" s="23" t="n">
        <v>801.4931</v>
      </c>
      <c r="O13" s="24" t="n">
        <f aca="false">(L13/$F$2)^(1/$F$3)</f>
        <v>8.79919789165704</v>
      </c>
      <c r="P13" s="47" t="n">
        <f aca="false">(M13/$G$2)^(1/$G$3)</f>
        <v>5.05186457743362</v>
      </c>
      <c r="Q13" s="26" t="n">
        <f aca="false">(N13/$H$2)^(1/$H$3)</f>
        <v>5.13497204844964</v>
      </c>
      <c r="R13" s="25" t="n">
        <f aca="false">O13*$K13/$I13</f>
        <v>39.8754604952312</v>
      </c>
      <c r="S13" s="47" t="n">
        <f aca="false">P13*$K13/$I13</f>
        <v>22.8936124479838</v>
      </c>
      <c r="T13" s="26" t="n">
        <f aca="false">Q13*$K13/$I13</f>
        <v>23.2702318533161</v>
      </c>
      <c r="U13" s="27" t="n">
        <v>3.6077</v>
      </c>
      <c r="V13" s="27"/>
      <c r="W13" s="56" t="n">
        <f aca="false">AVERAGE(R13:R14)/100</f>
        <v>0.42471596076918</v>
      </c>
      <c r="X13" s="57" t="n">
        <f aca="false">AVERAGE(S13:S14)/100</f>
        <v>0.245641198687674</v>
      </c>
      <c r="Y13" s="57" t="n">
        <f aca="false">AVERAGE(T13:T14)/100</f>
        <v>0.247494294870205</v>
      </c>
      <c r="Z13" s="29" t="n">
        <f aca="false">AVERAGE(U13:V14)/100</f>
        <v>0.0356555</v>
      </c>
      <c r="AA13" s="2" t="n">
        <f aca="false">SUM(W13:Z13)</f>
        <v>0.953506954327059</v>
      </c>
      <c r="AD13" s="0" t="n">
        <v>0.446229614715009</v>
      </c>
      <c r="AE13" s="0" t="n">
        <v>0.258083960984233</v>
      </c>
      <c r="AF13" s="0" t="n">
        <v>0.260030924300758</v>
      </c>
      <c r="AG13" s="0" t="n">
        <v>0.0356555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2.7291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3.5726</v>
      </c>
      <c r="I14" s="22" t="n">
        <f aca="false">F14-D14</f>
        <v>0.2013</v>
      </c>
      <c r="J14" s="22" t="n">
        <f aca="false">H14-F14</f>
        <v>0.6422</v>
      </c>
      <c r="K14" s="22" t="n">
        <f aca="false">J14+I14</f>
        <v>0.8435</v>
      </c>
      <c r="L14" s="23" t="n">
        <v>1938.8484</v>
      </c>
      <c r="M14" s="23" t="n">
        <v>1049.1952</v>
      </c>
      <c r="N14" s="23" t="n">
        <v>988.4836</v>
      </c>
      <c r="O14" s="24" t="n">
        <f aca="false">(L14/$F$2)^(1/$F$3)</f>
        <v>10.7553460377915</v>
      </c>
      <c r="P14" s="47" t="n">
        <f aca="false">(M14/$G$2)^(1/$G$3)</f>
        <v>6.26085414746491</v>
      </c>
      <c r="Q14" s="26" t="n">
        <f aca="false">(N14/$H$2)^(1/$H$3)</f>
        <v>6.25942221624411</v>
      </c>
      <c r="R14" s="25" t="n">
        <f aca="false">O14*$K14/$I14</f>
        <v>45.0677316586047</v>
      </c>
      <c r="S14" s="47" t="n">
        <f aca="false">P14*$K14/$I14</f>
        <v>26.2346272895511</v>
      </c>
      <c r="T14" s="26" t="n">
        <f aca="false">Q14*$K14/$I14</f>
        <v>26.2286271207248</v>
      </c>
      <c r="U14" s="27" t="n">
        <v>3.5234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2.7739</v>
      </c>
      <c r="E15" s="34" t="n">
        <v>100</v>
      </c>
      <c r="F15" s="34" t="n">
        <v>2.9727</v>
      </c>
      <c r="G15" s="30" t="n">
        <f aca="false">1000-E15</f>
        <v>900</v>
      </c>
      <c r="H15" s="34" t="n">
        <v>3.6067</v>
      </c>
      <c r="I15" s="35" t="n">
        <f aca="false">F15-D15</f>
        <v>0.1988</v>
      </c>
      <c r="J15" s="35" t="n">
        <f aca="false">H15-F15</f>
        <v>0.634</v>
      </c>
      <c r="K15" s="35" t="n">
        <f aca="false">J15+I15</f>
        <v>0.8328</v>
      </c>
      <c r="L15" s="36" t="n">
        <v>43.5975</v>
      </c>
      <c r="M15" s="36" t="n">
        <v>0.4508</v>
      </c>
      <c r="N15" s="41" t="n">
        <v>1.1477</v>
      </c>
      <c r="O15" s="52" t="n">
        <f aca="false">(L15/$F$2)^(1/$F$3)</f>
        <v>0.296199401365627</v>
      </c>
      <c r="P15" s="53" t="n">
        <f aca="false">(M15/$G$2)^(1/$G$3)</f>
        <v>0.00356242899858512</v>
      </c>
      <c r="Q15" s="54" t="n">
        <f aca="false">(N15/$H$2)^(1/$H$3)</f>
        <v>0.0105903592021933</v>
      </c>
      <c r="R15" s="55" t="n">
        <f aca="false">O15*$K15/$I15</f>
        <v>1.2408192226222</v>
      </c>
      <c r="S15" s="53" t="n">
        <f aca="false">P15*$K15/$I15</f>
        <v>0.0149234953220407</v>
      </c>
      <c r="T15" s="54" t="n">
        <f aca="false">Q15*$K15/$I15</f>
        <v>0.0443644423721657</v>
      </c>
      <c r="U15" s="2" t="n">
        <v>98.1203</v>
      </c>
      <c r="V15" s="2"/>
      <c r="W15" s="51" t="n">
        <f aca="false">AVERAGE(R15:R16)/100</f>
        <v>0.0123845931177132</v>
      </c>
      <c r="X15" s="0" t="n">
        <f aca="false">AVERAGE(S15:S16)/100</f>
        <v>0.00013876520863503</v>
      </c>
      <c r="Y15" s="1" t="n">
        <f aca="false">AVERAGE(T15:T16)/100</f>
        <v>0.000425334397401514</v>
      </c>
      <c r="Z15" s="33" t="n">
        <f aca="false">AVERAGE(U15:V16)/100</f>
        <v>0.9756095</v>
      </c>
      <c r="AA15" s="2" t="n">
        <f aca="false">SUM(W15:Z15)</f>
        <v>0.98855819272375</v>
      </c>
      <c r="AD15" s="0" t="n">
        <v>0.0123845931177132</v>
      </c>
      <c r="AE15" s="0" t="n">
        <v>0.00013876520863503</v>
      </c>
      <c r="AF15" s="0" t="n">
        <v>0.000425334397401514</v>
      </c>
      <c r="AG15" s="0" t="n">
        <v>0.98705130727625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2.7729</v>
      </c>
      <c r="E16" s="34" t="n">
        <v>100</v>
      </c>
      <c r="F16" s="34" t="n">
        <v>2.9821</v>
      </c>
      <c r="G16" s="30" t="n">
        <f aca="false">1000-E16</f>
        <v>900</v>
      </c>
      <c r="H16" s="34" t="n">
        <v>3.6175</v>
      </c>
      <c r="I16" s="35" t="n">
        <f aca="false">F16-D16</f>
        <v>0.2092</v>
      </c>
      <c r="J16" s="35" t="n">
        <f aca="false">H16-F16</f>
        <v>0.6354</v>
      </c>
      <c r="K16" s="35" t="n">
        <f aca="false">J16+I16</f>
        <v>0.8446</v>
      </c>
      <c r="L16" s="36" t="n">
        <v>45.1495</v>
      </c>
      <c r="M16" s="36" t="n">
        <v>0.4004</v>
      </c>
      <c r="N16" s="36" t="n">
        <v>1.0894</v>
      </c>
      <c r="O16" s="52" t="n">
        <f aca="false">(L16/$F$2)^(1/$F$3)</f>
        <v>0.306170962198146</v>
      </c>
      <c r="P16" s="53" t="n">
        <f aca="false">(M16/$G$2)^(1/$G$3)</f>
        <v>0.00317776593407382</v>
      </c>
      <c r="Q16" s="54" t="n">
        <f aca="false">(N16/$H$2)^(1/$H$3)</f>
        <v>0.0100816360916674</v>
      </c>
      <c r="R16" s="55" t="n">
        <f aca="false">O16*$K16/$I16</f>
        <v>1.23609940092043</v>
      </c>
      <c r="S16" s="53" t="n">
        <f aca="false">P16*$K16/$I16</f>
        <v>0.0128295464049653</v>
      </c>
      <c r="T16" s="54" t="n">
        <f aca="false">Q16*$K16/$I16</f>
        <v>0.0407024371081372</v>
      </c>
      <c r="U16" s="2" t="n">
        <v>97.0016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2.7281</v>
      </c>
      <c r="E17" s="19" t="n">
        <v>300</v>
      </c>
      <c r="F17" s="20" t="n">
        <v>2.9042</v>
      </c>
      <c r="G17" s="19" t="n">
        <f aca="false">1000-E17</f>
        <v>700</v>
      </c>
      <c r="H17" s="20" t="n">
        <v>3.543</v>
      </c>
      <c r="I17" s="22" t="n">
        <f aca="false">F17-D17</f>
        <v>0.1761</v>
      </c>
      <c r="J17" s="22" t="n">
        <f aca="false">H17-F17</f>
        <v>0.6388</v>
      </c>
      <c r="K17" s="22" t="n">
        <f aca="false">J17+I17</f>
        <v>0.8149</v>
      </c>
      <c r="L17" s="23" t="n">
        <v>1040.1487</v>
      </c>
      <c r="M17" s="23" t="n">
        <v>1576.3018</v>
      </c>
      <c r="N17" s="23" t="n">
        <v>1453.4128</v>
      </c>
      <c r="O17" s="24" t="n">
        <f aca="false">(L17/$F$2)^(1/$F$3)</f>
        <v>5.96518018649959</v>
      </c>
      <c r="P17" s="47" t="n">
        <f aca="false">(M17/$G$2)^(1/$G$3)</f>
        <v>9.2685466997966</v>
      </c>
      <c r="Q17" s="26" t="n">
        <f aca="false">(N17/$H$2)^(1/$H$3)</f>
        <v>9.0079666883826</v>
      </c>
      <c r="R17" s="25" t="n">
        <f aca="false">O17*$K17/$I17</f>
        <v>27.6037781600143</v>
      </c>
      <c r="S17" s="47" t="n">
        <f aca="false">P17*$K17/$I17</f>
        <v>42.8900551145046</v>
      </c>
      <c r="T17" s="26" t="n">
        <f aca="false">Q17*$K17/$I17</f>
        <v>41.6842251809369</v>
      </c>
      <c r="U17" s="27" t="n">
        <v>2.3119</v>
      </c>
      <c r="V17" s="27"/>
      <c r="W17" s="56" t="n">
        <f aca="false">AVERAGE(R17:R18)/100</f>
        <v>0.273924177695734</v>
      </c>
      <c r="X17" s="57" t="n">
        <f aca="false">AVERAGE(S17:S18)/100</f>
        <v>0.42547239424527</v>
      </c>
      <c r="Y17" s="57" t="n">
        <f aca="false">AVERAGE(T17:T18)/100</f>
        <v>0.41425818651336</v>
      </c>
      <c r="Z17" s="29" t="n">
        <f aca="false">AVERAGE(U17:V18)/100</f>
        <v>0.0234555</v>
      </c>
      <c r="AA17" s="2" t="n">
        <f aca="false">SUM(W17:Z17)</f>
        <v>1.13711025845436</v>
      </c>
      <c r="AD17" s="0" t="n">
        <v>0.240199350036499</v>
      </c>
      <c r="AE17" s="0" t="n">
        <v>0.373089346898414</v>
      </c>
      <c r="AF17" s="0" t="n">
        <v>0.363255803065087</v>
      </c>
      <c r="AG17" s="0" t="n">
        <v>0.0234555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2.7443</v>
      </c>
      <c r="E18" s="20" t="n">
        <v>300</v>
      </c>
      <c r="F18" s="20" t="n">
        <v>2.9446</v>
      </c>
      <c r="G18" s="19" t="n">
        <f aca="false">1000-E18</f>
        <v>700</v>
      </c>
      <c r="H18" s="20" t="n">
        <v>3.5807</v>
      </c>
      <c r="I18" s="22" t="n">
        <f aca="false">F18-D18</f>
        <v>0.2003</v>
      </c>
      <c r="J18" s="22" t="n">
        <f aca="false">H18-F18</f>
        <v>0.6361</v>
      </c>
      <c r="K18" s="22" t="n">
        <f aca="false">J18+I18</f>
        <v>0.8364</v>
      </c>
      <c r="L18" s="23" t="n">
        <v>1140.6295</v>
      </c>
      <c r="M18" s="23" t="n">
        <v>1724.5136</v>
      </c>
      <c r="N18" s="23" t="n">
        <v>1599.1714</v>
      </c>
      <c r="O18" s="24" t="n">
        <f aca="false">(L18/$F$2)^(1/$F$3)</f>
        <v>6.50928478364449</v>
      </c>
      <c r="P18" s="47" t="n">
        <f aca="false">(M18/$G$2)^(1/$G$3)</f>
        <v>10.1070613032404</v>
      </c>
      <c r="Q18" s="26" t="n">
        <f aca="false">(N18/$H$2)^(1/$H$3)</f>
        <v>9.85871909132415</v>
      </c>
      <c r="R18" s="25" t="n">
        <f aca="false">O18*$K18/$I18</f>
        <v>27.1810573791326</v>
      </c>
      <c r="S18" s="47" t="n">
        <f aca="false">P18*$K18/$I18</f>
        <v>42.2044237345494</v>
      </c>
      <c r="T18" s="26" t="n">
        <f aca="false">Q18*$K18/$I18</f>
        <v>41.167412121735</v>
      </c>
      <c r="U18" s="27" t="n">
        <v>2.3792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2.8079</v>
      </c>
      <c r="E19" s="34" t="n">
        <v>100</v>
      </c>
      <c r="F19" s="34" t="n">
        <v>3.0084</v>
      </c>
      <c r="G19" s="30" t="n">
        <f aca="false">1000-E19</f>
        <v>900</v>
      </c>
      <c r="H19" s="34" t="n">
        <v>3.6429</v>
      </c>
      <c r="I19" s="35" t="n">
        <f aca="false">F19-D19</f>
        <v>0.2005</v>
      </c>
      <c r="J19" s="35" t="n">
        <f aca="false">H19-F19</f>
        <v>0.6345</v>
      </c>
      <c r="K19" s="35" t="n">
        <f aca="false">J19+I19</f>
        <v>0.835</v>
      </c>
      <c r="L19" s="36" t="n">
        <v>24.2178</v>
      </c>
      <c r="M19" s="36" t="n">
        <v>0.6841</v>
      </c>
      <c r="N19" s="36" t="n">
        <v>1.4122</v>
      </c>
      <c r="O19" s="52" t="n">
        <f aca="false">(L19/$F$2)^(1/$F$3)</f>
        <v>0.169784122236401</v>
      </c>
      <c r="P19" s="53" t="n">
        <f aca="false">(M19/$G$2)^(1/$G$3)</f>
        <v>0.00532499471071268</v>
      </c>
      <c r="Q19" s="54" t="n">
        <f aca="false">(N19/$H$2)^(1/$H$3)</f>
        <v>0.0128813331481244</v>
      </c>
      <c r="R19" s="55" t="n">
        <f aca="false">O19*$K19/$I19</f>
        <v>0.707081007817432</v>
      </c>
      <c r="S19" s="53" t="n">
        <f aca="false">P19*$K19/$I19</f>
        <v>0.0221764118875067</v>
      </c>
      <c r="T19" s="54" t="n">
        <f aca="false">Q19*$K19/$I19</f>
        <v>0.0536454522627624</v>
      </c>
      <c r="U19" s="2" t="n">
        <v>99.6209</v>
      </c>
      <c r="V19" s="2"/>
      <c r="W19" s="51" t="n">
        <f aca="false">AVERAGE(R19:R20)/100</f>
        <v>0.00704455845077207</v>
      </c>
      <c r="X19" s="0" t="n">
        <f aca="false">AVERAGE(S19:S20)/100</f>
        <v>0.00020048831385979</v>
      </c>
      <c r="Y19" s="1" t="n">
        <f aca="false">AVERAGE(T19:T20)/100</f>
        <v>0.000507374478552317</v>
      </c>
      <c r="Z19" s="33" t="n">
        <f aca="false">AVERAGE(U19:V20)/100</f>
        <v>0.998301</v>
      </c>
      <c r="AA19" s="2" t="n">
        <f aca="false">SUM(W19:Z19)</f>
        <v>1.00605342124318</v>
      </c>
      <c r="AD19" s="0" t="n">
        <v>0.00704455845077207</v>
      </c>
      <c r="AE19" s="0" t="n">
        <v>0.00020048831385979</v>
      </c>
      <c r="AF19" s="0" t="n">
        <v>0.000507374478552317</v>
      </c>
      <c r="AG19" s="0" t="n">
        <v>0.992247578756816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2.7555</v>
      </c>
      <c r="E20" s="34" t="n">
        <v>100</v>
      </c>
      <c r="F20" s="34" t="n">
        <v>2.9621</v>
      </c>
      <c r="G20" s="30" t="n">
        <f aca="false">1000-E20</f>
        <v>900</v>
      </c>
      <c r="H20" s="34" t="n">
        <v>3.5963</v>
      </c>
      <c r="I20" s="35" t="n">
        <f aca="false">F20-D20</f>
        <v>0.2066</v>
      </c>
      <c r="J20" s="35" t="n">
        <f aca="false">H20-F20</f>
        <v>0.6342</v>
      </c>
      <c r="K20" s="35" t="n">
        <f aca="false">J20+I20</f>
        <v>0.8408</v>
      </c>
      <c r="L20" s="36" t="n">
        <v>24.6201</v>
      </c>
      <c r="M20" s="36" t="n">
        <v>0.5617</v>
      </c>
      <c r="N20" s="36" t="n">
        <v>1.2815</v>
      </c>
      <c r="O20" s="52" t="n">
        <f aca="false">(L20/$F$2)^(1/$F$3)</f>
        <v>0.172452686692222</v>
      </c>
      <c r="P20" s="53" t="n">
        <f aca="false">(M20/$G$2)^(1/$G$3)</f>
        <v>0.0044035804385438</v>
      </c>
      <c r="Q20" s="54" t="n">
        <f aca="false">(N20/$H$2)^(1/$H$3)</f>
        <v>0.0117525725693328</v>
      </c>
      <c r="R20" s="55" t="n">
        <f aca="false">O20*$K20/$I20</f>
        <v>0.701830682336982</v>
      </c>
      <c r="S20" s="53" t="n">
        <f aca="false">P20*$K20/$I20</f>
        <v>0.0179212508844512</v>
      </c>
      <c r="T20" s="54" t="n">
        <f aca="false">Q20*$K20/$I20</f>
        <v>0.047829443447701</v>
      </c>
      <c r="U20" s="2" t="n">
        <v>99.2358</v>
      </c>
      <c r="V20" s="2" t="n">
        <v>100.6336</v>
      </c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2.7621</v>
      </c>
      <c r="E21" s="19" t="n">
        <v>300</v>
      </c>
      <c r="F21" s="20" t="n">
        <v>2.9638</v>
      </c>
      <c r="G21" s="19" t="n">
        <f aca="false">1000-E21</f>
        <v>700</v>
      </c>
      <c r="H21" s="20" t="n">
        <v>3.5998</v>
      </c>
      <c r="I21" s="22" t="n">
        <f aca="false">F21-D21</f>
        <v>0.2017</v>
      </c>
      <c r="J21" s="22" t="n">
        <f aca="false">H21-F21</f>
        <v>0.636</v>
      </c>
      <c r="K21" s="22" t="n">
        <f aca="false">J21+I21</f>
        <v>0.8377</v>
      </c>
      <c r="L21" s="23" t="n">
        <v>55.8455</v>
      </c>
      <c r="M21" s="23" t="n">
        <v>0.1908</v>
      </c>
      <c r="N21" s="23" t="n">
        <v>0.594</v>
      </c>
      <c r="O21" s="24" t="n">
        <f aca="false">(L21/$F$2)^(1/$F$3)</f>
        <v>0.374426523052287</v>
      </c>
      <c r="P21" s="47" t="n">
        <f aca="false">(M21/$G$2)^(1/$G$3)</f>
        <v>0.00155549823039483</v>
      </c>
      <c r="Q21" s="26" t="n">
        <f aca="false">(N21/$H$2)^(1/$H$3)</f>
        <v>0.00568596563130453</v>
      </c>
      <c r="R21" s="25" t="n">
        <f aca="false">O21*$K21/$I21</f>
        <v>1.55506741874517</v>
      </c>
      <c r="S21" s="47" t="n">
        <f aca="false">P21*$K21/$I21</f>
        <v>0.00646029185722237</v>
      </c>
      <c r="T21" s="26" t="n">
        <f aca="false">Q21*$K21/$I21</f>
        <v>0.023614940056241</v>
      </c>
      <c r="U21" s="27" t="n">
        <v>97.6309</v>
      </c>
      <c r="V21" s="27"/>
      <c r="W21" s="56" t="n">
        <f aca="false">AVERAGE(R21:R22)/100</f>
        <v>0.015828272966593</v>
      </c>
      <c r="X21" s="57" t="n">
        <f aca="false">AVERAGE(S21:S22)/100</f>
        <v>6.71542737384379E-005</v>
      </c>
      <c r="Y21" s="57" t="n">
        <f aca="false">AVERAGE(T21:T22)/100</f>
        <v>0.000242423712325938</v>
      </c>
      <c r="Z21" s="29" t="n">
        <f aca="false">AVERAGE(U21:V22)/100</f>
        <v>0.976993</v>
      </c>
      <c r="AA21" s="2" t="n">
        <f aca="false">SUM(W21:Z21)</f>
        <v>0.993130850952657</v>
      </c>
      <c r="AD21" s="0" t="n">
        <v>0.015828272966593</v>
      </c>
      <c r="AE21" s="0" t="n">
        <v>6.71542737384379E-005</v>
      </c>
      <c r="AF21" s="0" t="n">
        <v>0.000242423712325938</v>
      </c>
      <c r="AG21" s="0" t="n">
        <v>0.983862149047343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2.7709</v>
      </c>
      <c r="E22" s="20" t="n">
        <v>300</v>
      </c>
      <c r="F22" s="20" t="n">
        <v>2.9761</v>
      </c>
      <c r="G22" s="19" t="n">
        <f aca="false">1000-E22</f>
        <v>700</v>
      </c>
      <c r="H22" s="20" t="n">
        <v>3.6116</v>
      </c>
      <c r="I22" s="22" t="n">
        <f aca="false">F22-D22</f>
        <v>0.2052</v>
      </c>
      <c r="J22" s="22" t="n">
        <f aca="false">H22-F22</f>
        <v>0.6355</v>
      </c>
      <c r="K22" s="22" t="n">
        <f aca="false">J22+I22</f>
        <v>0.8407</v>
      </c>
      <c r="L22" s="23" t="n">
        <v>58.7944</v>
      </c>
      <c r="M22" s="23" t="n">
        <v>0.2094</v>
      </c>
      <c r="N22" s="23" t="n">
        <v>0.6366</v>
      </c>
      <c r="O22" s="24" t="n">
        <f aca="false">(L22/$F$2)^(1/$F$3)</f>
        <v>0.393115841825227</v>
      </c>
      <c r="P22" s="47" t="n">
        <f aca="false">(M22/$G$2)^(1/$G$3)</f>
        <v>0.00170139110874683</v>
      </c>
      <c r="Q22" s="26" t="n">
        <f aca="false">(N22/$H$2)^(1/$H$3)</f>
        <v>0.00607027887988089</v>
      </c>
      <c r="R22" s="25" t="n">
        <f aca="false">O22*$K22/$I22</f>
        <v>1.61058717457343</v>
      </c>
      <c r="S22" s="47" t="n">
        <f aca="false">P22*$K22/$I22</f>
        <v>0.00697056289046521</v>
      </c>
      <c r="T22" s="26" t="n">
        <f aca="false">Q22*$K22/$I22</f>
        <v>0.0248698024089467</v>
      </c>
      <c r="U22" s="27" t="n">
        <v>97.7677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2.8372</v>
      </c>
      <c r="E23" s="34" t="n">
        <v>100</v>
      </c>
      <c r="F23" s="34" t="n">
        <v>3.0177</v>
      </c>
      <c r="G23" s="30" t="n">
        <f aca="false">1000-E23</f>
        <v>900</v>
      </c>
      <c r="H23" s="34" t="n">
        <v>3.6481</v>
      </c>
      <c r="I23" s="35" t="n">
        <f aca="false">F23-D23</f>
        <v>0.1805</v>
      </c>
      <c r="J23" s="35" t="n">
        <f aca="false">H23-F23</f>
        <v>0.6304</v>
      </c>
      <c r="K23" s="35" t="n">
        <f aca="false">J23+I23</f>
        <v>0.8109</v>
      </c>
      <c r="L23" s="36" t="n">
        <v>2748.1388</v>
      </c>
      <c r="M23" s="36" t="n">
        <v>537.3664</v>
      </c>
      <c r="N23" s="36" t="n">
        <v>489.7975</v>
      </c>
      <c r="O23" s="52" t="n">
        <f aca="false">(L23/$F$2)^(1/$F$3)</f>
        <v>14.9632595170875</v>
      </c>
      <c r="P23" s="53" t="n">
        <f aca="false">(M23/$G$2)^(1/$G$3)</f>
        <v>3.28530731968043</v>
      </c>
      <c r="Q23" s="54" t="n">
        <f aca="false">(N23/$H$2)^(1/$H$3)</f>
        <v>3.22530176539625</v>
      </c>
      <c r="R23" s="55" t="n">
        <f aca="false">O23*$K23/$I23</f>
        <v>67.222754251558</v>
      </c>
      <c r="S23" s="53" t="n">
        <f aca="false">P23*$K23/$I23</f>
        <v>14.7593113879715</v>
      </c>
      <c r="T23" s="54" t="n">
        <f aca="false">Q23*$K23/$I23</f>
        <v>14.4897351886971</v>
      </c>
      <c r="U23" s="2" t="n">
        <v>6.2927</v>
      </c>
      <c r="V23" s="2"/>
      <c r="W23" s="51" t="n">
        <f aca="false">AVERAGE(R23:R24)/100</f>
        <v>0.656371633161351</v>
      </c>
      <c r="X23" s="0" t="n">
        <f aca="false">AVERAGE(S23:S24)/100</f>
        <v>0.143392920452288</v>
      </c>
      <c r="Y23" s="1" t="n">
        <f aca="false">AVERAGE(T23:T24)/100</f>
        <v>0.141892808137823</v>
      </c>
      <c r="Z23" s="33" t="n">
        <f aca="false">AVERAGE(U23:V24)/100</f>
        <v>0.0609765</v>
      </c>
      <c r="AA23" s="2" t="n">
        <f aca="false">SUM(W23:Z23)</f>
        <v>1.00263386175146</v>
      </c>
      <c r="AD23" s="0" t="n">
        <v>0.654535729562496</v>
      </c>
      <c r="AE23" s="0" t="n">
        <v>0.142991843432185</v>
      </c>
      <c r="AF23" s="0" t="n">
        <v>0.14149592700532</v>
      </c>
      <c r="AG23" s="0" t="n">
        <v>0.0609765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2.7103</v>
      </c>
      <c r="E24" s="34" t="n">
        <v>100</v>
      </c>
      <c r="F24" s="34" t="n">
        <v>2.9009</v>
      </c>
      <c r="G24" s="30" t="n">
        <f aca="false">1000-E24</f>
        <v>900</v>
      </c>
      <c r="H24" s="34" t="n">
        <v>3.5359</v>
      </c>
      <c r="I24" s="35" t="n">
        <f aca="false">F24-D24</f>
        <v>0.1906</v>
      </c>
      <c r="J24" s="35" t="n">
        <f aca="false">H24-F24</f>
        <v>0.635</v>
      </c>
      <c r="K24" s="35" t="n">
        <f aca="false">J24+I24</f>
        <v>0.8256</v>
      </c>
      <c r="L24" s="36" t="n">
        <v>2713.971</v>
      </c>
      <c r="M24" s="36" t="n">
        <v>525.1739</v>
      </c>
      <c r="N24" s="36" t="n">
        <v>486.7595</v>
      </c>
      <c r="O24" s="58" t="n">
        <f aca="false">(L24/$F$2)^(1/$F$3)</f>
        <v>14.7870999221944</v>
      </c>
      <c r="P24" s="59" t="n">
        <f aca="false">(M24/$G$2)^(1/$G$3)</f>
        <v>3.21343674551095</v>
      </c>
      <c r="Q24" s="60" t="n">
        <f aca="false">(N24/$H$2)^(1/$H$3)</f>
        <v>3.20640784792654</v>
      </c>
      <c r="R24" s="55" t="n">
        <f aca="false">O24*$K24/$I24</f>
        <v>64.0515723807122</v>
      </c>
      <c r="S24" s="53" t="n">
        <f aca="false">P24*$K24/$I24</f>
        <v>13.919272702486</v>
      </c>
      <c r="T24" s="54" t="n">
        <f aca="false">Q24*$K24/$I24</f>
        <v>13.8888264388675</v>
      </c>
      <c r="U24" s="42" t="n">
        <v>5.9026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2.744</v>
      </c>
      <c r="F25" s="1" t="n">
        <v>2.9991</v>
      </c>
      <c r="G25" s="2" t="n">
        <f aca="false">1000-E25</f>
        <v>1000</v>
      </c>
      <c r="H25" s="1" t="n">
        <v>3.4818</v>
      </c>
      <c r="I25" s="1" t="n">
        <f aca="false">F25-D25</f>
        <v>0.2551</v>
      </c>
      <c r="J25" s="1" t="n">
        <f aca="false">H25-F25</f>
        <v>0.4827</v>
      </c>
      <c r="K25" s="1" t="n">
        <f aca="false">J25+I25</f>
        <v>0.7378</v>
      </c>
      <c r="M25" s="1" t="n">
        <v>2977.72</v>
      </c>
      <c r="N25" s="1" t="n">
        <v>2807.82</v>
      </c>
      <c r="P25" s="1" t="n">
        <f aca="false">(M25/$G$2)^(1/$G$3)</f>
        <v>17.1099021551831</v>
      </c>
      <c r="Q25" s="1" t="n">
        <f aca="false">(N25/$H$2)^(1/$H$3)</f>
        <v>16.775482200408</v>
      </c>
      <c r="S25" s="1" t="n">
        <f aca="false">P25*$K25/$I25</f>
        <v>49.485244257523</v>
      </c>
      <c r="T25" s="1" t="n">
        <f aca="false">Q25*$K25/$I25</f>
        <v>48.5180351527286</v>
      </c>
      <c r="U25" s="1" t="n">
        <v>1.5991</v>
      </c>
      <c r="X25" s="1" t="n">
        <f aca="false">AVERAGE(S25:S26)/100</f>
        <v>0.489988476990679</v>
      </c>
      <c r="Y25" s="1" t="n">
        <f aca="false">AVERAGE(T25:T26)/100</f>
        <v>0.480761659296679</v>
      </c>
      <c r="Z25" s="1" t="n">
        <f aca="false">AVERAGE(U25:V26)/100</f>
        <v>0.015937</v>
      </c>
      <c r="AA25" s="1" t="n">
        <f aca="false">SUM(W25:Z25)</f>
        <v>0.986687136287358</v>
      </c>
      <c r="AE25" s="1" t="n">
        <f aca="false">IFERROR(X25/$AA25,"")</f>
        <v>0.496599640322033</v>
      </c>
      <c r="AF25" s="1" t="n">
        <f aca="false">IFERROR(Y25/$AA25,"")</f>
        <v>0.487248329906943</v>
      </c>
      <c r="AG25" s="1" t="n">
        <f aca="false">IFERROR(Z25/$AA25,"")</f>
        <v>0.0161520297710242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2.7519</v>
      </c>
      <c r="F26" s="1" t="n">
        <v>3.0157</v>
      </c>
      <c r="G26" s="2" t="n">
        <f aca="false">1000-E26</f>
        <v>1000</v>
      </c>
      <c r="H26" s="1" t="n">
        <v>3.4988</v>
      </c>
      <c r="I26" s="1" t="n">
        <f aca="false">F26-D26</f>
        <v>0.2638</v>
      </c>
      <c r="J26" s="1" t="n">
        <f aca="false">H26-F26</f>
        <v>0.4831</v>
      </c>
      <c r="K26" s="1" t="n">
        <f aca="false">J26+I26</f>
        <v>0.7469</v>
      </c>
      <c r="M26" s="1" t="n">
        <v>2982.12</v>
      </c>
      <c r="N26" s="1" t="n">
        <v>2816.44</v>
      </c>
      <c r="P26" s="1" t="n">
        <f aca="false">(M26/$G$2)^(1/$G$3)</f>
        <v>17.1342677880488</v>
      </c>
      <c r="Q26" s="1" t="n">
        <f aca="false">(N26/$H$2)^(1/$H$3)</f>
        <v>16.824109614678</v>
      </c>
      <c r="S26" s="1" t="n">
        <f aca="false">P26*$K26/$I26</f>
        <v>48.5124511406127</v>
      </c>
      <c r="T26" s="1" t="n">
        <f aca="false">Q26*$K26/$I26</f>
        <v>47.6342967066073</v>
      </c>
      <c r="U26" s="1" t="n">
        <v>1.5883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2.7848</v>
      </c>
      <c r="F27" s="1" t="n">
        <v>3.0739</v>
      </c>
      <c r="G27" s="2" t="n">
        <f aca="false">1000-E27</f>
        <v>1000</v>
      </c>
      <c r="H27" s="1" t="n">
        <v>3.5576</v>
      </c>
      <c r="I27" s="1" t="n">
        <f aca="false">F27-D27</f>
        <v>0.2891</v>
      </c>
      <c r="J27" s="1" t="n">
        <f aca="false">H27-F27</f>
        <v>0.4837</v>
      </c>
      <c r="K27" s="1" t="n">
        <f aca="false">J27+I27</f>
        <v>0.7728</v>
      </c>
      <c r="M27" s="1" t="n">
        <v>1.43</v>
      </c>
      <c r="N27" s="1" t="n">
        <v>2.21</v>
      </c>
      <c r="P27" s="1" t="n">
        <f aca="false">(M27/$G$2)^(1/$G$3)</f>
        <v>0.0108376189835164</v>
      </c>
      <c r="Q27" s="1" t="n">
        <f aca="false">(N27/$H$2)^(1/$H$3)</f>
        <v>0.0196617173600746</v>
      </c>
      <c r="S27" s="1" t="n">
        <f aca="false">P27*$K27/$I27</f>
        <v>0.0289702938445573</v>
      </c>
      <c r="T27" s="1" t="n">
        <f aca="false">Q27*$K27/$I27</f>
        <v>0.0525581984637345</v>
      </c>
      <c r="X27" s="1" t="n">
        <f aca="false">AVERAGE(S27:S28)/100</f>
        <v>0.000439946358277229</v>
      </c>
      <c r="Y27" s="1" t="n">
        <f aca="false">AVERAGE(T27:T28)/100</f>
        <v>0.000681684663919369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2.7548</v>
      </c>
      <c r="F28" s="1" t="n">
        <v>3.1571</v>
      </c>
      <c r="G28" s="2" t="n">
        <f aca="false">1000-E28</f>
        <v>1000</v>
      </c>
      <c r="H28" s="1" t="n">
        <v>3.6381</v>
      </c>
      <c r="I28" s="1" t="n">
        <f aca="false">F28-D28</f>
        <v>0.4023</v>
      </c>
      <c r="J28" s="1" t="n">
        <f aca="false">H28-F28</f>
        <v>0.481</v>
      </c>
      <c r="K28" s="1" t="n">
        <f aca="false">J28+I28</f>
        <v>0.8833</v>
      </c>
      <c r="M28" s="1" t="n">
        <v>3.67</v>
      </c>
      <c r="N28" s="1" t="n">
        <v>4.46</v>
      </c>
      <c r="P28" s="1" t="n">
        <f aca="false">(M28/$G$2)^(1/$G$3)</f>
        <v>0.0268802612626746</v>
      </c>
      <c r="Q28" s="1" t="n">
        <f aca="false">(N28/$H$2)^(1/$H$3)</f>
        <v>0.0381571208162482</v>
      </c>
      <c r="S28" s="1" t="n">
        <f aca="false">P28*$K28/$I28</f>
        <v>0.0590189778108885</v>
      </c>
      <c r="T28" s="1" t="n">
        <f aca="false">Q28*$K28/$I28</f>
        <v>0.0837787343201394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63" t="s">
        <v>68</v>
      </c>
      <c r="H1" s="64"/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141.723567</v>
      </c>
      <c r="H2" s="4" t="n">
        <v>141.744175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1.05899702</v>
      </c>
      <c r="H3" s="1" t="n">
        <v>1.06384666</v>
      </c>
      <c r="M3" s="1" t="s">
        <v>62</v>
      </c>
      <c r="N3" s="1" t="s">
        <v>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2.8012</v>
      </c>
      <c r="E5" s="19" t="n">
        <v>300</v>
      </c>
      <c r="F5" s="20" t="n">
        <v>2.9715</v>
      </c>
      <c r="G5" s="19" t="n">
        <f aca="false">1000-E5</f>
        <v>700</v>
      </c>
      <c r="H5" s="20" t="n">
        <v>3.612</v>
      </c>
      <c r="I5" s="22" t="n">
        <f aca="false">F5-D5</f>
        <v>0.1703</v>
      </c>
      <c r="J5" s="22" t="n">
        <f aca="false">H5-F5</f>
        <v>0.6405</v>
      </c>
      <c r="K5" s="22" t="n">
        <f aca="false">J5+I5</f>
        <v>0.8108</v>
      </c>
      <c r="L5" s="23" t="n">
        <v>130.0619</v>
      </c>
      <c r="M5" s="23" t="n">
        <v>1383.6623</v>
      </c>
      <c r="N5" s="23" t="n">
        <v>1374.7846</v>
      </c>
      <c r="O5" s="24" t="n">
        <f aca="false">(L5/$F$2)^(1/$F$3)</f>
        <v>0.833516865788781</v>
      </c>
      <c r="P5" s="47" t="n">
        <f aca="false">(M5/$G$2)^(1/$G$3)</f>
        <v>8.5991952043939</v>
      </c>
      <c r="Q5" s="26" t="n">
        <f aca="false">(N5/$H$2)^(1/$H$3)</f>
        <v>8.46273927574493</v>
      </c>
      <c r="R5" s="25" t="n">
        <f aca="false">O5*$K5/$I5</f>
        <v>3.96838211850584</v>
      </c>
      <c r="S5" s="47" t="n">
        <f aca="false">P5*$K5/$I5</f>
        <v>40.9408542085883</v>
      </c>
      <c r="T5" s="26" t="n">
        <f aca="false">Q5*$K5/$I5</f>
        <v>40.291186170135</v>
      </c>
      <c r="U5" s="27" t="n">
        <v>1.1008</v>
      </c>
      <c r="V5" s="27"/>
      <c r="W5" s="48" t="n">
        <f aca="false">AVERAGE(R5:R6)/100</f>
        <v>0.0588024135137537</v>
      </c>
      <c r="X5" s="49" t="n">
        <f aca="false">AVERAGE(S5:S6)/100</f>
        <v>0.589787206729282</v>
      </c>
      <c r="Y5" s="49" t="n">
        <f aca="false">AVERAGE(T5:T6)/100</f>
        <v>0.577328703410746</v>
      </c>
      <c r="Z5" s="50" t="n">
        <f aca="false">AVERAGE(U5:V6)/100</f>
        <v>0.011057</v>
      </c>
      <c r="AA5" s="2" t="n">
        <f aca="false">SUM(W5:Z5)</f>
        <v>1.23697532365378</v>
      </c>
      <c r="AD5" s="0" t="n">
        <v>0.0474356522008845</v>
      </c>
      <c r="AE5" s="0" t="n">
        <v>0.475778784222822</v>
      </c>
      <c r="AF5" s="0" t="n">
        <v>0.465728563576293</v>
      </c>
      <c r="AG5" s="0" t="n">
        <v>0.011057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2.8703</v>
      </c>
      <c r="E6" s="20" t="n">
        <v>300</v>
      </c>
      <c r="F6" s="20" t="n">
        <v>3.0163</v>
      </c>
      <c r="G6" s="19" t="n">
        <f aca="false">1000-E6</f>
        <v>700</v>
      </c>
      <c r="H6" s="20" t="n">
        <v>3.6549</v>
      </c>
      <c r="I6" s="22" t="n">
        <f aca="false">F6-D6</f>
        <v>0.146</v>
      </c>
      <c r="J6" s="22" t="n">
        <f aca="false">H6-F6</f>
        <v>0.6386</v>
      </c>
      <c r="K6" s="22" t="n">
        <f aca="false">J6+I6</f>
        <v>0.7846</v>
      </c>
      <c r="L6" s="23" t="n">
        <v>233.4342</v>
      </c>
      <c r="M6" s="23" t="n">
        <v>2376.5584</v>
      </c>
      <c r="N6" s="23" t="n">
        <v>2346.5757</v>
      </c>
      <c r="O6" s="24" t="n">
        <f aca="false">(L6/$F$2)^(1/$F$3)</f>
        <v>1.44997028460331</v>
      </c>
      <c r="P6" s="47" t="n">
        <f aca="false">(M6/$G$2)^(1/$G$3)</f>
        <v>14.3314067321453</v>
      </c>
      <c r="Q6" s="26" t="n">
        <f aca="false">(N6/$H$2)^(1/$H$3)</f>
        <v>13.988637469735</v>
      </c>
      <c r="R6" s="25" t="n">
        <f aca="false">O6*$K6/$I6</f>
        <v>7.79210058424491</v>
      </c>
      <c r="S6" s="47" t="n">
        <f aca="false">P6*$K6/$I6</f>
        <v>77.0165871372682</v>
      </c>
      <c r="T6" s="26" t="n">
        <f aca="false">Q6*$K6/$I6</f>
        <v>75.1745545120141</v>
      </c>
      <c r="U6" s="27" t="n">
        <v>1.1106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2.7946</v>
      </c>
      <c r="E7" s="34" t="n">
        <v>100</v>
      </c>
      <c r="F7" s="34" t="n">
        <v>3.0147</v>
      </c>
      <c r="G7" s="30" t="n">
        <f aca="false">1000-E7</f>
        <v>900</v>
      </c>
      <c r="H7" s="34" t="n">
        <v>3.6552</v>
      </c>
      <c r="I7" s="35" t="n">
        <f aca="false">F7-D7</f>
        <v>0.2201</v>
      </c>
      <c r="J7" s="35" t="n">
        <f aca="false">H7-F7</f>
        <v>0.6405</v>
      </c>
      <c r="K7" s="35" t="n">
        <f aca="false">J7+I7</f>
        <v>0.8606</v>
      </c>
      <c r="L7" s="1" t="n">
        <v>4.907</v>
      </c>
      <c r="M7" s="1" t="n">
        <v>3.6779</v>
      </c>
      <c r="N7" s="36" t="n">
        <v>1.8402</v>
      </c>
      <c r="O7" s="52" t="n">
        <f aca="false">(L7/$F$2)^(1/$F$3)</f>
        <v>0.037464173478706</v>
      </c>
      <c r="P7" s="53" t="n">
        <f aca="false">(M7/$G$2)^(1/$G$3)</f>
        <v>0.0318057435052272</v>
      </c>
      <c r="Q7" s="54" t="n">
        <f aca="false">(N7/$H$2)^(1/$H$3)</f>
        <v>0.0168494738737394</v>
      </c>
      <c r="R7" s="55" t="n">
        <f aca="false">O7*$K7/$I7</f>
        <v>0.146486450230688</v>
      </c>
      <c r="S7" s="53" t="n">
        <f aca="false">P7*$K7/$I7</f>
        <v>0.124361757658331</v>
      </c>
      <c r="T7" s="54" t="n">
        <f aca="false">Q7*$K7/$I7</f>
        <v>0.0658821318298053</v>
      </c>
      <c r="U7" s="2" t="n">
        <v>99.4816</v>
      </c>
      <c r="V7" s="2"/>
      <c r="W7" s="51" t="n">
        <f aca="false">AVERAGE(R7:R8)/100</f>
        <v>0.00141964536663802</v>
      </c>
      <c r="X7" s="0" t="n">
        <f aca="false">AVERAGE(S7:S8)/100</f>
        <v>0.00121447004839594</v>
      </c>
      <c r="Y7" s="1" t="n">
        <f aca="false">AVERAGE(T7:T8)/100</f>
        <v>0.000656136935082007</v>
      </c>
      <c r="Z7" s="33" t="n">
        <f aca="false">AVERAGE(U7:V8)/100</f>
        <v>0.9886145</v>
      </c>
      <c r="AA7" s="2" t="n">
        <f aca="false">SUM(W7:Z7)</f>
        <v>0.991904752350116</v>
      </c>
      <c r="AD7" s="0" t="n">
        <v>0.00141964536663802</v>
      </c>
      <c r="AE7" s="0" t="n">
        <v>0.00121447004839594</v>
      </c>
      <c r="AF7" s="0" t="n">
        <v>0.000656136935082007</v>
      </c>
      <c r="AG7" s="0" t="n">
        <v>0.996709747649884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2.8078</v>
      </c>
      <c r="E8" s="34" t="n">
        <v>100</v>
      </c>
      <c r="F8" s="34" t="n">
        <v>3.0238</v>
      </c>
      <c r="G8" s="30" t="n">
        <f aca="false">1000-E8</f>
        <v>900</v>
      </c>
      <c r="H8" s="34" t="n">
        <v>3.6615</v>
      </c>
      <c r="I8" s="35" t="n">
        <f aca="false">F8-D8</f>
        <v>0.216</v>
      </c>
      <c r="J8" s="35" t="n">
        <f aca="false">H8-F8</f>
        <v>0.6377</v>
      </c>
      <c r="K8" s="35" t="n">
        <f aca="false">J8+I8</f>
        <v>0.8537</v>
      </c>
      <c r="L8" s="36" t="n">
        <v>4.5357</v>
      </c>
      <c r="M8" s="36" t="n">
        <v>3.456</v>
      </c>
      <c r="N8" s="36" t="n">
        <v>1.8035</v>
      </c>
      <c r="O8" s="52" t="n">
        <f aca="false">(L8/$F$2)^(1/$F$3)</f>
        <v>0.0347752214934213</v>
      </c>
      <c r="P8" s="53" t="n">
        <f aca="false">(M8/$G$2)^(1/$G$3)</f>
        <v>0.0299905897112631</v>
      </c>
      <c r="Q8" s="54" t="n">
        <f aca="false">(N8/$H$2)^(1/$H$3)</f>
        <v>0.0165334135179861</v>
      </c>
      <c r="R8" s="55" t="n">
        <f aca="false">O8*$K8/$I8</f>
        <v>0.137442623096915</v>
      </c>
      <c r="S8" s="53" t="n">
        <f aca="false">P8*$K8/$I8</f>
        <v>0.118532252020858</v>
      </c>
      <c r="T8" s="54" t="n">
        <f aca="false">Q8*$K8/$I8</f>
        <v>0.0653452551865962</v>
      </c>
      <c r="U8" s="2" t="n">
        <v>98.2413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2.8465</v>
      </c>
      <c r="E9" s="19" t="n">
        <v>300</v>
      </c>
      <c r="F9" s="20" t="n">
        <v>2.9449</v>
      </c>
      <c r="G9" s="19" t="n">
        <f aca="false">1000-E9</f>
        <v>700</v>
      </c>
      <c r="H9" s="20" t="n">
        <v>3.5629</v>
      </c>
      <c r="I9" s="22" t="n">
        <f aca="false">F9-D9</f>
        <v>0.0984000000000003</v>
      </c>
      <c r="J9" s="22" t="n">
        <f aca="false">H9-F9</f>
        <v>0.618</v>
      </c>
      <c r="K9" s="22" t="n">
        <f aca="false">J9+I9</f>
        <v>0.7164</v>
      </c>
      <c r="L9" s="23" t="n">
        <v>93.3038</v>
      </c>
      <c r="M9" s="23" t="n">
        <v>0.1532</v>
      </c>
      <c r="N9" s="23" t="n">
        <v>0.0823</v>
      </c>
      <c r="O9" s="24" t="n">
        <f aca="false">(L9/$F$2)^(1/$F$3)</f>
        <v>0.608652817356206</v>
      </c>
      <c r="P9" s="47" t="n">
        <f aca="false">(M9/$G$2)^(1/$G$3)</f>
        <v>0.00158147959253469</v>
      </c>
      <c r="Q9" s="26" t="n">
        <f aca="false">(N9/$H$2)^(1/$H$3)</f>
        <v>0.000908048788660286</v>
      </c>
      <c r="R9" s="25" t="n">
        <f aca="false">O9*$K9/$I9</f>
        <v>4.43128941416651</v>
      </c>
      <c r="S9" s="47" t="n">
        <f aca="false">P9*$K9/$I9</f>
        <v>0.0115139428871123</v>
      </c>
      <c r="T9" s="26" t="n">
        <f aca="false">Q9*$K9/$I9</f>
        <v>0.00661103813207548</v>
      </c>
      <c r="U9" s="27" t="n">
        <v>97.6096</v>
      </c>
      <c r="V9" s="27" t="n">
        <v>99.7309</v>
      </c>
      <c r="W9" s="56" t="n">
        <f aca="false">AVERAGE(R9:R10)/100</f>
        <v>0.0339573406791631</v>
      </c>
      <c r="X9" s="57" t="n">
        <f aca="false">AVERAGE(S9:S10)/100</f>
        <v>9.12543026979722E-005</v>
      </c>
      <c r="Y9" s="57" t="n">
        <f aca="false">AVERAGE(T9:T10)/100</f>
        <v>5.33405318469013E-005</v>
      </c>
      <c r="Z9" s="29" t="n">
        <f aca="false">AVERAGE(U9:V10)/100</f>
        <v>0.986094</v>
      </c>
      <c r="AA9" s="2" t="n">
        <f aca="false">SUM(W9:Z9)</f>
        <v>1.02019593551371</v>
      </c>
      <c r="AD9" s="0" t="n">
        <v>0.0339573406791631</v>
      </c>
      <c r="AE9" s="0" t="n">
        <v>9.12543026979722E-005</v>
      </c>
      <c r="AF9" s="0" t="n">
        <v>5.33405318469013E-005</v>
      </c>
      <c r="AG9" s="0" t="n">
        <v>0.965898064486292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2.834</v>
      </c>
      <c r="E10" s="20" t="n">
        <v>300</v>
      </c>
      <c r="F10" s="20" t="n">
        <v>3.0123</v>
      </c>
      <c r="G10" s="19" t="n">
        <f aca="false">1000-E10</f>
        <v>700</v>
      </c>
      <c r="H10" s="20" t="n">
        <v>3.656</v>
      </c>
      <c r="I10" s="22" t="n">
        <f aca="false">F10-D10</f>
        <v>0.1783</v>
      </c>
      <c r="J10" s="22" t="n">
        <f aca="false">H10-F10</f>
        <v>0.6437</v>
      </c>
      <c r="K10" s="22" t="n">
        <f aca="false">J10+I10</f>
        <v>0.822</v>
      </c>
      <c r="L10" s="23" t="n">
        <v>77.7165</v>
      </c>
      <c r="M10" s="23" t="n">
        <v>0.1409</v>
      </c>
      <c r="N10" s="23" t="n">
        <v>0.0796</v>
      </c>
      <c r="O10" s="24" t="n">
        <f aca="false">(L10/$F$2)^(1/$F$3)</f>
        <v>0.511946309091322</v>
      </c>
      <c r="P10" s="47" t="n">
        <f aca="false">(M10/$G$2)^(1/$G$3)</f>
        <v>0.00146130464408463</v>
      </c>
      <c r="Q10" s="26" t="n">
        <f aca="false">(N10/$H$2)^(1/$H$3)</f>
        <v>0.000880018572641658</v>
      </c>
      <c r="R10" s="25" t="n">
        <f aca="false">O10*$K10/$I10</f>
        <v>2.3601787216661</v>
      </c>
      <c r="S10" s="47" t="n">
        <f aca="false">P10*$K10/$I10</f>
        <v>0.00673691765248216</v>
      </c>
      <c r="T10" s="26" t="n">
        <f aca="false">Q10*$K10/$I10</f>
        <v>0.00405706823730478</v>
      </c>
      <c r="U10" s="27" t="n">
        <v>98.4877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2.7981</v>
      </c>
      <c r="E11" s="34" t="n">
        <v>100</v>
      </c>
      <c r="F11" s="34" t="n">
        <v>2.9724</v>
      </c>
      <c r="G11" s="30" t="n">
        <f aca="false">1000-E11</f>
        <v>900</v>
      </c>
      <c r="H11" s="34" t="n">
        <v>3.611</v>
      </c>
      <c r="I11" s="35" t="n">
        <f aca="false">F11-D11</f>
        <v>0.1743</v>
      </c>
      <c r="J11" s="35" t="n">
        <f aca="false">H11-F11</f>
        <v>0.6386</v>
      </c>
      <c r="K11" s="35" t="n">
        <f aca="false">J11+I11</f>
        <v>0.8129</v>
      </c>
      <c r="L11" s="40" t="n">
        <v>4166.4918</v>
      </c>
      <c r="M11" s="40" t="n">
        <v>75.5526</v>
      </c>
      <c r="N11" s="36" t="n">
        <v>74.6352</v>
      </c>
      <c r="O11" s="52" t="n">
        <f aca="false">(L11/$F$2)^(1/$F$3)</f>
        <v>22.1872366177871</v>
      </c>
      <c r="P11" s="53" t="n">
        <f aca="false">(M11/$G$2)^(1/$G$3)</f>
        <v>0.552111736677391</v>
      </c>
      <c r="Q11" s="54" t="n">
        <f aca="false">(N11/$H$2)^(1/$H$3)</f>
        <v>0.547212897018199</v>
      </c>
      <c r="R11" s="55" t="n">
        <f aca="false">O11*$K11/$I11</f>
        <v>103.476790858285</v>
      </c>
      <c r="S11" s="53" t="n">
        <f aca="false">P11*$K11/$I11</f>
        <v>2.57493764053385</v>
      </c>
      <c r="T11" s="54" t="n">
        <f aca="false">Q11*$K11/$I11</f>
        <v>2.55209044168729</v>
      </c>
      <c r="U11" s="2" t="n">
        <v>7.8468</v>
      </c>
      <c r="V11" s="2"/>
      <c r="W11" s="51" t="n">
        <f aca="false">AVERAGE(R11:R12)/100</f>
        <v>1.32148426083074</v>
      </c>
      <c r="X11" s="0" t="n">
        <f aca="false">AVERAGE(S11:S12)/100</f>
        <v>0.0325305530145158</v>
      </c>
      <c r="Y11" s="1" t="n">
        <f aca="false">AVERAGE(T11:T12)/100</f>
        <v>0.032264845852342</v>
      </c>
      <c r="Z11" s="33" t="n">
        <f aca="false">AVERAGE(U11:V12)/100</f>
        <v>0.0792005</v>
      </c>
      <c r="AA11" s="2" t="n">
        <f aca="false">SUM(W11:Z11)</f>
        <v>1.4654801596976</v>
      </c>
      <c r="AD11" s="0" t="n">
        <v>0.87776087466814</v>
      </c>
      <c r="AE11" s="0" t="n">
        <v>0.0216075571339075</v>
      </c>
      <c r="AF11" s="0" t="n">
        <v>0.0214310681979525</v>
      </c>
      <c r="AG11" s="0" t="n">
        <v>0.0792005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2.8034</v>
      </c>
      <c r="E12" s="34" t="n">
        <v>100</v>
      </c>
      <c r="F12" s="34" t="n">
        <v>2.9342</v>
      </c>
      <c r="G12" s="30" t="n">
        <f aca="false">1000-E12</f>
        <v>900</v>
      </c>
      <c r="H12" s="34" t="n">
        <v>3.5736</v>
      </c>
      <c r="I12" s="35" t="n">
        <f aca="false">F12-D12</f>
        <v>0.1308</v>
      </c>
      <c r="J12" s="35" t="n">
        <f aca="false">H12-F12</f>
        <v>0.6394</v>
      </c>
      <c r="K12" s="35" t="n">
        <f aca="false">J12+I12</f>
        <v>0.7702</v>
      </c>
      <c r="L12" s="36" t="n">
        <v>5189.2501</v>
      </c>
      <c r="M12" s="36" t="n">
        <v>92.3881</v>
      </c>
      <c r="N12" s="36" t="n">
        <v>91.4648</v>
      </c>
      <c r="O12" s="52" t="n">
        <f aca="false">(L12/$F$2)^(1/$F$3)</f>
        <v>27.3114308219533</v>
      </c>
      <c r="P12" s="53" t="n">
        <f aca="false">(M12/$G$2)^(1/$G$3)</f>
        <v>0.667615455047918</v>
      </c>
      <c r="Q12" s="54" t="n">
        <f aca="false">(N12/$H$2)^(1/$H$3)</f>
        <v>0.66247070595244</v>
      </c>
      <c r="R12" s="55" t="n">
        <f aca="false">O12*$K12/$I12</f>
        <v>160.820061307863</v>
      </c>
      <c r="S12" s="53" t="n">
        <f aca="false">P12*$K12/$I12</f>
        <v>3.93117296236931</v>
      </c>
      <c r="T12" s="54" t="n">
        <f aca="false">Q12*$K12/$I12</f>
        <v>3.9008787287811</v>
      </c>
      <c r="U12" s="2" t="n">
        <v>7.9933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2.8009</v>
      </c>
      <c r="E13" s="19" t="n">
        <v>300</v>
      </c>
      <c r="F13" s="20" t="n">
        <v>3.0359</v>
      </c>
      <c r="G13" s="19" t="n">
        <f aca="false">1000-E13</f>
        <v>700</v>
      </c>
      <c r="H13" s="20" t="n">
        <v>3.6692</v>
      </c>
      <c r="I13" s="22" t="n">
        <f aca="false">F13-D13</f>
        <v>0.235</v>
      </c>
      <c r="J13" s="22" t="n">
        <f aca="false">H13-F13</f>
        <v>0.6333</v>
      </c>
      <c r="K13" s="22" t="n">
        <f aca="false">J13+I13</f>
        <v>0.8683</v>
      </c>
      <c r="L13" s="23" t="n">
        <v>2452.6514</v>
      </c>
      <c r="M13" s="23" t="n">
        <v>1124.5005</v>
      </c>
      <c r="N13" s="23" t="n">
        <v>1116.7503</v>
      </c>
      <c r="O13" s="24" t="n">
        <f aca="false">(L13/$F$2)^(1/$F$3)</f>
        <v>13.4357685690124</v>
      </c>
      <c r="P13" s="47" t="n">
        <f aca="false">(M13/$G$2)^(1/$G$3)</f>
        <v>7.0697686576056</v>
      </c>
      <c r="Q13" s="26" t="n">
        <f aca="false">(N13/$H$2)^(1/$H$3)</f>
        <v>6.96066032562738</v>
      </c>
      <c r="R13" s="25" t="n">
        <f aca="false">O13*$K13/$I13</f>
        <v>49.643735525419</v>
      </c>
      <c r="S13" s="47" t="n">
        <f aca="false">P13*$K13/$I13</f>
        <v>26.122043086804</v>
      </c>
      <c r="T13" s="26" t="n">
        <f aca="false">Q13*$K13/$I13</f>
        <v>25.7188994074139</v>
      </c>
      <c r="U13" s="27" t="n">
        <v>4.4671</v>
      </c>
      <c r="V13" s="27"/>
      <c r="W13" s="56" t="n">
        <f aca="false">AVERAGE(R13:R14)/100</f>
        <v>0.654813136411526</v>
      </c>
      <c r="X13" s="57" t="n">
        <f aca="false">AVERAGE(S13:S14)/100</f>
        <v>0.344244923151325</v>
      </c>
      <c r="Y13" s="57" t="n">
        <f aca="false">AVERAGE(T13:T14)/100</f>
        <v>0.338827834302274</v>
      </c>
      <c r="Z13" s="29" t="n">
        <f aca="false">AVERAGE(U13:V14)/100</f>
        <v>0.0442125</v>
      </c>
      <c r="AA13" s="2" t="n">
        <f aca="false">SUM(W13:Z13)</f>
        <v>1.38209839386512</v>
      </c>
      <c r="AD13" s="0" t="n">
        <v>0.46779939416943</v>
      </c>
      <c r="AE13" s="0" t="n">
        <v>0.245929040731531</v>
      </c>
      <c r="AF13" s="0" t="n">
        <v>0.242059065099039</v>
      </c>
      <c r="AG13" s="0" t="n">
        <v>0.0442125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2.8659</v>
      </c>
      <c r="E14" s="20" t="n">
        <v>300</v>
      </c>
      <c r="F14" s="20" t="n">
        <v>2.9982</v>
      </c>
      <c r="G14" s="19" t="n">
        <f aca="false">1000-E14</f>
        <v>700</v>
      </c>
      <c r="H14" s="20" t="n">
        <v>3.6368</v>
      </c>
      <c r="I14" s="22" t="n">
        <f aca="false">F14-D14</f>
        <v>0.1323</v>
      </c>
      <c r="J14" s="22" t="n">
        <f aca="false">H14-F14</f>
        <v>0.6386</v>
      </c>
      <c r="K14" s="22" t="n">
        <f aca="false">J14+I14</f>
        <v>0.7709</v>
      </c>
      <c r="L14" s="23" t="n">
        <v>2553.0377</v>
      </c>
      <c r="M14" s="23" t="n">
        <v>1168.8362</v>
      </c>
      <c r="N14" s="23" t="n">
        <v>1160.3734</v>
      </c>
      <c r="O14" s="24" t="n">
        <f aca="false">(L14/$F$2)^(1/$F$3)</f>
        <v>13.9557522109691</v>
      </c>
      <c r="P14" s="47" t="n">
        <f aca="false">(M14/$G$2)^(1/$G$3)</f>
        <v>7.33269472849902</v>
      </c>
      <c r="Q14" s="26" t="n">
        <f aca="false">(N14/$H$2)^(1/$H$3)</f>
        <v>7.21594772867729</v>
      </c>
      <c r="R14" s="25" t="n">
        <f aca="false">O14*$K14/$I14</f>
        <v>81.3188917568862</v>
      </c>
      <c r="S14" s="47" t="n">
        <f aca="false">P14*$K14/$I14</f>
        <v>42.7269415434609</v>
      </c>
      <c r="T14" s="26" t="n">
        <f aca="false">Q14*$K14/$I14</f>
        <v>42.0466674530409</v>
      </c>
      <c r="U14" s="27" t="n">
        <v>4.3754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2.7983</v>
      </c>
      <c r="E15" s="34" t="n">
        <v>100</v>
      </c>
      <c r="F15" s="34" t="n">
        <v>2.9485</v>
      </c>
      <c r="G15" s="30" t="n">
        <f aca="false">1000-E15</f>
        <v>900</v>
      </c>
      <c r="H15" s="34" t="n">
        <v>3.5893</v>
      </c>
      <c r="I15" s="35" t="n">
        <f aca="false">F15-D15</f>
        <v>0.1502</v>
      </c>
      <c r="J15" s="35" t="n">
        <f aca="false">H15-F15</f>
        <v>0.6408</v>
      </c>
      <c r="K15" s="35" t="n">
        <f aca="false">J15+I15</f>
        <v>0.791</v>
      </c>
      <c r="L15" s="36" t="n">
        <v>40.5951</v>
      </c>
      <c r="M15" s="36" t="n">
        <v>1.8643</v>
      </c>
      <c r="N15" s="41" t="n">
        <v>1.0211</v>
      </c>
      <c r="O15" s="52" t="n">
        <f aca="false">(L15/$F$2)^(1/$F$3)</f>
        <v>0.276854515515498</v>
      </c>
      <c r="P15" s="53" t="n">
        <f aca="false">(M15/$G$2)^(1/$G$3)</f>
        <v>0.0167440554548908</v>
      </c>
      <c r="Q15" s="54" t="n">
        <f aca="false">(N15/$H$2)^(1/$H$3)</f>
        <v>0.0096859274763173</v>
      </c>
      <c r="R15" s="55" t="n">
        <f aca="false">O15*$K15/$I15</f>
        <v>1.45800214229533</v>
      </c>
      <c r="S15" s="53" t="n">
        <f aca="false">P15*$K15/$I15</f>
        <v>0.0881794132145044</v>
      </c>
      <c r="T15" s="54" t="n">
        <f aca="false">Q15*$K15/$I15</f>
        <v>0.0510091120756789</v>
      </c>
      <c r="U15" s="2" t="n">
        <v>98.793</v>
      </c>
      <c r="V15" s="2"/>
      <c r="W15" s="51" t="n">
        <f aca="false">AVERAGE(R15:R16)/100</f>
        <v>0.0121175102711583</v>
      </c>
      <c r="X15" s="0" t="n">
        <f aca="false">AVERAGE(S15:S16)/100</f>
        <v>0.00071746652648987</v>
      </c>
      <c r="Y15" s="1" t="n">
        <f aca="false">AVERAGE(T15:T16)/100</f>
        <v>0.000408820679200022</v>
      </c>
      <c r="Z15" s="33" t="n">
        <f aca="false">AVERAGE(U15:V16)/100</f>
        <v>0.987522</v>
      </c>
      <c r="AA15" s="2" t="n">
        <f aca="false">SUM(W15:Z15)</f>
        <v>1.00076579747685</v>
      </c>
      <c r="AD15" s="0" t="n">
        <v>0.0121175102711583</v>
      </c>
      <c r="AE15" s="0" t="n">
        <v>0.00071746652648987</v>
      </c>
      <c r="AF15" s="0" t="n">
        <v>0.000408820679200022</v>
      </c>
      <c r="AG15" s="0" t="n">
        <v>0.986756202523152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2.7929</v>
      </c>
      <c r="E16" s="34" t="n">
        <v>100</v>
      </c>
      <c r="F16" s="34" t="n">
        <v>3.0272</v>
      </c>
      <c r="G16" s="30" t="n">
        <f aca="false">1000-E16</f>
        <v>900</v>
      </c>
      <c r="H16" s="34" t="n">
        <v>3.6644</v>
      </c>
      <c r="I16" s="35" t="n">
        <f aca="false">F16-D16</f>
        <v>0.2343</v>
      </c>
      <c r="J16" s="35" t="n">
        <f aca="false">H16-F16</f>
        <v>0.6372</v>
      </c>
      <c r="K16" s="35" t="n">
        <f aca="false">J16+I16</f>
        <v>0.8715</v>
      </c>
      <c r="L16" s="36" t="n">
        <v>37.9227</v>
      </c>
      <c r="M16" s="36" t="n">
        <v>1.6442</v>
      </c>
      <c r="N16" s="36" t="n">
        <v>0.8629</v>
      </c>
      <c r="O16" s="52" t="n">
        <f aca="false">(L16/$F$2)^(1/$F$3)</f>
        <v>0.25957157701283</v>
      </c>
      <c r="P16" s="53" t="n">
        <f aca="false">(M16/$G$2)^(1/$G$3)</f>
        <v>0.0148709637580688</v>
      </c>
      <c r="Q16" s="54" t="n">
        <f aca="false">(N16/$H$2)^(1/$H$3)</f>
        <v>0.00826839020996151</v>
      </c>
      <c r="R16" s="55" t="n">
        <f aca="false">O16*$K16/$I16</f>
        <v>0.965499911936328</v>
      </c>
      <c r="S16" s="53" t="n">
        <f aca="false">P16*$K16/$I16</f>
        <v>0.0553138920834696</v>
      </c>
      <c r="T16" s="54" t="n">
        <f aca="false">Q16*$K16/$I16</f>
        <v>0.0307550237643254</v>
      </c>
      <c r="U16" s="2" t="n">
        <v>98.7114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2.8159</v>
      </c>
      <c r="E17" s="19" t="n">
        <v>300</v>
      </c>
      <c r="F17" s="20" t="n">
        <v>3.0136</v>
      </c>
      <c r="G17" s="19" t="n">
        <f aca="false">1000-E17</f>
        <v>700</v>
      </c>
      <c r="H17" s="20" t="n">
        <v>3.6274</v>
      </c>
      <c r="I17" s="22" t="n">
        <f aca="false">F17-D17</f>
        <v>0.1977</v>
      </c>
      <c r="J17" s="22" t="n">
        <f aca="false">H17-F17</f>
        <v>0.6138</v>
      </c>
      <c r="K17" s="22" t="n">
        <f aca="false">J17+I17</f>
        <v>0.8115</v>
      </c>
      <c r="L17" s="23" t="n">
        <v>2453.2232</v>
      </c>
      <c r="M17" s="23" t="n">
        <v>449.0819</v>
      </c>
      <c r="N17" s="23" t="n">
        <v>446.4899</v>
      </c>
      <c r="O17" s="24" t="n">
        <f aca="false">(L17/$F$2)^(1/$F$3)</f>
        <v>13.4387335713652</v>
      </c>
      <c r="P17" s="47" t="n">
        <f aca="false">(M17/$G$2)^(1/$G$3)</f>
        <v>2.97152315301192</v>
      </c>
      <c r="Q17" s="26" t="n">
        <f aca="false">(N17/$H$2)^(1/$H$3)</f>
        <v>2.94036066664036</v>
      </c>
      <c r="R17" s="25" t="n">
        <f aca="false">O17*$K17/$I17</f>
        <v>55.1620247504447</v>
      </c>
      <c r="S17" s="47" t="n">
        <f aca="false">P17*$K17/$I17</f>
        <v>12.1972232608456</v>
      </c>
      <c r="T17" s="26" t="n">
        <f aca="false">Q17*$K17/$I17</f>
        <v>12.0693104753599</v>
      </c>
      <c r="U17" s="27" t="n">
        <v>6.4258</v>
      </c>
      <c r="V17" s="27"/>
      <c r="W17" s="56" t="n">
        <f aca="false">AVERAGE(R17:R18)/100</f>
        <v>0.727471400907627</v>
      </c>
      <c r="X17" s="57" t="n">
        <f aca="false">AVERAGE(S17:S18)/100</f>
        <v>0.158611847764609</v>
      </c>
      <c r="Y17" s="57" t="n">
        <f aca="false">AVERAGE(T17:T18)/100</f>
        <v>0.156897788633089</v>
      </c>
      <c r="Z17" s="29" t="n">
        <f aca="false">AVERAGE(U17:V18)/100</f>
        <v>0.062883</v>
      </c>
      <c r="AA17" s="2" t="n">
        <f aca="false">SUM(W17:Z17)</f>
        <v>1.10586403730533</v>
      </c>
      <c r="AD17" s="0" t="n">
        <v>0.653632033968401</v>
      </c>
      <c r="AE17" s="0" t="n">
        <v>0.142512522879277</v>
      </c>
      <c r="AF17" s="0" t="n">
        <v>0.140972443152322</v>
      </c>
      <c r="AG17" s="0" t="n">
        <v>0.062883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2.8546</v>
      </c>
      <c r="E18" s="20" t="n">
        <v>300</v>
      </c>
      <c r="F18" s="20" t="n">
        <v>3.0014</v>
      </c>
      <c r="G18" s="19" t="n">
        <f aca="false">1000-E18</f>
        <v>700</v>
      </c>
      <c r="H18" s="20" t="n">
        <v>3.6465</v>
      </c>
      <c r="I18" s="22" t="n">
        <f aca="false">F18-D18</f>
        <v>0.1468</v>
      </c>
      <c r="J18" s="22" t="n">
        <f aca="false">H18-F18</f>
        <v>0.6451</v>
      </c>
      <c r="K18" s="22" t="n">
        <f aca="false">J18+I18</f>
        <v>0.7919</v>
      </c>
      <c r="L18" s="23" t="n">
        <v>3095.0607</v>
      </c>
      <c r="M18" s="23" t="n">
        <v>553.4148</v>
      </c>
      <c r="N18" s="23" t="n">
        <v>550.4398</v>
      </c>
      <c r="O18" s="24" t="n">
        <f aca="false">(L18/$F$2)^(1/$F$3)</f>
        <v>16.7455172335934</v>
      </c>
      <c r="P18" s="47" t="n">
        <f aca="false">(M18/$G$2)^(1/$G$3)</f>
        <v>3.61951190260992</v>
      </c>
      <c r="Q18" s="26" t="n">
        <f aca="false">(N18/$H$2)^(1/$H$3)</f>
        <v>3.57967457568463</v>
      </c>
      <c r="R18" s="25" t="n">
        <f aca="false">O18*$K18/$I18</f>
        <v>90.3322554310808</v>
      </c>
      <c r="S18" s="47" t="n">
        <f aca="false">P18*$K18/$I18</f>
        <v>19.5251462920763</v>
      </c>
      <c r="T18" s="26" t="n">
        <f aca="false">Q18*$K18/$I18</f>
        <v>19.3102472512579</v>
      </c>
      <c r="U18" s="27" t="n">
        <v>6.1508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2.8212</v>
      </c>
      <c r="E19" s="34" t="n">
        <v>100</v>
      </c>
      <c r="F19" s="34" t="n">
        <v>2.9905</v>
      </c>
      <c r="G19" s="30" t="n">
        <f aca="false">1000-E19</f>
        <v>900</v>
      </c>
      <c r="H19" s="34" t="n">
        <v>3.6314</v>
      </c>
      <c r="I19" s="35" t="n">
        <f aca="false">F19-D19</f>
        <v>0.1693</v>
      </c>
      <c r="J19" s="35" t="n">
        <f aca="false">H19-F19</f>
        <v>0.6409</v>
      </c>
      <c r="K19" s="35" t="n">
        <f aca="false">J19+I19</f>
        <v>0.8102</v>
      </c>
      <c r="L19" s="36" t="n">
        <v>61.2145</v>
      </c>
      <c r="M19" s="36" t="n">
        <v>1.3194</v>
      </c>
      <c r="N19" s="36" t="n">
        <v>0.8522</v>
      </c>
      <c r="O19" s="52" t="n">
        <f aca="false">(L19/$F$2)^(1/$F$3)</f>
        <v>0.408416278163266</v>
      </c>
      <c r="P19" s="53" t="n">
        <f aca="false">(M19/$G$2)^(1/$G$3)</f>
        <v>0.0120805202405174</v>
      </c>
      <c r="Q19" s="54" t="n">
        <f aca="false">(N19/$H$2)^(1/$H$3)</f>
        <v>0.00817197900319304</v>
      </c>
      <c r="R19" s="55" t="n">
        <f aca="false">O19*$K19/$I19</f>
        <v>1.9545119230235</v>
      </c>
      <c r="S19" s="53" t="n">
        <f aca="false">P19*$K19/$I19</f>
        <v>0.0578123892431614</v>
      </c>
      <c r="T19" s="54" t="n">
        <f aca="false">Q19*$K19/$I19</f>
        <v>0.0391077223177024</v>
      </c>
      <c r="U19" s="2" t="n">
        <v>98.6729</v>
      </c>
      <c r="V19" s="2"/>
      <c r="W19" s="51" t="n">
        <f aca="false">AVERAGE(R19:R20)/100</f>
        <v>0.0173037698738769</v>
      </c>
      <c r="X19" s="0" t="n">
        <f aca="false">AVERAGE(S19:S20)/100</f>
        <v>0.000499086490289764</v>
      </c>
      <c r="Y19" s="1" t="n">
        <f aca="false">AVERAGE(T19:T20)/100</f>
        <v>0.000334787451129759</v>
      </c>
      <c r="Z19" s="33" t="n">
        <f aca="false">AVERAGE(U19:V20)/100</f>
        <v>0.983951</v>
      </c>
      <c r="AA19" s="2" t="n">
        <f aca="false">SUM(W19:Z19)</f>
        <v>1.0020886438153</v>
      </c>
      <c r="AD19" s="0" t="n">
        <v>0.0173037698738769</v>
      </c>
      <c r="AE19" s="0" t="n">
        <v>0.000499086490289764</v>
      </c>
      <c r="AF19" s="0" t="n">
        <v>0.000334787451129759</v>
      </c>
      <c r="AG19" s="0" t="n">
        <v>0.981862356184704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2.8023</v>
      </c>
      <c r="E20" s="34" t="n">
        <v>100</v>
      </c>
      <c r="F20" s="34" t="n">
        <v>3.014</v>
      </c>
      <c r="G20" s="30" t="n">
        <f aca="false">1000-E20</f>
        <v>900</v>
      </c>
      <c r="H20" s="34" t="n">
        <v>3.6551</v>
      </c>
      <c r="I20" s="35" t="n">
        <f aca="false">F20-D20</f>
        <v>0.2117</v>
      </c>
      <c r="J20" s="35" t="n">
        <f aca="false">H20-F20</f>
        <v>0.6411</v>
      </c>
      <c r="K20" s="35" t="n">
        <f aca="false">J20+I20</f>
        <v>0.8528</v>
      </c>
      <c r="L20" s="36" t="n">
        <v>55.7643</v>
      </c>
      <c r="M20" s="36" t="n">
        <v>1.129</v>
      </c>
      <c r="N20" s="36" t="n">
        <v>0.7133</v>
      </c>
      <c r="O20" s="52" t="n">
        <f aca="false">(L20/$F$2)^(1/$F$3)</f>
        <v>0.373911165989534</v>
      </c>
      <c r="P20" s="53" t="n">
        <f aca="false">(M20/$G$2)^(1/$G$3)</f>
        <v>0.0104273442730902</v>
      </c>
      <c r="Q20" s="54" t="n">
        <f aca="false">(N20/$H$2)^(1/$H$3)</f>
        <v>0.0069134566911074</v>
      </c>
      <c r="R20" s="55" t="n">
        <f aca="false">O20*$K20/$I20</f>
        <v>1.50624205175189</v>
      </c>
      <c r="S20" s="53" t="n">
        <f aca="false">P20*$K20/$I20</f>
        <v>0.0420049088147913</v>
      </c>
      <c r="T20" s="54" t="n">
        <f aca="false">Q20*$K20/$I20</f>
        <v>0.0278497679082494</v>
      </c>
      <c r="U20" s="2" t="n">
        <v>98.1173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2.8164</v>
      </c>
      <c r="E21" s="19" t="n">
        <v>300</v>
      </c>
      <c r="F21" s="20" t="n">
        <v>3.0017</v>
      </c>
      <c r="G21" s="19" t="n">
        <f aca="false">1000-E21</f>
        <v>700</v>
      </c>
      <c r="H21" s="20" t="n">
        <v>3.6024</v>
      </c>
      <c r="I21" s="22" t="n">
        <f aca="false">F21-D21</f>
        <v>0.1853</v>
      </c>
      <c r="J21" s="22" t="n">
        <f aca="false">H21-F21</f>
        <v>0.6007</v>
      </c>
      <c r="K21" s="22" t="n">
        <f aca="false">J21+I21</f>
        <v>0.786</v>
      </c>
      <c r="L21" s="23" t="n">
        <v>1179.6356</v>
      </c>
      <c r="M21" s="23" t="n">
        <v>1348.6819</v>
      </c>
      <c r="N21" s="23" t="n">
        <v>1337.4612</v>
      </c>
      <c r="O21" s="24" t="n">
        <f aca="false">(L21/$F$2)^(1/$F$3)</f>
        <v>6.71980117739867</v>
      </c>
      <c r="P21" s="47" t="n">
        <f aca="false">(M21/$G$2)^(1/$G$3)</f>
        <v>8.39376409426297</v>
      </c>
      <c r="Q21" s="26" t="n">
        <f aca="false">(N21/$H$2)^(1/$H$3)</f>
        <v>8.24659906810592</v>
      </c>
      <c r="R21" s="25" t="n">
        <f aca="false">O21*$K21/$I21</f>
        <v>28.5038517292787</v>
      </c>
      <c r="S21" s="47" t="n">
        <f aca="false">P21*$K21/$I21</f>
        <v>35.6044175827884</v>
      </c>
      <c r="T21" s="26" t="n">
        <f aca="false">Q21*$K21/$I21</f>
        <v>34.9801773746964</v>
      </c>
      <c r="U21" s="27" t="n">
        <v>2.8273</v>
      </c>
      <c r="V21" s="27"/>
      <c r="W21" s="56" t="n">
        <f aca="false">AVERAGE(R21:R22)/100</f>
        <v>0.298010969821185</v>
      </c>
      <c r="X21" s="57" t="n">
        <f aca="false">AVERAGE(S21:S22)/100</f>
        <v>0.371780808839847</v>
      </c>
      <c r="Y21" s="57" t="n">
        <f aca="false">AVERAGE(T21:T22)/100</f>
        <v>0.365119707282739</v>
      </c>
      <c r="Z21" s="29" t="n">
        <f aca="false">AVERAGE(U21:V22)/100</f>
        <v>0.027996</v>
      </c>
      <c r="AA21" s="2" t="n">
        <f aca="false">SUM(W21:Z21)</f>
        <v>1.06290748594377</v>
      </c>
      <c r="AD21" s="0" t="n">
        <v>0.279896260351109</v>
      </c>
      <c r="AE21" s="0" t="n">
        <v>0.349181971814738</v>
      </c>
      <c r="AF21" s="0" t="n">
        <v>0.342925767834153</v>
      </c>
      <c r="AG21" s="0" t="n">
        <v>0.027996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2.8171</v>
      </c>
      <c r="E22" s="20" t="n">
        <v>300</v>
      </c>
      <c r="F22" s="20" t="n">
        <v>3.0021</v>
      </c>
      <c r="G22" s="19" t="n">
        <f aca="false">1000-E22</f>
        <v>700</v>
      </c>
      <c r="H22" s="20" t="n">
        <v>3.6464</v>
      </c>
      <c r="I22" s="22" t="n">
        <f aca="false">F22-D22</f>
        <v>0.185</v>
      </c>
      <c r="J22" s="22" t="n">
        <f aca="false">H22-F22</f>
        <v>0.6443</v>
      </c>
      <c r="K22" s="22" t="n">
        <f aca="false">J22+I22</f>
        <v>0.8293</v>
      </c>
      <c r="L22" s="23" t="n">
        <v>1220.0282</v>
      </c>
      <c r="M22" s="23" t="n">
        <v>1391.4222</v>
      </c>
      <c r="N22" s="23" t="n">
        <v>1378.9418</v>
      </c>
      <c r="O22" s="24" t="n">
        <f aca="false">(L22/$F$2)^(1/$F$3)</f>
        <v>6.93740903589446</v>
      </c>
      <c r="P22" s="47" t="n">
        <f aca="false">(M22/$G$2)^(1/$G$3)</f>
        <v>8.64472769113529</v>
      </c>
      <c r="Q22" s="26" t="n">
        <f aca="false">(N22/$H$2)^(1/$H$3)</f>
        <v>8.48679169798928</v>
      </c>
      <c r="R22" s="25" t="n">
        <f aca="false">O22*$K22/$I22</f>
        <v>31.0983422349582</v>
      </c>
      <c r="S22" s="47" t="n">
        <f aca="false">P22*$K22/$I22</f>
        <v>38.751744185181</v>
      </c>
      <c r="T22" s="26" t="n">
        <f aca="false">Q22*$K22/$I22</f>
        <v>38.0437640818514</v>
      </c>
      <c r="U22" s="27" t="n">
        <v>2.7719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2.8014</v>
      </c>
      <c r="E23" s="34" t="n">
        <v>100</v>
      </c>
      <c r="F23" s="34" t="n">
        <v>3.0245</v>
      </c>
      <c r="G23" s="30" t="n">
        <f aca="false">1000-E23</f>
        <v>900</v>
      </c>
      <c r="H23" s="34" t="n">
        <v>3.6706</v>
      </c>
      <c r="I23" s="35" t="n">
        <f aca="false">F23-D23</f>
        <v>0.2231</v>
      </c>
      <c r="J23" s="35" t="n">
        <f aca="false">H23-F23</f>
        <v>0.6461</v>
      </c>
      <c r="K23" s="35" t="n">
        <f aca="false">J23+I23</f>
        <v>0.8692</v>
      </c>
      <c r="L23" s="36" t="n">
        <v>31.3648</v>
      </c>
      <c r="M23" s="36" t="n">
        <v>11.8566</v>
      </c>
      <c r="N23" s="36" t="n">
        <v>10.9413</v>
      </c>
      <c r="O23" s="52" t="n">
        <f aca="false">(L23/$F$2)^(1/$F$3)</f>
        <v>0.216872917186105</v>
      </c>
      <c r="P23" s="53" t="n">
        <f aca="false">(M23/$G$2)^(1/$G$3)</f>
        <v>0.0960605153586892</v>
      </c>
      <c r="Q23" s="54" t="n">
        <f aca="false">(N23/$H$2)^(1/$H$3)</f>
        <v>0.0900174006524946</v>
      </c>
      <c r="R23" s="55" t="n">
        <f aca="false">O23*$K23/$I23</f>
        <v>0.844939218369171</v>
      </c>
      <c r="S23" s="53" t="n">
        <f aca="false">P23*$K23/$I23</f>
        <v>0.3742528012092</v>
      </c>
      <c r="T23" s="54" t="n">
        <f aca="false">Q23*$K23/$I23</f>
        <v>0.350708761305012</v>
      </c>
      <c r="U23" s="2" t="n">
        <v>97.482</v>
      </c>
      <c r="V23" s="2" t="n">
        <v>100.2932</v>
      </c>
      <c r="W23" s="51" t="n">
        <f aca="false">AVERAGE(R23:R24)/100</f>
        <v>0.00760136273957739</v>
      </c>
      <c r="X23" s="0" t="n">
        <f aca="false">AVERAGE(S23:S24)/100</f>
        <v>0.00329322854848022</v>
      </c>
      <c r="Y23" s="1" t="n">
        <f aca="false">AVERAGE(T23:T24)/100</f>
        <v>0.0030783847293802</v>
      </c>
      <c r="Z23" s="33" t="n">
        <f aca="false">AVERAGE(U23:V24)/100</f>
        <v>0.985854</v>
      </c>
      <c r="AA23" s="2" t="n">
        <f aca="false">SUM(W23:Z23)</f>
        <v>0.999826976017438</v>
      </c>
      <c r="AD23" s="0" t="n">
        <v>0.00760136273957739</v>
      </c>
      <c r="AE23" s="0" t="n">
        <v>0.00329322854848022</v>
      </c>
      <c r="AF23" s="0" t="n">
        <v>0.0030783847293802</v>
      </c>
      <c r="AG23" s="0" t="n">
        <v>0.986027023982562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2.7188</v>
      </c>
      <c r="E24" s="34" t="n">
        <v>100</v>
      </c>
      <c r="F24" s="34" t="n">
        <v>3.0307</v>
      </c>
      <c r="G24" s="30" t="n">
        <f aca="false">1000-E24</f>
        <v>900</v>
      </c>
      <c r="H24" s="34" t="n">
        <v>3.6734</v>
      </c>
      <c r="I24" s="35" t="n">
        <f aca="false">F24-D24</f>
        <v>0.3119</v>
      </c>
      <c r="J24" s="35" t="n">
        <f aca="false">H24-F24</f>
        <v>0.6427</v>
      </c>
      <c r="K24" s="35" t="n">
        <f aca="false">J24+I24</f>
        <v>0.9546</v>
      </c>
      <c r="L24" s="36" t="n">
        <v>31.9428</v>
      </c>
      <c r="M24" s="36" t="n">
        <v>11.4466</v>
      </c>
      <c r="N24" s="36" t="n">
        <v>10.4966</v>
      </c>
      <c r="O24" s="58" t="n">
        <f aca="false">(L24/$F$2)^(1/$F$3)</f>
        <v>0.220654164556351</v>
      </c>
      <c r="P24" s="59" t="n">
        <f aca="false">(M24/$G$2)^(1/$G$3)</f>
        <v>0.0929207502168934</v>
      </c>
      <c r="Q24" s="60" t="n">
        <f aca="false">(N24/$H$2)^(1/$H$3)</f>
        <v>0.0865740380973217</v>
      </c>
      <c r="R24" s="55" t="n">
        <f aca="false">O24*$K24/$I24</f>
        <v>0.675333329546306</v>
      </c>
      <c r="S24" s="53" t="n">
        <f aca="false">P24*$K24/$I24</f>
        <v>0.284392908486843</v>
      </c>
      <c r="T24" s="54" t="n">
        <f aca="false">Q24*$K24/$I24</f>
        <v>0.264968184571027</v>
      </c>
      <c r="U24" s="42" t="n">
        <v>97.981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2.8209</v>
      </c>
      <c r="F25" s="1" t="n">
        <v>3.0963</v>
      </c>
      <c r="G25" s="2" t="n">
        <f aca="false">1000-E25</f>
        <v>1000</v>
      </c>
      <c r="H25" s="1" t="n">
        <v>3.5769</v>
      </c>
      <c r="I25" s="1" t="n">
        <f aca="false">F25-D25</f>
        <v>0.2754</v>
      </c>
      <c r="J25" s="1" t="n">
        <f aca="false">H25-F25</f>
        <v>0.4806</v>
      </c>
      <c r="K25" s="1" t="n">
        <f aca="false">J25+I25</f>
        <v>0.756</v>
      </c>
      <c r="M25" s="1" t="n">
        <v>3013.61</v>
      </c>
      <c r="N25" s="1" t="n">
        <v>2979.82</v>
      </c>
      <c r="P25" s="1" t="n">
        <f aca="false">(M25/$G$2)^(1/$G$3)</f>
        <v>17.934179047852</v>
      </c>
      <c r="Q25" s="1" t="n">
        <f aca="false">(N25/$H$2)^(1/$H$3)</f>
        <v>17.510719946123</v>
      </c>
      <c r="S25" s="1" t="n">
        <f aca="false">P25*$K25/$I25</f>
        <v>49.2310797392017</v>
      </c>
      <c r="T25" s="1" t="n">
        <f aca="false">Q25*$K25/$I25</f>
        <v>48.0686429893574</v>
      </c>
      <c r="U25" s="1" t="n">
        <v>0.9213</v>
      </c>
      <c r="X25" s="1" t="n">
        <f aca="false">AVERAGE(S25:S26)/100</f>
        <v>0.492644898431765</v>
      </c>
      <c r="Y25" s="1" t="n">
        <f aca="false">AVERAGE(T25:T26)/100</f>
        <v>0.481475660452234</v>
      </c>
      <c r="Z25" s="1" t="n">
        <f aca="false">AVERAGE(U25:V26)/100</f>
        <v>0.0092335</v>
      </c>
      <c r="AA25" s="1" t="n">
        <f aca="false">SUM(W25:Z25)</f>
        <v>0.983354058883998</v>
      </c>
      <c r="AE25" s="1" t="n">
        <f aca="false">IFERROR(X25/$AA25,"")</f>
        <v>0.500984252803984</v>
      </c>
      <c r="AF25" s="1" t="n">
        <f aca="false">IFERROR(Y25/$AA25,"")</f>
        <v>0.48962594510329</v>
      </c>
      <c r="AG25" s="1" t="n">
        <f aca="false">IFERROR(Z25/$AA25,"")</f>
        <v>0.00938980209272643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2.7648</v>
      </c>
      <c r="F26" s="1" t="n">
        <v>3.0455</v>
      </c>
      <c r="G26" s="2" t="n">
        <f aca="false">1000-E26</f>
        <v>1000</v>
      </c>
      <c r="H26" s="1" t="n">
        <v>3.521</v>
      </c>
      <c r="I26" s="1" t="n">
        <f aca="false">F26-D26</f>
        <v>0.2807</v>
      </c>
      <c r="J26" s="1" t="n">
        <f aca="false">H26-F26</f>
        <v>0.4755</v>
      </c>
      <c r="K26" s="1" t="n">
        <f aca="false">J26+I26</f>
        <v>0.7562</v>
      </c>
      <c r="M26" s="1" t="n">
        <v>3078.62</v>
      </c>
      <c r="N26" s="1" t="n">
        <v>3050.63</v>
      </c>
      <c r="P26" s="1" t="n">
        <f aca="false">(M26/$G$2)^(1/$G$3)</f>
        <v>18.2992865844557</v>
      </c>
      <c r="Q26" s="1" t="n">
        <f aca="false">(N26/$H$2)^(1/$H$3)</f>
        <v>17.9015809186403</v>
      </c>
      <c r="S26" s="1" t="n">
        <f aca="false">P26*$K26/$I26</f>
        <v>49.2978999471513</v>
      </c>
      <c r="T26" s="1" t="n">
        <f aca="false">Q26*$K26/$I26</f>
        <v>48.2264891010893</v>
      </c>
      <c r="U26" s="1" t="n">
        <v>0.9254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2.7676</v>
      </c>
      <c r="F27" s="1" t="n">
        <v>3.2654</v>
      </c>
      <c r="G27" s="2" t="n">
        <f aca="false">1000-E27</f>
        <v>1000</v>
      </c>
      <c r="H27" s="1" t="n">
        <v>4.1525</v>
      </c>
      <c r="I27" s="1" t="n">
        <f aca="false">F27-D27</f>
        <v>0.4978</v>
      </c>
      <c r="J27" s="1" t="n">
        <f aca="false">H27-F27</f>
        <v>0.8871</v>
      </c>
      <c r="K27" s="1" t="n">
        <f aca="false">J27+I27</f>
        <v>1.3849</v>
      </c>
      <c r="M27" s="1" t="n">
        <v>7.67</v>
      </c>
      <c r="N27" s="1" t="n">
        <v>4.01</v>
      </c>
      <c r="P27" s="1" t="n">
        <f aca="false">(M27/$G$2)^(1/$G$3)</f>
        <v>0.0636676077279383</v>
      </c>
      <c r="Q27" s="1" t="n">
        <f aca="false">(N27/$H$2)^(1/$H$3)</f>
        <v>0.0350399829976463</v>
      </c>
      <c r="S27" s="1" t="n">
        <f aca="false">P27*$K27/$I27</f>
        <v>0.177125893817641</v>
      </c>
      <c r="T27" s="1" t="n">
        <f aca="false">Q27*$K27/$I27</f>
        <v>0.0974826686489359</v>
      </c>
      <c r="X27" s="1" t="n">
        <f aca="false">AVERAGE(S27:S28)/100</f>
        <v>0.00834067350382362</v>
      </c>
      <c r="Y27" s="1" t="n">
        <f aca="false">AVERAGE(T27:T28)/100</f>
        <v>0.00738615399148002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2.7845</v>
      </c>
      <c r="F28" s="1" t="n">
        <v>3.0029</v>
      </c>
      <c r="G28" s="2" t="n">
        <f aca="false">1000-E28</f>
        <v>1000</v>
      </c>
      <c r="H28" s="1" t="n">
        <v>3.4868</v>
      </c>
      <c r="I28" s="1" t="n">
        <f aca="false">F28-D28</f>
        <v>0.2184</v>
      </c>
      <c r="J28" s="1" t="n">
        <f aca="false">H28-F28</f>
        <v>0.4839</v>
      </c>
      <c r="K28" s="1" t="n">
        <f aca="false">J28+I28</f>
        <v>0.7023</v>
      </c>
      <c r="M28" s="1" t="n">
        <v>62.8</v>
      </c>
      <c r="N28" s="1" t="n">
        <v>57.62</v>
      </c>
      <c r="P28" s="1" t="n">
        <f aca="false">(M28/$G$2)^(1/$G$3)</f>
        <v>0.463671256496145</v>
      </c>
      <c r="Q28" s="1" t="n">
        <f aca="false">(N28/$H$2)^(1/$H$3)</f>
        <v>0.429071609732194</v>
      </c>
      <c r="S28" s="1" t="n">
        <f aca="false">P28*$K28/$I28</f>
        <v>1.49100880694708</v>
      </c>
      <c r="T28" s="1" t="n">
        <f aca="false">Q28*$K28/$I28</f>
        <v>1.37974812964707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69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141.723567</v>
      </c>
      <c r="H2" s="4" t="n">
        <v>164.347912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1.05899702</v>
      </c>
      <c r="H3" s="1" t="n">
        <v>1.02652889</v>
      </c>
      <c r="M3" s="1" t="s">
        <v>70</v>
      </c>
      <c r="N3" s="1" t="s">
        <v>48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2.8704</v>
      </c>
      <c r="E5" s="19" t="n">
        <v>300</v>
      </c>
      <c r="F5" s="20" t="n">
        <v>3.0503</v>
      </c>
      <c r="G5" s="19" t="n">
        <f aca="false">1000-E5</f>
        <v>700</v>
      </c>
      <c r="H5" s="20" t="n">
        <v>3.6857</v>
      </c>
      <c r="I5" s="22" t="n">
        <f aca="false">F5-D5</f>
        <v>0.1799</v>
      </c>
      <c r="J5" s="22" t="n">
        <f aca="false">H5-F5</f>
        <v>0.6354</v>
      </c>
      <c r="K5" s="22" t="n">
        <f aca="false">J5+I5</f>
        <v>0.8153</v>
      </c>
      <c r="L5" s="23" t="n">
        <v>151.7169</v>
      </c>
      <c r="M5" s="23" t="n">
        <v>1534.5357</v>
      </c>
      <c r="N5" s="23" t="n">
        <v>1600.5344</v>
      </c>
      <c r="O5" s="24" t="n">
        <f aca="false">(L5/$F$2)^(1/$F$3)</f>
        <v>0.964329075007112</v>
      </c>
      <c r="P5" s="47" t="n">
        <f aca="false">(M5/$G$2)^(1/$G$3)</f>
        <v>9.48201618644589</v>
      </c>
      <c r="Q5" s="26" t="n">
        <f aca="false">(N5/$H$2)^(1/$H$3)</f>
        <v>9.18236818292739</v>
      </c>
      <c r="R5" s="25" t="n">
        <f aca="false">O5*$K5/$I5</f>
        <v>4.37030291747248</v>
      </c>
      <c r="S5" s="47" t="n">
        <f aca="false">P5*$K5/$I5</f>
        <v>42.9721389483565</v>
      </c>
      <c r="T5" s="26" t="n">
        <f aca="false">Q5*$K5/$I5</f>
        <v>41.6141455227388</v>
      </c>
      <c r="U5" s="27" t="n">
        <v>1.9283</v>
      </c>
      <c r="V5" s="27"/>
      <c r="W5" s="48" t="n">
        <f aca="false">AVERAGE(R5:R6)/100</f>
        <v>0.0511786477275603</v>
      </c>
      <c r="X5" s="49" t="n">
        <f aca="false">AVERAGE(S5:S6)/100</f>
        <v>0.502504829129983</v>
      </c>
      <c r="Y5" s="49" t="n">
        <f aca="false">AVERAGE(T5:T6)/100</f>
        <v>0.49219532654854</v>
      </c>
      <c r="Z5" s="50" t="n">
        <f aca="false">AVERAGE(U5:V6)/100</f>
        <v>0.0189095</v>
      </c>
      <c r="AA5" s="2" t="n">
        <f aca="false">SUM(W5:Z5)</f>
        <v>1.06478830340608</v>
      </c>
      <c r="AD5" s="0" t="n">
        <v>0.0480083207775468</v>
      </c>
      <c r="AE5" s="0" t="n">
        <v>0.471376523224299</v>
      </c>
      <c r="AF5" s="0" t="n">
        <v>0.461705655998155</v>
      </c>
      <c r="AG5" s="0" t="n">
        <v>0.0189095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2.8691</v>
      </c>
      <c r="E6" s="20" t="n">
        <v>300</v>
      </c>
      <c r="F6" s="20" t="n">
        <v>3.0579</v>
      </c>
      <c r="G6" s="19" t="n">
        <f aca="false">1000-E6</f>
        <v>700</v>
      </c>
      <c r="H6" s="20" t="n">
        <v>3.6781</v>
      </c>
      <c r="I6" s="22" t="n">
        <f aca="false">F6-D6</f>
        <v>0.1888</v>
      </c>
      <c r="J6" s="22" t="n">
        <f aca="false">H6-F6</f>
        <v>0.6202</v>
      </c>
      <c r="K6" s="22" t="n">
        <f aca="false">J6+I6</f>
        <v>0.809</v>
      </c>
      <c r="L6" s="23" t="n">
        <v>219.6581</v>
      </c>
      <c r="M6" s="23" t="n">
        <v>2217.819</v>
      </c>
      <c r="N6" s="23" t="n">
        <v>2334.1976</v>
      </c>
      <c r="O6" s="24" t="n">
        <f aca="false">(L6/$F$2)^(1/$F$3)</f>
        <v>1.36884122048686</v>
      </c>
      <c r="P6" s="47" t="n">
        <f aca="false">(M6/$G$2)^(1/$G$3)</f>
        <v>13.4257633059313</v>
      </c>
      <c r="Q6" s="26" t="n">
        <f aca="false">(N6/$H$2)^(1/$H$3)</f>
        <v>13.2614893149318</v>
      </c>
      <c r="R6" s="25" t="n">
        <f aca="false">O6*$K6/$I6</f>
        <v>5.86542662803958</v>
      </c>
      <c r="S6" s="47" t="n">
        <f aca="false">P6*$K6/$I6</f>
        <v>57.5288268776401</v>
      </c>
      <c r="T6" s="26" t="n">
        <f aca="false">Q6*$K6/$I6</f>
        <v>56.8249197869693</v>
      </c>
      <c r="U6" s="27" t="n">
        <v>1.8536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2.8385</v>
      </c>
      <c r="E7" s="34" t="n">
        <v>100</v>
      </c>
      <c r="F7" s="34" t="n">
        <v>3.0413</v>
      </c>
      <c r="G7" s="30" t="n">
        <f aca="false">1000-E7</f>
        <v>900</v>
      </c>
      <c r="H7" s="34" t="n">
        <v>3.6485</v>
      </c>
      <c r="I7" s="35" t="n">
        <f aca="false">F7-D7</f>
        <v>0.2028</v>
      </c>
      <c r="J7" s="35" t="n">
        <f aca="false">H7-F7</f>
        <v>0.6072</v>
      </c>
      <c r="K7" s="35" t="n">
        <f aca="false">J7+I7</f>
        <v>0.81</v>
      </c>
      <c r="L7" s="1" t="n">
        <v>5.6609</v>
      </c>
      <c r="M7" s="1" t="n">
        <v>3.3472</v>
      </c>
      <c r="N7" s="36" t="n">
        <v>2.3765</v>
      </c>
      <c r="O7" s="52" t="n">
        <f aca="false">(L7/$F$2)^(1/$F$3)</f>
        <v>0.0428913559176161</v>
      </c>
      <c r="P7" s="53" t="n">
        <f aca="false">(M7/$G$2)^(1/$G$3)</f>
        <v>0.0290982496537844</v>
      </c>
      <c r="Q7" s="54" t="n">
        <f aca="false">(N7/$H$2)^(1/$H$3)</f>
        <v>0.0161332106870213</v>
      </c>
      <c r="R7" s="55" t="n">
        <f aca="false">O7*$K7/$I7</f>
        <v>0.171311628665034</v>
      </c>
      <c r="S7" s="53" t="n">
        <f aca="false">P7*$K7/$I7</f>
        <v>0.116220819623103</v>
      </c>
      <c r="T7" s="54" t="n">
        <f aca="false">Q7*$K7/$I7</f>
        <v>0.0644373799629549</v>
      </c>
      <c r="U7" s="2" t="n">
        <v>98.5301</v>
      </c>
      <c r="V7" s="2"/>
      <c r="W7" s="51" t="n">
        <f aca="false">AVERAGE(R7:R8)/100</f>
        <v>0.0016755521182813</v>
      </c>
      <c r="X7" s="0" t="n">
        <f aca="false">AVERAGE(S7:S8)/100</f>
        <v>0.00190530150090893</v>
      </c>
      <c r="Y7" s="1" t="n">
        <f aca="false">AVERAGE(T7:T8)/100</f>
        <v>0.0013090241973592</v>
      </c>
      <c r="Z7" s="33" t="n">
        <f aca="false">AVERAGE(U7:V8)/100</f>
        <v>0.9913355</v>
      </c>
      <c r="AA7" s="2" t="n">
        <f aca="false">SUM(W7:Z7)</f>
        <v>0.99622537781655</v>
      </c>
      <c r="AD7" s="0" t="n">
        <v>0.00171311628665034</v>
      </c>
      <c r="AE7" s="0" t="n">
        <v>0.00116220819623103</v>
      </c>
      <c r="AF7" s="0" t="n">
        <v>0.000644373799629549</v>
      </c>
      <c r="AG7" s="0" t="n">
        <v>0.996480301717489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2.7677</v>
      </c>
      <c r="E8" s="34" t="n">
        <v>100</v>
      </c>
      <c r="F8" s="34" t="n">
        <v>2.9751</v>
      </c>
      <c r="G8" s="30" t="n">
        <f aca="false">1000-E8</f>
        <v>900</v>
      </c>
      <c r="H8" s="34" t="n">
        <v>3.6229</v>
      </c>
      <c r="I8" s="35" t="n">
        <f aca="false">F8-D8</f>
        <v>0.2074</v>
      </c>
      <c r="J8" s="35" t="n">
        <f aca="false">H8-F8</f>
        <v>0.6478</v>
      </c>
      <c r="K8" s="35" t="n">
        <f aca="false">J8+I8</f>
        <v>0.8552</v>
      </c>
      <c r="L8" s="36" t="n">
        <v>5.2202</v>
      </c>
      <c r="M8" s="36" t="n">
        <v>7.7415</v>
      </c>
      <c r="N8" s="36" t="n">
        <v>7.2571</v>
      </c>
      <c r="O8" s="52" t="n">
        <f aca="false">(L8/$F$2)^(1/$F$3)</f>
        <v>0.0397238892436625</v>
      </c>
      <c r="P8" s="53" t="n">
        <f aca="false">(M8/$G$2)^(1/$G$3)</f>
        <v>0.0642279095742174</v>
      </c>
      <c r="Q8" s="54" t="n">
        <f aca="false">(N8/$H$2)^(1/$H$3)</f>
        <v>0.0478648399229921</v>
      </c>
      <c r="R8" s="55" t="n">
        <f aca="false">O8*$K8/$I8</f>
        <v>0.163798794991226</v>
      </c>
      <c r="S8" s="53" t="n">
        <f aca="false">P8*$K8/$I8</f>
        <v>0.264839480558683</v>
      </c>
      <c r="T8" s="54" t="n">
        <f aca="false">Q8*$K8/$I8</f>
        <v>0.197367459508885</v>
      </c>
      <c r="U8" s="2" t="n">
        <v>99.737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2.8343</v>
      </c>
      <c r="E9" s="19" t="n">
        <v>300</v>
      </c>
      <c r="F9" s="20" t="n">
        <v>3.0339</v>
      </c>
      <c r="G9" s="19" t="n">
        <f aca="false">1000-E9</f>
        <v>700</v>
      </c>
      <c r="H9" s="20" t="n">
        <v>3.6605</v>
      </c>
      <c r="I9" s="22" t="n">
        <f aca="false">F9-D9</f>
        <v>0.1996</v>
      </c>
      <c r="J9" s="22" t="n">
        <f aca="false">H9-F9</f>
        <v>0.6266</v>
      </c>
      <c r="K9" s="22" t="n">
        <f aca="false">J9+I9</f>
        <v>0.8262</v>
      </c>
      <c r="L9" s="23" t="n">
        <v>72.5373</v>
      </c>
      <c r="M9" s="23" t="n">
        <v>0.2952</v>
      </c>
      <c r="N9" s="23" t="n">
        <v>0.2666</v>
      </c>
      <c r="O9" s="24" t="n">
        <f aca="false">(L9/$F$2)^(1/$F$3)</f>
        <v>0.479592765918819</v>
      </c>
      <c r="P9" s="47" t="n">
        <f aca="false">(M9/$G$2)^(1/$G$3)</f>
        <v>0.00293799927407238</v>
      </c>
      <c r="Q9" s="26" t="n">
        <f aca="false">(N9/$H$2)^(1/$H$3)</f>
        <v>0.00191512122893122</v>
      </c>
      <c r="R9" s="25" t="n">
        <f aca="false">O9*$K9/$I9</f>
        <v>1.98516805211487</v>
      </c>
      <c r="S9" s="47" t="n">
        <f aca="false">P9*$K9/$I9</f>
        <v>0.0121611973959849</v>
      </c>
      <c r="T9" s="26" t="n">
        <f aca="false">Q9*$K9/$I9</f>
        <v>0.00792722023718926</v>
      </c>
      <c r="U9" s="27" t="n">
        <v>99.3513</v>
      </c>
      <c r="V9" s="27"/>
      <c r="W9" s="56" t="n">
        <f aca="false">AVERAGE(R9:R10)/100</f>
        <v>0.0199932236064912</v>
      </c>
      <c r="X9" s="57" t="n">
        <f aca="false">AVERAGE(S9:S10)/100</f>
        <v>9.10874643392223E-005</v>
      </c>
      <c r="Y9" s="57" t="n">
        <f aca="false">AVERAGE(T9:T10)/100</f>
        <v>4.73751805035506E-005</v>
      </c>
      <c r="Z9" s="29" t="n">
        <f aca="false">AVERAGE(U9:V10)/100</f>
        <v>0.973528666666667</v>
      </c>
      <c r="AA9" s="2" t="n">
        <f aca="false">SUM(W9:Z9)</f>
        <v>0.993660352918001</v>
      </c>
      <c r="AD9" s="0" t="n">
        <v>0.0199932236064912</v>
      </c>
      <c r="AE9" s="0" t="n">
        <v>9.10874643392223E-005</v>
      </c>
      <c r="AF9" s="0" t="n">
        <v>4.73751805035506E-005</v>
      </c>
      <c r="AG9" s="0" t="n">
        <v>0.979868313748666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2.7751</v>
      </c>
      <c r="E10" s="20" t="n">
        <v>300</v>
      </c>
      <c r="F10" s="20" t="n">
        <v>2.9821</v>
      </c>
      <c r="G10" s="19" t="n">
        <f aca="false">1000-E10</f>
        <v>700</v>
      </c>
      <c r="H10" s="20" t="n">
        <v>3.602</v>
      </c>
      <c r="I10" s="22" t="n">
        <f aca="false">F10-D10</f>
        <v>0.207</v>
      </c>
      <c r="J10" s="22" t="n">
        <f aca="false">H10-F10</f>
        <v>0.6199</v>
      </c>
      <c r="K10" s="22" t="n">
        <f aca="false">J10+I10</f>
        <v>0.8269</v>
      </c>
      <c r="L10" s="23" t="n">
        <v>76.4489</v>
      </c>
      <c r="M10" s="23" t="n">
        <v>0.1465</v>
      </c>
      <c r="N10" s="23" t="n">
        <v>0.0517</v>
      </c>
      <c r="O10" s="24" t="n">
        <f aca="false">(L10/$F$2)^(1/$F$3)</f>
        <v>0.504038784037919</v>
      </c>
      <c r="P10" s="47" t="n">
        <f aca="false">(M10/$G$2)^(1/$G$3)</f>
        <v>0.00151608799452766</v>
      </c>
      <c r="Q10" s="26" t="n">
        <f aca="false">(N10/$H$2)^(1/$H$3)</f>
        <v>0.000387468719009336</v>
      </c>
      <c r="R10" s="25" t="n">
        <f aca="false">O10*$K10/$I10</f>
        <v>2.01347666918336</v>
      </c>
      <c r="S10" s="47" t="n">
        <f aca="false">P10*$K10/$I10</f>
        <v>0.00605629547185951</v>
      </c>
      <c r="T10" s="26" t="n">
        <f aca="false">Q10*$K10/$I10</f>
        <v>0.00154781586352087</v>
      </c>
      <c r="U10" s="27" t="n">
        <v>96.8156</v>
      </c>
      <c r="V10" s="27" t="n">
        <v>95.8917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2.7561</v>
      </c>
      <c r="E11" s="34" t="n">
        <v>100</v>
      </c>
      <c r="F11" s="34" t="n">
        <v>2.9572</v>
      </c>
      <c r="G11" s="30" t="n">
        <f aca="false">1000-E11</f>
        <v>900</v>
      </c>
      <c r="H11" s="34" t="n">
        <v>3.5909</v>
      </c>
      <c r="I11" s="35" t="n">
        <f aca="false">F11-D11</f>
        <v>0.2011</v>
      </c>
      <c r="J11" s="35" t="n">
        <f aca="false">H11-F11</f>
        <v>0.6337</v>
      </c>
      <c r="K11" s="35" t="n">
        <f aca="false">J11+I11</f>
        <v>0.8348</v>
      </c>
      <c r="L11" s="40" t="n">
        <v>2887.249</v>
      </c>
      <c r="M11" s="40" t="n">
        <v>57.6529</v>
      </c>
      <c r="N11" s="36" t="n">
        <v>59.9801</v>
      </c>
      <c r="O11" s="52" t="n">
        <f aca="false">(L11/$F$2)^(1/$F$3)</f>
        <v>15.6792809404425</v>
      </c>
      <c r="P11" s="53" t="n">
        <f aca="false">(M11/$G$2)^(1/$G$3)</f>
        <v>0.427701411648384</v>
      </c>
      <c r="Q11" s="54" t="n">
        <f aca="false">(N11/$H$2)^(1/$H$3)</f>
        <v>0.374589913051385</v>
      </c>
      <c r="R11" s="55" t="n">
        <f aca="false">O11*$K11/$I11</f>
        <v>65.0873382848403</v>
      </c>
      <c r="S11" s="53" t="n">
        <f aca="false">P11*$K11/$I11</f>
        <v>1.77546065859807</v>
      </c>
      <c r="T11" s="54" t="n">
        <f aca="false">Q11*$K11/$I11</f>
        <v>1.55498587476527</v>
      </c>
      <c r="U11" s="2" t="n">
        <v>7.9147</v>
      </c>
      <c r="V11" s="2"/>
      <c r="W11" s="51" t="n">
        <f aca="false">AVERAGE(R11:R12)/100</f>
        <v>0.711559826820047</v>
      </c>
      <c r="X11" s="0" t="n">
        <f aca="false">AVERAGE(S11:S12)/100</f>
        <v>0.0192869092792094</v>
      </c>
      <c r="Y11" s="1" t="n">
        <f aca="false">AVERAGE(T11:T12)/100</f>
        <v>0.0170671899539941</v>
      </c>
      <c r="Z11" s="33" t="n">
        <f aca="false">AVERAGE(U11:V12)/100</f>
        <v>0.077277</v>
      </c>
      <c r="AA11" s="2" t="n">
        <f aca="false">SUM(W11:Z11)</f>
        <v>0.825190926053251</v>
      </c>
      <c r="AD11" s="0" t="n">
        <v>0.877871898371534</v>
      </c>
      <c r="AE11" s="0" t="n">
        <v>0.0237948167174157</v>
      </c>
      <c r="AF11" s="0" t="n">
        <v>0.0210562849110501</v>
      </c>
      <c r="AG11" s="0" t="n">
        <v>0.077277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2.8336</v>
      </c>
      <c r="E12" s="34" t="n">
        <v>100</v>
      </c>
      <c r="F12" s="34" t="n">
        <v>3.039</v>
      </c>
      <c r="G12" s="30" t="n">
        <f aca="false">1000-E12</f>
        <v>900</v>
      </c>
      <c r="H12" s="34" t="n">
        <v>3.6818</v>
      </c>
      <c r="I12" s="35" t="n">
        <f aca="false">F12-D12</f>
        <v>0.2054</v>
      </c>
      <c r="J12" s="35" t="n">
        <f aca="false">H12-F12</f>
        <v>0.6428</v>
      </c>
      <c r="K12" s="35" t="n">
        <f aca="false">J12+I12</f>
        <v>0.8482</v>
      </c>
      <c r="L12" s="36" t="n">
        <v>3478.0452</v>
      </c>
      <c r="M12" s="36" t="n">
        <v>68.6216</v>
      </c>
      <c r="N12" s="36" t="n">
        <v>72.4134</v>
      </c>
      <c r="O12" s="52" t="n">
        <f aca="false">(L12/$F$2)^(1/$F$3)</f>
        <v>18.7007054964175</v>
      </c>
      <c r="P12" s="53" t="n">
        <f aca="false">(M12/$G$2)^(1/$G$3)</f>
        <v>0.504157762218671</v>
      </c>
      <c r="Q12" s="54" t="n">
        <f aca="false">(N12/$H$2)^(1/$H$3)</f>
        <v>0.450042519020622</v>
      </c>
      <c r="R12" s="55" t="n">
        <f aca="false">O12*$K12/$I12</f>
        <v>77.2246270791691</v>
      </c>
      <c r="S12" s="53" t="n">
        <f aca="false">P12*$K12/$I12</f>
        <v>2.0819211972438</v>
      </c>
      <c r="T12" s="54" t="n">
        <f aca="false">Q12*$K12/$I12</f>
        <v>1.85845211603355</v>
      </c>
      <c r="U12" s="2" t="n">
        <v>7.6881</v>
      </c>
      <c r="V12" s="2" t="n">
        <v>7.5803</v>
      </c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2.7423</v>
      </c>
      <c r="E13" s="19" t="n">
        <v>300</v>
      </c>
      <c r="F13" s="20" t="n">
        <v>2.9238</v>
      </c>
      <c r="G13" s="19" t="n">
        <f aca="false">1000-E13</f>
        <v>700</v>
      </c>
      <c r="H13" s="20" t="n">
        <v>3.5571</v>
      </c>
      <c r="I13" s="22" t="n">
        <f aca="false">F13-D13</f>
        <v>0.1815</v>
      </c>
      <c r="J13" s="22" t="n">
        <f aca="false">H13-F13</f>
        <v>0.6333</v>
      </c>
      <c r="K13" s="22" t="n">
        <f aca="false">J13+I13</f>
        <v>0.8148</v>
      </c>
      <c r="L13" s="23" t="n">
        <v>1468.2026</v>
      </c>
      <c r="M13" s="23" t="n">
        <v>745.3646</v>
      </c>
      <c r="N13" s="23" t="n">
        <v>780.6242</v>
      </c>
      <c r="O13" s="24" t="n">
        <f aca="false">(L13/$F$2)^(1/$F$3)</f>
        <v>8.26642098698944</v>
      </c>
      <c r="P13" s="47" t="n">
        <f aca="false">(M13/$G$2)^(1/$G$3)</f>
        <v>4.79472453167782</v>
      </c>
      <c r="Q13" s="26" t="n">
        <f aca="false">(N13/$H$2)^(1/$H$3)</f>
        <v>4.5623671814915</v>
      </c>
      <c r="R13" s="25" t="n">
        <f aca="false">O13*$K13/$I13</f>
        <v>37.110081653989</v>
      </c>
      <c r="S13" s="47" t="n">
        <f aca="false">P13*$K13/$I13</f>
        <v>21.5247468232016</v>
      </c>
      <c r="T13" s="26" t="n">
        <f aca="false">Q13*$K13/$I13</f>
        <v>20.4816351486462</v>
      </c>
      <c r="U13" s="27" t="n">
        <v>3.7571</v>
      </c>
      <c r="V13" s="27"/>
      <c r="W13" s="56" t="n">
        <f aca="false">AVERAGE(R13:R14)/100</f>
        <v>0.361176945545563</v>
      </c>
      <c r="X13" s="57" t="n">
        <f aca="false">AVERAGE(S13:S14)/100</f>
        <v>0.209501504956067</v>
      </c>
      <c r="Y13" s="57" t="n">
        <f aca="false">AVERAGE(T13:T14)/100</f>
        <v>0.198960571071264</v>
      </c>
      <c r="Z13" s="29" t="n">
        <f aca="false">AVERAGE(U13:V14)/100</f>
        <v>0.037473</v>
      </c>
      <c r="AA13" s="2" t="n">
        <f aca="false">SUM(W13:Z13)</f>
        <v>0.807112021572894</v>
      </c>
      <c r="AD13" s="0" t="n">
        <v>0.45169560290052</v>
      </c>
      <c r="AE13" s="0" t="n">
        <v>0.262007057085981</v>
      </c>
      <c r="AF13" s="0" t="n">
        <v>0.248824340013499</v>
      </c>
      <c r="AG13" s="0" t="n">
        <v>0.037473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2.7607</v>
      </c>
      <c r="E14" s="20" t="n">
        <v>300</v>
      </c>
      <c r="F14" s="20" t="n">
        <v>2.9543</v>
      </c>
      <c r="G14" s="19" t="n">
        <f aca="false">1000-E14</f>
        <v>700</v>
      </c>
      <c r="H14" s="20" t="n">
        <v>3.5735</v>
      </c>
      <c r="I14" s="22" t="n">
        <f aca="false">F14-D14</f>
        <v>0.1936</v>
      </c>
      <c r="J14" s="22" t="n">
        <f aca="false">H14-F14</f>
        <v>0.6192</v>
      </c>
      <c r="K14" s="22" t="n">
        <f aca="false">J14+I14</f>
        <v>0.8128</v>
      </c>
      <c r="L14" s="23" t="n">
        <v>1486.9799</v>
      </c>
      <c r="M14" s="23" t="n">
        <v>755</v>
      </c>
      <c r="N14" s="23" t="n">
        <v>787.1545</v>
      </c>
      <c r="O14" s="24" t="n">
        <f aca="false">(L14/$F$2)^(1/$F$3)</f>
        <v>8.36646102769677</v>
      </c>
      <c r="P14" s="47" t="n">
        <f aca="false">(M14/$G$2)^(1/$G$3)</f>
        <v>4.85323239041224</v>
      </c>
      <c r="Q14" s="26" t="n">
        <f aca="false">(N14/$H$2)^(1/$H$3)</f>
        <v>4.59954324200473</v>
      </c>
      <c r="R14" s="25" t="n">
        <f aca="false">O14*$K14/$I14</f>
        <v>35.1253074551236</v>
      </c>
      <c r="S14" s="47" t="n">
        <f aca="false">P14*$K14/$I14</f>
        <v>20.3755541680117</v>
      </c>
      <c r="T14" s="26" t="n">
        <f aca="false">Q14*$K14/$I14</f>
        <v>19.3104790656066</v>
      </c>
      <c r="U14" s="27" t="n">
        <v>3.7375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2.7382</v>
      </c>
      <c r="E15" s="34" t="n">
        <v>100</v>
      </c>
      <c r="F15" s="34" t="n">
        <v>2.9305</v>
      </c>
      <c r="G15" s="30" t="n">
        <f aca="false">1000-E15</f>
        <v>900</v>
      </c>
      <c r="H15" s="34" t="n">
        <v>3.5559</v>
      </c>
      <c r="I15" s="35" t="n">
        <f aca="false">F15-D15</f>
        <v>0.1923</v>
      </c>
      <c r="J15" s="35" t="n">
        <f aca="false">H15-F15</f>
        <v>0.6254</v>
      </c>
      <c r="K15" s="35" t="n">
        <f aca="false">J15+I15</f>
        <v>0.8177</v>
      </c>
      <c r="L15" s="36" t="n">
        <v>36.2597</v>
      </c>
      <c r="M15" s="36" t="n">
        <v>1.0571</v>
      </c>
      <c r="N15" s="41" t="n">
        <v>0.3382</v>
      </c>
      <c r="O15" s="52" t="n">
        <f aca="false">(L15/$F$2)^(1/$F$3)</f>
        <v>0.24878401154479</v>
      </c>
      <c r="P15" s="53" t="n">
        <f aca="false">(M15/$G$2)^(1/$G$3)</f>
        <v>0.00979913914530533</v>
      </c>
      <c r="Q15" s="54" t="n">
        <f aca="false">(N15/$H$2)^(1/$H$3)</f>
        <v>0.00241456982156767</v>
      </c>
      <c r="R15" s="55" t="n">
        <f aca="false">O15*$K15/$I15</f>
        <v>1.05788188372426</v>
      </c>
      <c r="S15" s="53" t="n">
        <f aca="false">P15*$K15/$I15</f>
        <v>0.0416679983313373</v>
      </c>
      <c r="T15" s="54" t="n">
        <f aca="false">Q15*$K15/$I15</f>
        <v>0.0102672581544248</v>
      </c>
      <c r="U15" s="2" t="n">
        <v>96.1251</v>
      </c>
      <c r="V15" s="2"/>
      <c r="W15" s="51" t="n">
        <f aca="false">AVERAGE(R15:R16)/100</f>
        <v>0.0105387202386728</v>
      </c>
      <c r="X15" s="0" t="n">
        <f aca="false">AVERAGE(S15:S16)/100</f>
        <v>0.00041621291029917</v>
      </c>
      <c r="Y15" s="1" t="n">
        <f aca="false">AVERAGE(T15:T16)/100</f>
        <v>0.000102279397953877</v>
      </c>
      <c r="Z15" s="33" t="n">
        <f aca="false">AVERAGE(U15:V16)/100</f>
        <v>0.961219666666667</v>
      </c>
      <c r="AA15" s="2" t="n">
        <f aca="false">SUM(W15:Z15)</f>
        <v>0.972276879213593</v>
      </c>
      <c r="AD15" s="0" t="n">
        <v>0.0105387202386728</v>
      </c>
      <c r="AE15" s="0" t="n">
        <v>0.00041621291029917</v>
      </c>
      <c r="AF15" s="0" t="n">
        <v>0.000102279397953877</v>
      </c>
      <c r="AG15" s="0" t="n">
        <v>0.988942787453074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2.7375</v>
      </c>
      <c r="E16" s="34" t="n">
        <v>100</v>
      </c>
      <c r="F16" s="34" t="n">
        <v>2.9323</v>
      </c>
      <c r="G16" s="30" t="n">
        <f aca="false">1000-E16</f>
        <v>900</v>
      </c>
      <c r="H16" s="34" t="n">
        <v>3.5715</v>
      </c>
      <c r="I16" s="35" t="n">
        <f aca="false">F16-D16</f>
        <v>0.1948</v>
      </c>
      <c r="J16" s="35" t="n">
        <f aca="false">H16-F16</f>
        <v>0.6392</v>
      </c>
      <c r="K16" s="35" t="n">
        <f aca="false">J16+I16</f>
        <v>0.834</v>
      </c>
      <c r="L16" s="36" t="n">
        <v>35.7111</v>
      </c>
      <c r="M16" s="36" t="n">
        <v>1.047</v>
      </c>
      <c r="N16" s="36" t="n">
        <v>0.3332</v>
      </c>
      <c r="O16" s="52" t="n">
        <f aca="false">(L16/$F$2)^(1/$F$3)</f>
        <v>0.245219603776028</v>
      </c>
      <c r="P16" s="53" t="n">
        <f aca="false">(M16/$G$2)^(1/$G$3)</f>
        <v>0.00971070612747142</v>
      </c>
      <c r="Q16" s="54" t="n">
        <f aca="false">(N16/$H$2)^(1/$H$3)</f>
        <v>0.00237978831630828</v>
      </c>
      <c r="R16" s="55" t="n">
        <f aca="false">O16*$K16/$I16</f>
        <v>1.0498621640103</v>
      </c>
      <c r="S16" s="53" t="n">
        <f aca="false">P16*$K16/$I16</f>
        <v>0.0415745837284967</v>
      </c>
      <c r="T16" s="54" t="n">
        <f aca="false">Q16*$K16/$I16</f>
        <v>0.0101886214363506</v>
      </c>
      <c r="U16" s="2" t="n">
        <v>96.9043</v>
      </c>
      <c r="V16" s="2" t="n">
        <v>95.3365</v>
      </c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2.7722</v>
      </c>
      <c r="E17" s="19" t="n">
        <v>300</v>
      </c>
      <c r="F17" s="20" t="n">
        <v>2.9728</v>
      </c>
      <c r="G17" s="19" t="n">
        <f aca="false">1000-E17</f>
        <v>700</v>
      </c>
      <c r="H17" s="20" t="n">
        <v>3.5797</v>
      </c>
      <c r="I17" s="22" t="n">
        <f aca="false">F17-D17</f>
        <v>0.2006</v>
      </c>
      <c r="J17" s="22" t="n">
        <f aca="false">H17-F17</f>
        <v>0.6069</v>
      </c>
      <c r="K17" s="22" t="n">
        <f aca="false">J17+I17</f>
        <v>0.8075</v>
      </c>
      <c r="L17" s="23" t="n">
        <v>44.5326</v>
      </c>
      <c r="M17" s="23" t="n">
        <v>0.5871</v>
      </c>
      <c r="N17" s="23" t="n">
        <v>0.1766</v>
      </c>
      <c r="O17" s="24" t="n">
        <f aca="false">(L17/$F$2)^(1/$F$3)</f>
        <v>0.302209623591112</v>
      </c>
      <c r="P17" s="47" t="n">
        <f aca="false">(M17/$G$2)^(1/$G$3)</f>
        <v>0.00562357588530017</v>
      </c>
      <c r="Q17" s="26" t="n">
        <f aca="false">(N17/$H$2)^(1/$H$3)</f>
        <v>0.00128218118781856</v>
      </c>
      <c r="R17" s="25" t="n">
        <f aca="false">O17*$K17/$I17</f>
        <v>1.21652178987948</v>
      </c>
      <c r="S17" s="47" t="n">
        <f aca="false">P17*$K17/$I17</f>
        <v>0.022637275809471</v>
      </c>
      <c r="T17" s="26" t="n">
        <f aca="false">Q17*$K17/$I17</f>
        <v>0.00516132257808318</v>
      </c>
      <c r="U17" s="27" t="n">
        <v>98.1075</v>
      </c>
      <c r="V17" s="27"/>
      <c r="W17" s="56" t="n">
        <f aca="false">AVERAGE(R17:R18)/100</f>
        <v>0.0117334469178797</v>
      </c>
      <c r="X17" s="57" t="n">
        <f aca="false">AVERAGE(S17:S18)/100</f>
        <v>0.000217258952848275</v>
      </c>
      <c r="Y17" s="57" t="n">
        <f aca="false">AVERAGE(T17:T18)/100</f>
        <v>5.02864256328093E-005</v>
      </c>
      <c r="Z17" s="29" t="n">
        <f aca="false">AVERAGE(U17:V18)/100</f>
        <v>0.9842345</v>
      </c>
      <c r="AA17" s="2" t="n">
        <f aca="false">SUM(W17:Z17)</f>
        <v>0.996235492296361</v>
      </c>
      <c r="AD17" s="0" t="n">
        <v>0.0117334469178797</v>
      </c>
      <c r="AE17" s="0" t="n">
        <v>0.000217258952848275</v>
      </c>
      <c r="AF17" s="0" t="n">
        <v>5.02864256328093E-005</v>
      </c>
      <c r="AG17" s="0" t="n">
        <v>0.987999007703639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2.7884</v>
      </c>
      <c r="E18" s="20" t="n">
        <v>300</v>
      </c>
      <c r="F18" s="20" t="n">
        <v>2.9927</v>
      </c>
      <c r="G18" s="19" t="n">
        <f aca="false">1000-E18</f>
        <v>700</v>
      </c>
      <c r="H18" s="20" t="n">
        <v>3.617</v>
      </c>
      <c r="I18" s="22" t="n">
        <f aca="false">F18-D18</f>
        <v>0.2043</v>
      </c>
      <c r="J18" s="22" t="n">
        <f aca="false">H18-F18</f>
        <v>0.6243</v>
      </c>
      <c r="K18" s="22" t="n">
        <f aca="false">J18+I18</f>
        <v>0.8286</v>
      </c>
      <c r="L18" s="23" t="n">
        <v>40.874</v>
      </c>
      <c r="M18" s="23" t="n">
        <v>0.5329</v>
      </c>
      <c r="N18" s="23" t="n">
        <v>0.166</v>
      </c>
      <c r="O18" s="24" t="n">
        <f aca="false">(L18/$F$2)^(1/$F$3)</f>
        <v>0.27865464565796</v>
      </c>
      <c r="P18" s="47" t="n">
        <f aca="false">(M18/$G$2)^(1/$G$3)</f>
        <v>0.0051320364053893</v>
      </c>
      <c r="Q18" s="26" t="n">
        <f aca="false">(N18/$H$2)^(1/$H$3)</f>
        <v>0.00120715079490006</v>
      </c>
      <c r="R18" s="25" t="n">
        <f aca="false">O18*$K18/$I18</f>
        <v>1.13016759369645</v>
      </c>
      <c r="S18" s="47" t="n">
        <f aca="false">P18*$K18/$I18</f>
        <v>0.0208145147601839</v>
      </c>
      <c r="T18" s="26" t="n">
        <f aca="false">Q18*$K18/$I18</f>
        <v>0.00489596254847867</v>
      </c>
      <c r="U18" s="27" t="n">
        <v>98.7394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2.784</v>
      </c>
      <c r="E19" s="34" t="n">
        <v>100</v>
      </c>
      <c r="F19" s="34" t="n">
        <v>2.9666</v>
      </c>
      <c r="G19" s="30" t="n">
        <f aca="false">1000-E19</f>
        <v>900</v>
      </c>
      <c r="H19" s="34" t="n">
        <v>3.6048</v>
      </c>
      <c r="I19" s="35" t="n">
        <f aca="false">F19-D19</f>
        <v>0.1826</v>
      </c>
      <c r="J19" s="35" t="n">
        <f aca="false">H19-F19</f>
        <v>0.6382</v>
      </c>
      <c r="K19" s="35" t="n">
        <f aca="false">J19+I19</f>
        <v>0.8208</v>
      </c>
      <c r="L19" s="36" t="n">
        <v>1369.2996</v>
      </c>
      <c r="M19" s="36" t="n">
        <v>254.0392</v>
      </c>
      <c r="N19" s="36" t="n">
        <v>262.2779</v>
      </c>
      <c r="O19" s="52" t="n">
        <f aca="false">(L19/$F$2)^(1/$F$3)</f>
        <v>7.73834338982771</v>
      </c>
      <c r="P19" s="53" t="n">
        <f aca="false">(M19/$G$2)^(1/$G$3)</f>
        <v>1.73515553156925</v>
      </c>
      <c r="Q19" s="54" t="n">
        <f aca="false">(N19/$H$2)^(1/$H$3)</f>
        <v>1.57670840305274</v>
      </c>
      <c r="R19" s="55" t="n">
        <f aca="false">O19*$K19/$I19</f>
        <v>34.7844044598607</v>
      </c>
      <c r="S19" s="53" t="n">
        <f aca="false">P19*$K19/$I19</f>
        <v>7.79964764683483</v>
      </c>
      <c r="T19" s="54" t="n">
        <f aca="false">Q19*$K19/$I19</f>
        <v>7.0874165236894</v>
      </c>
      <c r="U19" s="2" t="n">
        <v>5.2624</v>
      </c>
      <c r="V19" s="2"/>
      <c r="W19" s="51" t="n">
        <f aca="false">AVERAGE(R19:R20)/100</f>
        <v>0.366631152554902</v>
      </c>
      <c r="X19" s="0" t="n">
        <f aca="false">AVERAGE(S19:S20)/100</f>
        <v>0.0819775264302381</v>
      </c>
      <c r="Y19" s="1" t="n">
        <f aca="false">AVERAGE(T19:T20)/100</f>
        <v>0.0749423378111749</v>
      </c>
      <c r="Z19" s="33" t="n">
        <f aca="false">AVERAGE(U19:V20)/100</f>
        <v>0.053717</v>
      </c>
      <c r="AA19" s="2" t="n">
        <f aca="false">SUM(W19:Z19)</f>
        <v>0.577268016796315</v>
      </c>
      <c r="AD19" s="0" t="n">
        <v>0.662660974389979</v>
      </c>
      <c r="AE19" s="0" t="n">
        <v>0.148168826254357</v>
      </c>
      <c r="AF19" s="0" t="n">
        <v>0.135453199355664</v>
      </c>
      <c r="AG19" s="0" t="n">
        <v>0.053717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2.7557</v>
      </c>
      <c r="E20" s="34" t="n">
        <v>100</v>
      </c>
      <c r="F20" s="34" t="n">
        <v>2.954</v>
      </c>
      <c r="G20" s="30" t="n">
        <f aca="false">1000-E20</f>
        <v>900</v>
      </c>
      <c r="H20" s="34" t="n">
        <v>3.5726</v>
      </c>
      <c r="I20" s="35" t="n">
        <f aca="false">F20-D20</f>
        <v>0.1983</v>
      </c>
      <c r="J20" s="35" t="n">
        <f aca="false">H20-F20</f>
        <v>0.6186</v>
      </c>
      <c r="K20" s="35" t="n">
        <f aca="false">J20+I20</f>
        <v>0.8169</v>
      </c>
      <c r="L20" s="36" t="n">
        <v>1673.3587</v>
      </c>
      <c r="M20" s="36" t="n">
        <v>308.8384</v>
      </c>
      <c r="N20" s="36" t="n">
        <v>320.7054</v>
      </c>
      <c r="O20" s="52" t="n">
        <f aca="false">(L20/$F$2)^(1/$F$3)</f>
        <v>9.35591150194276</v>
      </c>
      <c r="P20" s="53" t="n">
        <f aca="false">(M20/$G$2)^(1/$G$3)</f>
        <v>2.08661839864842</v>
      </c>
      <c r="Q20" s="54" t="n">
        <f aca="false">(N20/$H$2)^(1/$H$3)</f>
        <v>1.9179562014244</v>
      </c>
      <c r="R20" s="55" t="n">
        <f aca="false">O20*$K20/$I20</f>
        <v>38.5418260511197</v>
      </c>
      <c r="S20" s="53" t="n">
        <f aca="false">P20*$K20/$I20</f>
        <v>8.59585763921279</v>
      </c>
      <c r="T20" s="54" t="n">
        <f aca="false">Q20*$K20/$I20</f>
        <v>7.90105103854559</v>
      </c>
      <c r="U20" s="2" t="n">
        <v>5.481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2.7849</v>
      </c>
      <c r="E21" s="19" t="n">
        <v>300</v>
      </c>
      <c r="F21" s="20" t="n">
        <v>2.9665</v>
      </c>
      <c r="G21" s="19" t="n">
        <f aca="false">1000-E21</f>
        <v>700</v>
      </c>
      <c r="H21" s="20" t="n">
        <v>3.6076</v>
      </c>
      <c r="I21" s="22" t="n">
        <f aca="false">F21-D21</f>
        <v>0.1816</v>
      </c>
      <c r="J21" s="22" t="n">
        <f aca="false">H21-F21</f>
        <v>0.6411</v>
      </c>
      <c r="K21" s="22" t="n">
        <f aca="false">J21+I21</f>
        <v>0.8227</v>
      </c>
      <c r="L21" s="23" t="n">
        <v>797.3173</v>
      </c>
      <c r="M21" s="23" t="n">
        <v>1021.0289</v>
      </c>
      <c r="N21" s="23" t="n">
        <v>1084.3597</v>
      </c>
      <c r="O21" s="24" t="n">
        <f aca="false">(L21/$F$2)^(1/$F$3)</f>
        <v>4.63796565673842</v>
      </c>
      <c r="P21" s="47" t="n">
        <f aca="false">(M21/$G$2)^(1/$G$3)</f>
        <v>6.45385271093435</v>
      </c>
      <c r="Q21" s="26" t="n">
        <f aca="false">(N21/$H$2)^(1/$H$3)</f>
        <v>6.28395322864674</v>
      </c>
      <c r="R21" s="25" t="n">
        <f aca="false">O21*$K21/$I21</f>
        <v>21.0113124768651</v>
      </c>
      <c r="S21" s="47" t="n">
        <f aca="false">P21*$K21/$I21</f>
        <v>29.2378008000313</v>
      </c>
      <c r="T21" s="26" t="n">
        <f aca="false">Q21*$K21/$I21</f>
        <v>28.468107495637</v>
      </c>
      <c r="U21" s="27" t="n">
        <v>2.7174</v>
      </c>
      <c r="V21" s="27"/>
      <c r="W21" s="56" t="n">
        <f aca="false">AVERAGE(R21:R22)/100</f>
        <v>0.209443310732854</v>
      </c>
      <c r="X21" s="57" t="n">
        <f aca="false">AVERAGE(S21:S22)/100</f>
        <v>0.291365856514499</v>
      </c>
      <c r="Y21" s="57" t="n">
        <f aca="false">AVERAGE(T21:T22)/100</f>
        <v>0.282063408157154</v>
      </c>
      <c r="Z21" s="29" t="n">
        <f aca="false">AVERAGE(U21:V22)/100</f>
        <v>0.0271005</v>
      </c>
      <c r="AA21" s="2" t="n">
        <f aca="false">SUM(W21:Z21)</f>
        <v>0.809973075404506</v>
      </c>
      <c r="AD21" s="0" t="n">
        <v>0.260281556273769</v>
      </c>
      <c r="AE21" s="0" t="n">
        <v>0.362089189257346</v>
      </c>
      <c r="AF21" s="0" t="n">
        <v>0.350528754468886</v>
      </c>
      <c r="AG21" s="0" t="n">
        <v>0.0271005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2.7619</v>
      </c>
      <c r="E22" s="20" t="n">
        <v>300</v>
      </c>
      <c r="F22" s="20" t="n">
        <v>2.9568</v>
      </c>
      <c r="G22" s="19" t="n">
        <f aca="false">1000-E22</f>
        <v>700</v>
      </c>
      <c r="H22" s="20" t="n">
        <v>3.5838</v>
      </c>
      <c r="I22" s="22" t="n">
        <f aca="false">F22-D22</f>
        <v>0.1949</v>
      </c>
      <c r="J22" s="22" t="n">
        <f aca="false">H22-F22</f>
        <v>0.627</v>
      </c>
      <c r="K22" s="22" t="n">
        <f aca="false">J22+I22</f>
        <v>0.8219</v>
      </c>
      <c r="L22" s="23" t="n">
        <v>854.2231</v>
      </c>
      <c r="M22" s="23" t="n">
        <v>1093.4454</v>
      </c>
      <c r="N22" s="23" t="n">
        <v>1145.0975</v>
      </c>
      <c r="O22" s="24" t="n">
        <f aca="false">(L22/$F$2)^(1/$F$3)</f>
        <v>4.9507183971598</v>
      </c>
      <c r="P22" s="47" t="n">
        <f aca="false">(M22/$G$2)^(1/$G$3)</f>
        <v>6.88525819565527</v>
      </c>
      <c r="Q22" s="26" t="n">
        <f aca="false">(N22/$H$2)^(1/$H$3)</f>
        <v>6.62659386673099</v>
      </c>
      <c r="R22" s="25" t="n">
        <f aca="false">O22*$K22/$I22</f>
        <v>20.8773496697057</v>
      </c>
      <c r="S22" s="47" t="n">
        <f aca="false">P22*$K22/$I22</f>
        <v>29.0353705028685</v>
      </c>
      <c r="T22" s="26" t="n">
        <f aca="false">Q22*$K22/$I22</f>
        <v>27.9445741357937</v>
      </c>
      <c r="U22" s="27" t="n">
        <v>2.7027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2.7414</v>
      </c>
      <c r="E23" s="34" t="n">
        <v>100</v>
      </c>
      <c r="F23" s="34" t="n">
        <v>2.9428</v>
      </c>
      <c r="G23" s="30" t="n">
        <f aca="false">1000-E23</f>
        <v>900</v>
      </c>
      <c r="H23" s="34" t="n">
        <v>3.5649</v>
      </c>
      <c r="I23" s="35" t="n">
        <f aca="false">F23-D23</f>
        <v>0.2014</v>
      </c>
      <c r="J23" s="35" t="n">
        <f aca="false">H23-F23</f>
        <v>0.6221</v>
      </c>
      <c r="K23" s="35" t="n">
        <f aca="false">J23+I23</f>
        <v>0.8235</v>
      </c>
      <c r="L23" s="36" t="n">
        <v>23.7952</v>
      </c>
      <c r="M23" s="36" t="n">
        <v>1.4497</v>
      </c>
      <c r="N23" s="36" t="n">
        <v>0.5646</v>
      </c>
      <c r="O23" s="52" t="n">
        <f aca="false">(L23/$F$2)^(1/$F$3)</f>
        <v>0.166978350011516</v>
      </c>
      <c r="P23" s="53" t="n">
        <f aca="false">(M23/$G$2)^(1/$G$3)</f>
        <v>0.0132040954049389</v>
      </c>
      <c r="Q23" s="54" t="n">
        <f aca="false">(N23/$H$2)^(1/$H$3)</f>
        <v>0.00397791196003483</v>
      </c>
      <c r="R23" s="55" t="n">
        <f aca="false">O23*$K23/$I23</f>
        <v>0.682754077629012</v>
      </c>
      <c r="S23" s="53" t="n">
        <f aca="false">P23*$K23/$I23</f>
        <v>0.0539899332967586</v>
      </c>
      <c r="T23" s="54" t="n">
        <f aca="false">Q23*$K23/$I23</f>
        <v>0.0162651961225853</v>
      </c>
      <c r="U23" s="2" t="n">
        <v>98.712</v>
      </c>
      <c r="V23" s="2"/>
      <c r="W23" s="51" t="n">
        <f aca="false">AVERAGE(R23:R24)/100</f>
        <v>0.00594852754205581</v>
      </c>
      <c r="X23" s="0" t="n">
        <f aca="false">AVERAGE(S23:S24)/100</f>
        <v>0.000466638280023819</v>
      </c>
      <c r="Y23" s="1" t="n">
        <f aca="false">AVERAGE(T23:T24)/100</f>
        <v>0.000136636083907715</v>
      </c>
      <c r="Z23" s="33" t="n">
        <f aca="false">AVERAGE(U23:V24)/100</f>
        <v>0.982924</v>
      </c>
      <c r="AA23" s="2" t="n">
        <f aca="false">SUM(W23:Z23)</f>
        <v>0.989475801905987</v>
      </c>
      <c r="AD23" s="0" t="n">
        <v>0.00594852754205581</v>
      </c>
      <c r="AE23" s="0" t="n">
        <v>0.000466638280023819</v>
      </c>
      <c r="AF23" s="0" t="n">
        <v>0.000136636083907715</v>
      </c>
      <c r="AG23" s="0" t="n">
        <v>0.993448198094013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2.7529</v>
      </c>
      <c r="E24" s="34" t="n">
        <v>100</v>
      </c>
      <c r="F24" s="34" t="n">
        <v>2.9573</v>
      </c>
      <c r="G24" s="30" t="n">
        <f aca="false">1000-E24</f>
        <v>900</v>
      </c>
      <c r="H24" s="34" t="n">
        <v>3.5641</v>
      </c>
      <c r="I24" s="35" t="n">
        <f aca="false">F24-D24</f>
        <v>0.2044</v>
      </c>
      <c r="J24" s="35" t="n">
        <f aca="false">H24-F24</f>
        <v>0.6068</v>
      </c>
      <c r="K24" s="35" t="n">
        <f aca="false">J24+I24</f>
        <v>0.8112</v>
      </c>
      <c r="L24" s="36" t="n">
        <v>17.9301</v>
      </c>
      <c r="M24" s="36" t="n">
        <v>1.07</v>
      </c>
      <c r="N24" s="36" t="n">
        <v>0.3919</v>
      </c>
      <c r="O24" s="58" t="n">
        <f aca="false">(L24/$F$2)^(1/$F$3)</f>
        <v>0.127737761898264</v>
      </c>
      <c r="P24" s="59" t="n">
        <f aca="false">(M24/$G$2)^(1/$G$3)</f>
        <v>0.00991201987366405</v>
      </c>
      <c r="Q24" s="60" t="n">
        <f aca="false">(N24/$H$2)^(1/$H$3)</f>
        <v>0.00278732374592081</v>
      </c>
      <c r="R24" s="55" t="n">
        <f aca="false">O24*$K24/$I24</f>
        <v>0.506951430782149</v>
      </c>
      <c r="S24" s="53" t="n">
        <f aca="false">P24*$K24/$I24</f>
        <v>0.0393377227080053</v>
      </c>
      <c r="T24" s="54" t="n">
        <f aca="false">Q24*$K24/$I24</f>
        <v>0.0110620206589577</v>
      </c>
      <c r="U24" s="42" t="n">
        <v>97.8728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2.7345</v>
      </c>
      <c r="F25" s="1" t="n">
        <v>3.0102</v>
      </c>
      <c r="G25" s="2" t="n">
        <f aca="false">1000-E25</f>
        <v>1000</v>
      </c>
      <c r="H25" s="1" t="n">
        <v>3.4933</v>
      </c>
      <c r="I25" s="1" t="n">
        <f aca="false">H25-F25</f>
        <v>0.4831</v>
      </c>
      <c r="J25" s="1" t="n">
        <f aca="false">H25-H25</f>
        <v>0</v>
      </c>
      <c r="K25" s="1" t="n">
        <f aca="false">J25+I25</f>
        <v>0.4831</v>
      </c>
      <c r="M25" s="1" t="n">
        <v>2933.79</v>
      </c>
      <c r="N25" s="1" t="n">
        <v>2886.68</v>
      </c>
      <c r="P25" s="1" t="n">
        <f aca="false">(M25/$G$2)^(1/$G$3)</f>
        <v>17.4852943902468</v>
      </c>
      <c r="Q25" s="1" t="n">
        <f aca="false">(N25/$H$2)^(1/$H$3)</f>
        <v>16.3105646428654</v>
      </c>
      <c r="S25" s="1" t="n">
        <f aca="false">P25*$K25/$I25</f>
        <v>17.4852943902468</v>
      </c>
      <c r="T25" s="1" t="n">
        <f aca="false">Q25*$K25/$I25</f>
        <v>16.3105646428654</v>
      </c>
      <c r="U25" s="1" t="n">
        <v>1.6402</v>
      </c>
      <c r="X25" s="1" t="n">
        <f aca="false">AVERAGE(S25:S26)/100</f>
        <v>0.175386376453612</v>
      </c>
      <c r="Y25" s="1" t="n">
        <f aca="false">AVERAGE(T25:T26)/100</f>
        <v>0.163703626580661</v>
      </c>
      <c r="Z25" s="1" t="n">
        <f aca="false">AVERAGE(U25:V26)/100</f>
        <v>0.016598</v>
      </c>
      <c r="AA25" s="1" t="n">
        <f aca="false">SUM(W25:Z25)</f>
        <v>0.355688003034273</v>
      </c>
      <c r="AE25" s="1" t="n">
        <f aca="false">IFERROR(X25/$AA25,"")</f>
        <v>0.493090503355302</v>
      </c>
      <c r="AF25" s="1" t="n">
        <f aca="false">IFERROR(Y25/$AA25,"")</f>
        <v>0.460245004566227</v>
      </c>
      <c r="AG25" s="1" t="n">
        <f aca="false">IFERROR(Z25/$AA25,"")</f>
        <v>0.046664492078471</v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2.744</v>
      </c>
      <c r="F26" s="1" t="n">
        <v>3.0258</v>
      </c>
      <c r="G26" s="2" t="n">
        <f aca="false">1000-E26</f>
        <v>1000</v>
      </c>
      <c r="H26" s="1" t="n">
        <v>3.5156</v>
      </c>
      <c r="I26" s="1" t="n">
        <f aca="false">H26-F26</f>
        <v>0.4898</v>
      </c>
      <c r="J26" s="1" t="n">
        <f aca="false">H26-H26</f>
        <v>0</v>
      </c>
      <c r="K26" s="1" t="n">
        <f aca="false">J26+I26</f>
        <v>0.4898</v>
      </c>
      <c r="M26" s="1" t="n">
        <v>2952.75</v>
      </c>
      <c r="N26" s="1" t="n">
        <v>2908.41</v>
      </c>
      <c r="P26" s="1" t="n">
        <f aca="false">(M26/$G$2)^(1/$G$3)</f>
        <v>17.5919809004757</v>
      </c>
      <c r="Q26" s="1" t="n">
        <f aca="false">(N26/$H$2)^(1/$H$3)</f>
        <v>16.4301606732669</v>
      </c>
      <c r="S26" s="1" t="n">
        <f aca="false">P26*$K26/$I26</f>
        <v>17.5919809004757</v>
      </c>
      <c r="T26" s="1" t="n">
        <f aca="false">Q26*$K26/$I26</f>
        <v>16.4301606732669</v>
      </c>
      <c r="U26" s="1" t="n">
        <v>1.6794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2.7481</v>
      </c>
      <c r="F27" s="1" t="n">
        <v>3.008</v>
      </c>
      <c r="G27" s="2" t="n">
        <f aca="false">1000-E27</f>
        <v>1000</v>
      </c>
      <c r="H27" s="1" t="n">
        <v>3.4765</v>
      </c>
      <c r="I27" s="1" t="n">
        <f aca="false">H27-F27</f>
        <v>0.4685</v>
      </c>
      <c r="J27" s="1" t="n">
        <f aca="false">H27-H27</f>
        <v>0</v>
      </c>
      <c r="K27" s="1" t="n">
        <f aca="false">J27+I27</f>
        <v>0.4685</v>
      </c>
      <c r="M27" s="1" t="n">
        <v>31.5</v>
      </c>
      <c r="N27" s="1" t="n">
        <v>31.98</v>
      </c>
      <c r="P27" s="1" t="n">
        <f aca="false">(M27/$G$2)^(1/$G$3)</f>
        <v>0.241687739031325</v>
      </c>
      <c r="Q27" s="1" t="n">
        <f aca="false">(N27/$H$2)^(1/$H$3)</f>
        <v>0.202995260863129</v>
      </c>
      <c r="S27" s="1" t="n">
        <f aca="false">P27*$K27/$I27</f>
        <v>0.241687739031325</v>
      </c>
      <c r="T27" s="1" t="n">
        <f aca="false">Q27*$K27/$I27</f>
        <v>0.202995260863129</v>
      </c>
      <c r="X27" s="1" t="n">
        <f aca="false">AVERAGE(S27:S28)/100</f>
        <v>0.00132887258837791</v>
      </c>
      <c r="Y27" s="1" t="n">
        <f aca="false">AVERAGE(T27:T28)/100</f>
        <v>0.00105677034748015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2.7282</v>
      </c>
      <c r="F28" s="1" t="n">
        <v>3.0039</v>
      </c>
      <c r="G28" s="2" t="n">
        <f aca="false">1000-E28</f>
        <v>1000</v>
      </c>
      <c r="H28" s="1" t="n">
        <v>3.4945</v>
      </c>
      <c r="I28" s="1" t="n">
        <f aca="false">H28-F28</f>
        <v>0.4906</v>
      </c>
      <c r="J28" s="1" t="n">
        <f aca="false">H28-H28</f>
        <v>0</v>
      </c>
      <c r="K28" s="1" t="n">
        <f aca="false">J28+I28</f>
        <v>0.4906</v>
      </c>
      <c r="M28" s="1" t="n">
        <v>2.74</v>
      </c>
      <c r="N28" s="1" t="n">
        <v>1.21</v>
      </c>
      <c r="P28" s="1" t="n">
        <f aca="false">(M28/$G$2)^(1/$G$3)</f>
        <v>0.0240867786442566</v>
      </c>
      <c r="Q28" s="1" t="n">
        <f aca="false">(N28/$H$2)^(1/$H$3)</f>
        <v>0.00835880863290191</v>
      </c>
      <c r="S28" s="1" t="n">
        <f aca="false">P28*$K28/$I28</f>
        <v>0.0240867786442566</v>
      </c>
      <c r="T28" s="1" t="n">
        <f aca="false">Q28*$K28/$I28</f>
        <v>0.00835880863290191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71</v>
      </c>
    </row>
    <row r="2" customFormat="false" ht="14.25" hidden="false" customHeight="true" outlineLevel="0" collapsed="false">
      <c r="E2" s="1" t="s">
        <v>2</v>
      </c>
      <c r="F2" s="1" t="n">
        <v>157.651809</v>
      </c>
      <c r="G2" s="2" t="n">
        <v>141.723567</v>
      </c>
      <c r="H2" s="4" t="n">
        <v>129.780531</v>
      </c>
    </row>
    <row r="3" customFormat="false" ht="14.25" hidden="false" customHeight="true" outlineLevel="0" collapsed="false">
      <c r="E3" s="1" t="s">
        <v>3</v>
      </c>
      <c r="F3" s="1" t="n">
        <v>1.05643576</v>
      </c>
      <c r="G3" s="2" t="n">
        <v>1.05899702</v>
      </c>
      <c r="H3" s="1" t="n">
        <v>1.03602508</v>
      </c>
      <c r="M3" s="1" t="s">
        <v>70</v>
      </c>
      <c r="N3" s="1" t="s">
        <v>55</v>
      </c>
      <c r="O3" s="5" t="s">
        <v>6</v>
      </c>
      <c r="P3" s="5"/>
      <c r="Q3" s="5"/>
      <c r="R3" s="6" t="s">
        <v>7</v>
      </c>
      <c r="S3" s="6"/>
      <c r="T3" s="6"/>
      <c r="U3" s="7" t="s">
        <v>8</v>
      </c>
      <c r="V3" s="7"/>
    </row>
    <row r="4" customFormat="false" ht="14.25" hidden="false" customHeight="true" outlineLevel="0" collapsed="false">
      <c r="A4" s="8" t="s">
        <v>9</v>
      </c>
      <c r="B4" s="8" t="s">
        <v>10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10" t="s">
        <v>41</v>
      </c>
      <c r="N4" s="11" t="s">
        <v>22</v>
      </c>
      <c r="O4" s="12" t="s">
        <v>23</v>
      </c>
      <c r="P4" s="13" t="s">
        <v>24</v>
      </c>
      <c r="Q4" s="14" t="s">
        <v>25</v>
      </c>
      <c r="R4" s="12" t="s">
        <v>23</v>
      </c>
      <c r="S4" s="13" t="s">
        <v>24</v>
      </c>
      <c r="T4" s="14" t="s">
        <v>25</v>
      </c>
      <c r="U4" s="15" t="n">
        <v>1</v>
      </c>
      <c r="V4" s="15" t="n">
        <v>2</v>
      </c>
      <c r="W4" s="16" t="s">
        <v>26</v>
      </c>
      <c r="X4" s="15" t="s">
        <v>27</v>
      </c>
      <c r="Y4" s="15" t="s">
        <v>28</v>
      </c>
      <c r="Z4" s="17" t="s">
        <v>29</v>
      </c>
    </row>
    <row r="5" customFormat="false" ht="14.25" hidden="false" customHeight="true" outlineLevel="0" collapsed="false">
      <c r="A5" s="18" t="s">
        <v>63</v>
      </c>
      <c r="B5" s="19" t="s">
        <v>32</v>
      </c>
      <c r="C5" s="20" t="n">
        <v>1</v>
      </c>
      <c r="D5" s="21" t="n">
        <v>2.7983</v>
      </c>
      <c r="E5" s="19" t="n">
        <v>300</v>
      </c>
      <c r="F5" s="20" t="n">
        <v>2.9941</v>
      </c>
      <c r="G5" s="19" t="n">
        <f aca="false">1000-E5</f>
        <v>700</v>
      </c>
      <c r="H5" s="20" t="n">
        <v>3.6143</v>
      </c>
      <c r="I5" s="22" t="n">
        <f aca="false">F5-D5</f>
        <v>0.1958</v>
      </c>
      <c r="J5" s="22" t="n">
        <f aca="false">H5-F5</f>
        <v>0.6202</v>
      </c>
      <c r="K5" s="22" t="n">
        <f aca="false">J5+I5</f>
        <v>0.816</v>
      </c>
      <c r="L5" s="23" t="n">
        <v>6.6913</v>
      </c>
      <c r="M5" s="23" t="n">
        <v>0.0163</v>
      </c>
      <c r="N5" s="23" t="n">
        <v>0.0138</v>
      </c>
      <c r="O5" s="24" t="n">
        <f aca="false">(L5/$F$2)^(1/$F$3)</f>
        <v>0.0502475741365826</v>
      </c>
      <c r="P5" s="47" t="n">
        <f aca="false">(M5/$G$2)^(1/$G$3)</f>
        <v>0.000190634938046535</v>
      </c>
      <c r="Q5" s="26" t="n">
        <f aca="false">(N5/$H$2)^(1/$H$3)</f>
        <v>0.000146161092831808</v>
      </c>
      <c r="R5" s="25" t="n">
        <f aca="false">O5*$K5/$I5</f>
        <v>0.209407663408843</v>
      </c>
      <c r="S5" s="47" t="n">
        <f aca="false">P5*$K5/$I5</f>
        <v>0.000794474511981473</v>
      </c>
      <c r="T5" s="26" t="n">
        <f aca="false">Q5*$K5/$I5</f>
        <v>0.00060912896706208</v>
      </c>
      <c r="U5" s="27" t="n">
        <v>97.8647</v>
      </c>
      <c r="V5" s="27"/>
      <c r="W5" s="48" t="n">
        <f aca="false">AVERAGE(R5:R6)/100</f>
        <v>0.0017337801887748</v>
      </c>
      <c r="X5" s="49" t="n">
        <f aca="false">AVERAGE(S5:S6)/100</f>
        <v>7.60405184761902E-006</v>
      </c>
      <c r="Y5" s="49" t="n">
        <f aca="false">AVERAGE(T5:T6)/100</f>
        <v>4.11555791803458E-006</v>
      </c>
      <c r="Z5" s="50" t="n">
        <f aca="false">AVERAGE(U5:V6)/100</f>
        <v>0.9718735</v>
      </c>
      <c r="AA5" s="2" t="n">
        <f aca="false">SUM(W5:Z5)</f>
        <v>0.973618999798541</v>
      </c>
      <c r="AD5" s="0" t="n">
        <v>0.0017337801887748</v>
      </c>
      <c r="AE5" s="0" t="n">
        <v>7.60405184761902E-006</v>
      </c>
      <c r="AF5" s="0" t="n">
        <v>4.11555791803458E-006</v>
      </c>
      <c r="AG5" s="0" t="n">
        <v>0.99825450020146</v>
      </c>
    </row>
    <row r="6" customFormat="false" ht="14.25" hidden="false" customHeight="true" outlineLevel="0" collapsed="false">
      <c r="A6" s="18"/>
      <c r="B6" s="20" t="s">
        <v>32</v>
      </c>
      <c r="C6" s="20" t="n">
        <v>2</v>
      </c>
      <c r="D6" s="20" t="n">
        <v>2.8261</v>
      </c>
      <c r="E6" s="20" t="n">
        <v>300</v>
      </c>
      <c r="F6" s="20" t="n">
        <v>3.0312</v>
      </c>
      <c r="G6" s="19" t="n">
        <f aca="false">1000-E6</f>
        <v>700</v>
      </c>
      <c r="H6" s="20" t="n">
        <v>3.6261</v>
      </c>
      <c r="I6" s="22" t="n">
        <f aca="false">F6-D6</f>
        <v>0.2051</v>
      </c>
      <c r="J6" s="22" t="n">
        <f aca="false">H6-F6</f>
        <v>0.5949</v>
      </c>
      <c r="K6" s="22" t="n">
        <f aca="false">J6+I6</f>
        <v>0.8</v>
      </c>
      <c r="L6" s="23" t="n">
        <v>4.596</v>
      </c>
      <c r="M6" s="23" t="n">
        <v>0.0159</v>
      </c>
      <c r="N6" s="23" t="n">
        <v>0.005</v>
      </c>
      <c r="O6" s="24" t="n">
        <f aca="false">(L6/$F$2)^(1/$F$3)</f>
        <v>0.035212689472986</v>
      </c>
      <c r="P6" s="47" t="n">
        <f aca="false">(M6/$G$2)^(1/$G$3)</f>
        <v>0.000186214355477415</v>
      </c>
      <c r="Q6" s="26" t="n">
        <f aca="false">(N6/$H$2)^(1/$H$3)</f>
        <v>5.48597933166821E-005</v>
      </c>
      <c r="R6" s="25" t="n">
        <f aca="false">O6*$K6/$I6</f>
        <v>0.137348374346118</v>
      </c>
      <c r="S6" s="47" t="n">
        <f aca="false">P6*$K6/$I6</f>
        <v>0.000726335857542331</v>
      </c>
      <c r="T6" s="26" t="n">
        <f aca="false">Q6*$K6/$I6</f>
        <v>0.000213982616544835</v>
      </c>
      <c r="U6" s="27" t="n">
        <v>96.51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33</v>
      </c>
      <c r="C7" s="34" t="n">
        <v>3</v>
      </c>
      <c r="D7" s="34" t="n">
        <v>2.8035</v>
      </c>
      <c r="E7" s="34" t="n">
        <v>100</v>
      </c>
      <c r="F7" s="34" t="n">
        <v>2.9952</v>
      </c>
      <c r="G7" s="30" t="n">
        <f aca="false">1000-E7</f>
        <v>900</v>
      </c>
      <c r="H7" s="34" t="n">
        <v>3.5673</v>
      </c>
      <c r="I7" s="35" t="n">
        <f aca="false">F7-D7</f>
        <v>0.1917</v>
      </c>
      <c r="J7" s="35" t="n">
        <f aca="false">H7-F7</f>
        <v>0.5721</v>
      </c>
      <c r="K7" s="35" t="n">
        <f aca="false">J7+I7</f>
        <v>0.7638</v>
      </c>
      <c r="L7" s="1" t="n">
        <v>210.0123</v>
      </c>
      <c r="M7" s="1" t="n">
        <v>3.3435</v>
      </c>
      <c r="N7" s="36" t="n">
        <v>2.8868</v>
      </c>
      <c r="O7" s="52" t="n">
        <f aca="false">(L7/$F$2)^(1/$F$3)</f>
        <v>1.3118749041286</v>
      </c>
      <c r="P7" s="53" t="n">
        <f aca="false">(M7/$G$2)^(1/$G$3)</f>
        <v>0.0290678754035656</v>
      </c>
      <c r="Q7" s="54" t="n">
        <f aca="false">(N7/$H$2)^(1/$H$3)</f>
        <v>0.0253909369107006</v>
      </c>
      <c r="R7" s="55" t="n">
        <f aca="false">O7*$K7/$I7</f>
        <v>5.22696949281913</v>
      </c>
      <c r="S7" s="53" t="n">
        <f aca="false">P7*$K7/$I7</f>
        <v>0.115816605285568</v>
      </c>
      <c r="T7" s="54" t="n">
        <f aca="false">Q7*$K7/$I7</f>
        <v>0.101166393387549</v>
      </c>
      <c r="U7" s="2" t="n">
        <v>7.505</v>
      </c>
      <c r="V7" s="2"/>
      <c r="W7" s="51" t="n">
        <f aca="false">AVERAGE(R7:R8)/100</f>
        <v>0.215878211662066</v>
      </c>
      <c r="X7" s="0" t="n">
        <f aca="false">AVERAGE(S7:S8)/100</f>
        <v>0.00525521306096492</v>
      </c>
      <c r="Y7" s="1" t="n">
        <f aca="false">AVERAGE(T7:T8)/100</f>
        <v>0.00488409142537459</v>
      </c>
      <c r="Z7" s="33" t="n">
        <f aca="false">AVERAGE(U7:V8)/100</f>
        <v>0.0759605</v>
      </c>
      <c r="AA7" s="2" t="n">
        <f aca="false">SUM(W7:Z7)</f>
        <v>0.301978016148405</v>
      </c>
      <c r="AD7" s="0" t="n">
        <v>0.88258643915956</v>
      </c>
      <c r="AE7" s="0" t="n">
        <v>0.0214851686364829</v>
      </c>
      <c r="AF7" s="0" t="n">
        <v>0.0199678922039568</v>
      </c>
      <c r="AG7" s="0" t="n">
        <v>0.0759605</v>
      </c>
    </row>
    <row r="8" customFormat="false" ht="14.25" hidden="false" customHeight="true" outlineLevel="0" collapsed="false">
      <c r="A8" s="18"/>
      <c r="B8" s="34" t="s">
        <v>33</v>
      </c>
      <c r="C8" s="34" t="n">
        <v>4</v>
      </c>
      <c r="D8" s="34" t="n">
        <v>2.8293</v>
      </c>
      <c r="E8" s="34" t="n">
        <v>100</v>
      </c>
      <c r="F8" s="34" t="n">
        <v>3.0447</v>
      </c>
      <c r="G8" s="30" t="n">
        <f aca="false">1000-E8</f>
        <v>900</v>
      </c>
      <c r="H8" s="34" t="n">
        <v>3.6537</v>
      </c>
      <c r="I8" s="35" t="n">
        <f aca="false">F8-D8</f>
        <v>0.2154</v>
      </c>
      <c r="J8" s="35" t="n">
        <f aca="false">H8-F8</f>
        <v>0.609</v>
      </c>
      <c r="K8" s="35" t="n">
        <f aca="false">J8+I8</f>
        <v>0.8244</v>
      </c>
      <c r="L8" s="36" t="n">
        <v>1779.2233</v>
      </c>
      <c r="M8" s="36" t="n">
        <v>31.8685</v>
      </c>
      <c r="N8" s="36" t="n">
        <v>28.1561</v>
      </c>
      <c r="O8" s="52" t="n">
        <f aca="false">(L8/$F$2)^(1/$F$3)</f>
        <v>9.91526459200457</v>
      </c>
      <c r="P8" s="53" t="n">
        <f aca="false">(M8/$G$2)^(1/$G$3)</f>
        <v>0.244356722328794</v>
      </c>
      <c r="Q8" s="54" t="n">
        <f aca="false">(N8/$H$2)^(1/$H$3)</f>
        <v>0.228791142005652</v>
      </c>
      <c r="R8" s="55" t="n">
        <f aca="false">O8*$K8/$I8</f>
        <v>37.9486728395941</v>
      </c>
      <c r="S8" s="53" t="n">
        <f aca="false">P8*$K8/$I8</f>
        <v>0.935226006907415</v>
      </c>
      <c r="T8" s="54" t="n">
        <f aca="false">Q8*$K8/$I8</f>
        <v>0.87565189168737</v>
      </c>
      <c r="U8" s="2" t="n">
        <v>7.6871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64</v>
      </c>
      <c r="B9" s="19" t="s">
        <v>32</v>
      </c>
      <c r="C9" s="20" t="n">
        <v>5</v>
      </c>
      <c r="D9" s="19" t="n">
        <v>2.863</v>
      </c>
      <c r="E9" s="19" t="n">
        <v>300</v>
      </c>
      <c r="F9" s="20" t="n">
        <v>3.0669</v>
      </c>
      <c r="G9" s="19" t="n">
        <f aca="false">1000-E9</f>
        <v>700</v>
      </c>
      <c r="H9" s="20" t="n">
        <v>3.6895</v>
      </c>
      <c r="I9" s="22" t="n">
        <f aca="false">F9-D9</f>
        <v>0.2039</v>
      </c>
      <c r="J9" s="22" t="n">
        <f aca="false">H9-F9</f>
        <v>0.6226</v>
      </c>
      <c r="K9" s="22" t="n">
        <f aca="false">J9+I9</f>
        <v>0.8265</v>
      </c>
      <c r="L9" s="23" t="n">
        <v>4.8568</v>
      </c>
      <c r="M9" s="23" t="n">
        <v>17.796</v>
      </c>
      <c r="N9" s="23" t="n">
        <v>16.107</v>
      </c>
      <c r="O9" s="24" t="n">
        <f aca="false">(L9/$F$2)^(1/$F$3)</f>
        <v>0.0371012794625793</v>
      </c>
      <c r="P9" s="47" t="n">
        <f aca="false">(M9/$G$2)^(1/$G$3)</f>
        <v>0.140955475756152</v>
      </c>
      <c r="Q9" s="26" t="n">
        <f aca="false">(N9/$H$2)^(1/$H$3)</f>
        <v>0.133449110812237</v>
      </c>
      <c r="R9" s="25" t="n">
        <f aca="false">O9*$K9/$I9</f>
        <v>0.15038846236303</v>
      </c>
      <c r="S9" s="47" t="n">
        <f aca="false">P9*$K9/$I9</f>
        <v>0.571357041257772</v>
      </c>
      <c r="T9" s="26" t="n">
        <f aca="false">Q9*$K9/$I9</f>
        <v>0.540930309398302</v>
      </c>
      <c r="U9" s="27"/>
      <c r="V9" s="27" t="n">
        <v>98.8751</v>
      </c>
      <c r="W9" s="56" t="n">
        <f aca="false">AVERAGE(R9:R10)/100</f>
        <v>0.00121055917495156</v>
      </c>
      <c r="X9" s="57" t="n">
        <f aca="false">AVERAGE(S9:S10)/100</f>
        <v>0.00343562518302705</v>
      </c>
      <c r="Y9" s="57" t="n">
        <f aca="false">AVERAGE(T9:T10)/100</f>
        <v>0.00316894355177909</v>
      </c>
      <c r="Z9" s="29" t="n">
        <f aca="false">AVERAGE(U9:V10)/100</f>
        <v>0.988751</v>
      </c>
      <c r="AA9" s="2" t="n">
        <f aca="false">SUM(W9:Z9)</f>
        <v>0.996566127909758</v>
      </c>
      <c r="AD9" s="0" t="n">
        <v>0.000917233726272819</v>
      </c>
      <c r="AE9" s="0" t="n">
        <v>0.00115767995347639</v>
      </c>
      <c r="AF9" s="0" t="n">
        <v>0.000928584009575148</v>
      </c>
      <c r="AG9" s="0" t="n">
        <v>0.996996502310676</v>
      </c>
    </row>
    <row r="10" customFormat="false" ht="14.25" hidden="false" customHeight="true" outlineLevel="0" collapsed="false">
      <c r="A10" s="18"/>
      <c r="B10" s="20" t="s">
        <v>32</v>
      </c>
      <c r="C10" s="20" t="n">
        <v>6</v>
      </c>
      <c r="D10" s="20" t="n">
        <v>2.8033</v>
      </c>
      <c r="E10" s="20" t="n">
        <v>300</v>
      </c>
      <c r="F10" s="20" t="n">
        <v>3.0089</v>
      </c>
      <c r="G10" s="19" t="n">
        <f aca="false">1000-E10</f>
        <v>700</v>
      </c>
      <c r="H10" s="20" t="n">
        <v>3.6371</v>
      </c>
      <c r="I10" s="22" t="n">
        <f aca="false">F10-D10</f>
        <v>0.2056</v>
      </c>
      <c r="J10" s="22" t="n">
        <f aca="false">H10-F10</f>
        <v>0.6282</v>
      </c>
      <c r="K10" s="22" t="n">
        <f aca="false">J10+I10</f>
        <v>0.8338</v>
      </c>
      <c r="L10" s="23" t="n">
        <v>2.8792</v>
      </c>
      <c r="M10" s="23" t="n">
        <v>3.28</v>
      </c>
      <c r="N10" s="23" t="n">
        <v>2.5936</v>
      </c>
      <c r="O10" s="24" t="n">
        <f aca="false">(L10/$F$2)^(1/$F$3)</f>
        <v>0.0226173247927191</v>
      </c>
      <c r="P10" s="47" t="n">
        <f aca="false">(M10/$G$2)^(1/$G$3)</f>
        <v>0.0285462938875925</v>
      </c>
      <c r="Q10" s="26" t="n">
        <f aca="false">(N10/$H$2)^(1/$H$3)</f>
        <v>0.0228972022509775</v>
      </c>
      <c r="R10" s="25" t="n">
        <f aca="false">O10*$K10/$I10</f>
        <v>0.0917233726272819</v>
      </c>
      <c r="S10" s="47" t="n">
        <f aca="false">P10*$K10/$I10</f>
        <v>0.115767995347639</v>
      </c>
      <c r="T10" s="26" t="n">
        <f aca="false">Q10*$K10/$I10</f>
        <v>0.0928584009575148</v>
      </c>
      <c r="U10" s="27"/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33</v>
      </c>
      <c r="C11" s="34" t="n">
        <v>7</v>
      </c>
      <c r="D11" s="34" t="n">
        <v>2.7772</v>
      </c>
      <c r="E11" s="34" t="n">
        <v>100</v>
      </c>
      <c r="F11" s="34" t="n">
        <v>2.98</v>
      </c>
      <c r="G11" s="30" t="n">
        <f aca="false">1000-E11</f>
        <v>900</v>
      </c>
      <c r="H11" s="34" t="n">
        <v>3.6018</v>
      </c>
      <c r="I11" s="35" t="n">
        <f aca="false">F11-D11</f>
        <v>0.2028</v>
      </c>
      <c r="J11" s="35" t="n">
        <f aca="false">H11-F11</f>
        <v>0.6218</v>
      </c>
      <c r="K11" s="35" t="n">
        <f aca="false">J11+I11</f>
        <v>0.8246</v>
      </c>
      <c r="L11" s="40" t="n">
        <v>71.0435</v>
      </c>
      <c r="M11" s="40" t="n">
        <v>797.268</v>
      </c>
      <c r="N11" s="36" t="n">
        <v>733.5436</v>
      </c>
      <c r="O11" s="52" t="n">
        <f aca="false">(L11/$F$2)^(1/$F$3)</f>
        <v>0.470238684026287</v>
      </c>
      <c r="P11" s="53" t="n">
        <f aca="false">(M11/$G$2)^(1/$G$3)</f>
        <v>5.10940712858174</v>
      </c>
      <c r="Q11" s="54" t="n">
        <f aca="false">(N11/$H$2)^(1/$H$3)</f>
        <v>5.32181796729607</v>
      </c>
      <c r="R11" s="55" t="n">
        <f aca="false">O11*$K11/$I11</f>
        <v>1.91202573396488</v>
      </c>
      <c r="S11" s="53" t="n">
        <f aca="false">P11*$K11/$I11</f>
        <v>20.7752323384049</v>
      </c>
      <c r="T11" s="54" t="n">
        <f aca="false">Q11*$K11/$I11</f>
        <v>21.6389107289563</v>
      </c>
      <c r="U11" s="2" t="n">
        <v>1.9451</v>
      </c>
      <c r="V11" s="2"/>
      <c r="W11" s="51" t="n">
        <f aca="false">AVERAGE(R11:R12)/100</f>
        <v>0.0260870356189322</v>
      </c>
      <c r="X11" s="0" t="n">
        <f aca="false">AVERAGE(S11:S12)/100</f>
        <v>0.283987472418256</v>
      </c>
      <c r="Y11" s="1" t="n">
        <f aca="false">AVERAGE(T11:T12)/100</f>
        <v>0.295159306623553</v>
      </c>
      <c r="Z11" s="33" t="n">
        <f aca="false">AVERAGE(U11:V12)/100</f>
        <v>0.0192655</v>
      </c>
      <c r="AA11" s="2" t="n">
        <f aca="false">SUM(W11:Z11)</f>
        <v>0.624499314660742</v>
      </c>
      <c r="AD11" s="0" t="n">
        <v>0.0422720198615419</v>
      </c>
      <c r="AE11" s="0" t="n">
        <v>0.460179694230241</v>
      </c>
      <c r="AF11" s="0" t="n">
        <v>0.478282785908217</v>
      </c>
      <c r="AG11" s="0" t="n">
        <v>0.0192655</v>
      </c>
    </row>
    <row r="12" customFormat="false" ht="14.25" hidden="false" customHeight="true" outlineLevel="0" collapsed="false">
      <c r="A12" s="18"/>
      <c r="B12" s="34" t="s">
        <v>33</v>
      </c>
      <c r="C12" s="34" t="n">
        <v>8</v>
      </c>
      <c r="D12" s="34" t="n">
        <v>2.8318</v>
      </c>
      <c r="E12" s="34" t="n">
        <v>100</v>
      </c>
      <c r="F12" s="34" t="n">
        <v>3.0383</v>
      </c>
      <c r="G12" s="30" t="n">
        <f aca="false">1000-E12</f>
        <v>900</v>
      </c>
      <c r="H12" s="34" t="n">
        <v>3.6495</v>
      </c>
      <c r="I12" s="35" t="n">
        <f aca="false">F12-D12</f>
        <v>0.2065</v>
      </c>
      <c r="J12" s="35" t="n">
        <f aca="false">H12-F12</f>
        <v>0.6112</v>
      </c>
      <c r="K12" s="35" t="n">
        <f aca="false">J12+I12</f>
        <v>0.8177</v>
      </c>
      <c r="L12" s="36" t="n">
        <v>130.2624</v>
      </c>
      <c r="M12" s="36" t="n">
        <v>1468.6259</v>
      </c>
      <c r="N12" s="36" t="n">
        <v>1328.7827</v>
      </c>
      <c r="O12" s="52" t="n">
        <f aca="false">(L12/$F$2)^(1/$F$3)</f>
        <v>0.834733101379665</v>
      </c>
      <c r="P12" s="53" t="n">
        <f aca="false">(M12/$G$2)^(1/$G$3)</f>
        <v>9.0969758260895</v>
      </c>
      <c r="Q12" s="54" t="n">
        <f aca="false">(N12/$H$2)^(1/$H$3)</f>
        <v>9.44312620523821</v>
      </c>
      <c r="R12" s="55" t="n">
        <f aca="false">O12*$K12/$I12</f>
        <v>3.30538138982156</v>
      </c>
      <c r="S12" s="53" t="n">
        <f aca="false">P12*$K12/$I12</f>
        <v>36.0222621452464</v>
      </c>
      <c r="T12" s="54" t="n">
        <f aca="false">Q12*$K12/$I12</f>
        <v>37.3929505957544</v>
      </c>
      <c r="U12" s="2" t="n">
        <v>1.908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65</v>
      </c>
      <c r="B13" s="19" t="s">
        <v>32</v>
      </c>
      <c r="C13" s="20" t="n">
        <v>9</v>
      </c>
      <c r="D13" s="19" t="n">
        <v>2.7839</v>
      </c>
      <c r="E13" s="19" t="n">
        <v>300</v>
      </c>
      <c r="F13" s="20" t="n">
        <v>2.9841</v>
      </c>
      <c r="G13" s="19" t="n">
        <f aca="false">1000-E13</f>
        <v>700</v>
      </c>
      <c r="H13" s="20" t="n">
        <v>3.594</v>
      </c>
      <c r="I13" s="22" t="n">
        <f aca="false">F13-D13</f>
        <v>0.2002</v>
      </c>
      <c r="J13" s="22" t="n">
        <f aca="false">H13-F13</f>
        <v>0.6099</v>
      </c>
      <c r="K13" s="22" t="n">
        <f aca="false">J13+I13</f>
        <v>0.8101</v>
      </c>
      <c r="L13" s="23" t="n">
        <v>41.2488</v>
      </c>
      <c r="M13" s="23" t="n">
        <v>1.6185</v>
      </c>
      <c r="N13" s="23" t="n">
        <v>1.087</v>
      </c>
      <c r="O13" s="24" t="n">
        <f aca="false">(L13/$F$2)^(1/$F$3)</f>
        <v>0.281072719696053</v>
      </c>
      <c r="P13" s="47" t="n">
        <f aca="false">(M13/$G$2)^(1/$G$3)</f>
        <v>0.0146513735585112</v>
      </c>
      <c r="Q13" s="26" t="n">
        <f aca="false">(N13/$H$2)^(1/$H$3)</f>
        <v>0.00989103138244456</v>
      </c>
      <c r="R13" s="25" t="n">
        <f aca="false">O13*$K13/$I13</f>
        <v>1.13734770342543</v>
      </c>
      <c r="S13" s="47" t="n">
        <f aca="false">P13*$K13/$I13</f>
        <v>0.0592861024962534</v>
      </c>
      <c r="T13" s="26" t="n">
        <f aca="false">Q13*$K13/$I13</f>
        <v>0.0400235990155761</v>
      </c>
      <c r="U13" s="27" t="n">
        <v>94.9485</v>
      </c>
      <c r="V13" s="27"/>
      <c r="W13" s="56" t="n">
        <f aca="false">AVERAGE(R13:R14)/100</f>
        <v>0.0110138786782069</v>
      </c>
      <c r="X13" s="57" t="n">
        <f aca="false">AVERAGE(S13:S14)/100</f>
        <v>0.000572728331612156</v>
      </c>
      <c r="Y13" s="57" t="n">
        <f aca="false">AVERAGE(T13:T14)/100</f>
        <v>0.000385303064517594</v>
      </c>
      <c r="Z13" s="29" t="n">
        <f aca="false">AVERAGE(U13:V14)/100</f>
        <v>0.968553</v>
      </c>
      <c r="AA13" s="2" t="n">
        <f aca="false">SUM(W13:Z13)</f>
        <v>0.980524910074337</v>
      </c>
      <c r="AD13" s="0" t="n">
        <v>0.0110138786782069</v>
      </c>
      <c r="AE13" s="0" t="n">
        <v>0.000572728331612156</v>
      </c>
      <c r="AF13" s="0" t="n">
        <v>0.000385303064517594</v>
      </c>
      <c r="AG13" s="0" t="n">
        <v>0.988028089925663</v>
      </c>
    </row>
    <row r="14" customFormat="false" ht="14.25" hidden="false" customHeight="true" outlineLevel="0" collapsed="false">
      <c r="A14" s="18"/>
      <c r="B14" s="19" t="s">
        <v>32</v>
      </c>
      <c r="C14" s="20" t="n">
        <v>10</v>
      </c>
      <c r="D14" s="20" t="n">
        <v>2.8205</v>
      </c>
      <c r="E14" s="20" t="n">
        <v>300</v>
      </c>
      <c r="F14" s="20" t="n">
        <v>3.0266</v>
      </c>
      <c r="G14" s="19" t="n">
        <f aca="false">1000-E14</f>
        <v>700</v>
      </c>
      <c r="H14" s="20" t="n">
        <v>3.6371</v>
      </c>
      <c r="I14" s="22" t="n">
        <f aca="false">F14-D14</f>
        <v>0.2061</v>
      </c>
      <c r="J14" s="22" t="n">
        <f aca="false">H14-F14</f>
        <v>0.6105</v>
      </c>
      <c r="K14" s="22" t="n">
        <f aca="false">J14+I14</f>
        <v>0.8166</v>
      </c>
      <c r="L14" s="23" t="n">
        <v>39.3641</v>
      </c>
      <c r="M14" s="23" t="n">
        <v>1.5362</v>
      </c>
      <c r="N14" s="23" t="n">
        <v>1.0252</v>
      </c>
      <c r="O14" s="24" t="n">
        <f aca="false">(L14/$F$2)^(1/$F$3)</f>
        <v>0.268901196962656</v>
      </c>
      <c r="P14" s="47" t="n">
        <f aca="false">(M14/$G$2)^(1/$G$3)</f>
        <v>0.0139468480340133</v>
      </c>
      <c r="Q14" s="26" t="n">
        <f aca="false">(N14/$H$2)^(1/$H$3)</f>
        <v>0.00934769601066005</v>
      </c>
      <c r="R14" s="25" t="n">
        <f aca="false">O14*$K14/$I14</f>
        <v>1.06542803221594</v>
      </c>
      <c r="S14" s="47" t="n">
        <f aca="false">P14*$K14/$I14</f>
        <v>0.0552595638261777</v>
      </c>
      <c r="T14" s="26" t="n">
        <f aca="false">Q14*$K14/$I14</f>
        <v>0.0370370138879427</v>
      </c>
      <c r="U14" s="27" t="n">
        <v>99.0665</v>
      </c>
      <c r="V14" s="27" t="n">
        <v>96.5509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33</v>
      </c>
      <c r="C15" s="34" t="n">
        <v>11</v>
      </c>
      <c r="D15" s="34" t="n">
        <v>2.803</v>
      </c>
      <c r="E15" s="34" t="n">
        <v>100</v>
      </c>
      <c r="F15" s="34" t="n">
        <v>2.999</v>
      </c>
      <c r="G15" s="30" t="n">
        <f aca="false">1000-E15</f>
        <v>900</v>
      </c>
      <c r="H15" s="34" t="n">
        <v>3.6274</v>
      </c>
      <c r="I15" s="35" t="n">
        <f aca="false">F15-D15</f>
        <v>0.196</v>
      </c>
      <c r="J15" s="35" t="n">
        <f aca="false">H15-F15</f>
        <v>0.6284</v>
      </c>
      <c r="K15" s="35" t="n">
        <f aca="false">J15+I15</f>
        <v>0.8244</v>
      </c>
      <c r="L15" s="36" t="n">
        <v>1570.6322</v>
      </c>
      <c r="M15" s="36" t="n">
        <v>759.7819</v>
      </c>
      <c r="N15" s="41" t="n">
        <v>694.9843</v>
      </c>
      <c r="O15" s="52" t="n">
        <f aca="false">(L15/$F$2)^(1/$F$3)</f>
        <v>8.81132881440553</v>
      </c>
      <c r="P15" s="53" t="n">
        <f aca="false">(M15/$G$2)^(1/$G$3)</f>
        <v>4.88225346109191</v>
      </c>
      <c r="Q15" s="54" t="n">
        <f aca="false">(N15/$H$2)^(1/$H$3)</f>
        <v>5.05154844580341</v>
      </c>
      <c r="R15" s="55" t="n">
        <f aca="false">O15*$K15/$I15</f>
        <v>37.0615279316118</v>
      </c>
      <c r="S15" s="53" t="n">
        <f aca="false">P15*$K15/$I15</f>
        <v>20.535355884307</v>
      </c>
      <c r="T15" s="54" t="n">
        <f aca="false">Q15*$K15/$I15</f>
        <v>21.2474313200017</v>
      </c>
      <c r="U15" s="2" t="n">
        <v>5.1862</v>
      </c>
      <c r="V15" s="2"/>
      <c r="W15" s="51" t="n">
        <f aca="false">AVERAGE(R15:R16)/100</f>
        <v>0.368438652501512</v>
      </c>
      <c r="X15" s="0" t="n">
        <f aca="false">AVERAGE(S15:S16)/100</f>
        <v>0.204461266524891</v>
      </c>
      <c r="Y15" s="1" t="n">
        <f aca="false">AVERAGE(T15:T16)/100</f>
        <v>0.210860587483743</v>
      </c>
      <c r="Z15" s="33" t="n">
        <f aca="false">AVERAGE(U15:V16)/100</f>
        <v>0.047845</v>
      </c>
      <c r="AA15" s="2" t="n">
        <f aca="false">SUM(W15:Z15)</f>
        <v>0.831605506510146</v>
      </c>
      <c r="AD15" s="0" t="n">
        <v>0.447599365186993</v>
      </c>
      <c r="AE15" s="0" t="n">
        <v>0.248390695385833</v>
      </c>
      <c r="AF15" s="0" t="n">
        <v>0.256164939427175</v>
      </c>
      <c r="AG15" s="0" t="n">
        <v>0.047845</v>
      </c>
    </row>
    <row r="16" customFormat="false" ht="14.25" hidden="false" customHeight="true" outlineLevel="0" collapsed="false">
      <c r="A16" s="18"/>
      <c r="B16" s="34" t="s">
        <v>33</v>
      </c>
      <c r="C16" s="34" t="n">
        <v>12</v>
      </c>
      <c r="D16" s="34" t="n">
        <v>2.8581</v>
      </c>
      <c r="E16" s="34" t="n">
        <v>100</v>
      </c>
      <c r="F16" s="34" t="n">
        <v>3.0519</v>
      </c>
      <c r="G16" s="30" t="n">
        <f aca="false">1000-E16</f>
        <v>900</v>
      </c>
      <c r="H16" s="34" t="n">
        <v>3.673</v>
      </c>
      <c r="I16" s="35" t="n">
        <f aca="false">F16-D16</f>
        <v>0.1938</v>
      </c>
      <c r="J16" s="35" t="n">
        <f aca="false">H16-F16</f>
        <v>0.6211</v>
      </c>
      <c r="K16" s="35" t="n">
        <f aca="false">J16+I16</f>
        <v>0.8149</v>
      </c>
      <c r="L16" s="36" t="n">
        <v>1551.6446</v>
      </c>
      <c r="M16" s="36" t="n">
        <v>753.0326</v>
      </c>
      <c r="N16" s="36" t="n">
        <v>684.2647</v>
      </c>
      <c r="O16" s="52" t="n">
        <f aca="false">(L16/$F$2)^(1/$F$3)</f>
        <v>8.7104651586848</v>
      </c>
      <c r="P16" s="53" t="n">
        <f aca="false">(M16/$G$2)^(1/$G$3)</f>
        <v>4.84128938535535</v>
      </c>
      <c r="Q16" s="54" t="n">
        <f aca="false">(N16/$H$2)^(1/$H$3)</f>
        <v>4.97632124316303</v>
      </c>
      <c r="R16" s="55" t="n">
        <f aca="false">O16*$K16/$I16</f>
        <v>36.6262025686906</v>
      </c>
      <c r="S16" s="53" t="n">
        <f aca="false">P16*$K16/$I16</f>
        <v>20.3568974206712</v>
      </c>
      <c r="T16" s="54" t="n">
        <f aca="false">Q16*$K16/$I16</f>
        <v>20.9246861767469</v>
      </c>
      <c r="U16" s="2" t="n">
        <v>4.5975</v>
      </c>
      <c r="V16" s="2" t="n">
        <v>4.5698</v>
      </c>
      <c r="W16" s="51"/>
      <c r="Z16" s="33"/>
      <c r="AA16" s="2"/>
    </row>
    <row r="17" customFormat="false" ht="14.25" hidden="false" customHeight="true" outlineLevel="0" collapsed="false">
      <c r="A17" s="18" t="s">
        <v>66</v>
      </c>
      <c r="B17" s="19" t="s">
        <v>32</v>
      </c>
      <c r="C17" s="20" t="n">
        <v>13</v>
      </c>
      <c r="D17" s="19" t="n">
        <v>2.7894</v>
      </c>
      <c r="E17" s="19" t="n">
        <v>300</v>
      </c>
      <c r="F17" s="20" t="n">
        <v>2.9903</v>
      </c>
      <c r="G17" s="19" t="n">
        <f aca="false">1000-E17</f>
        <v>700</v>
      </c>
      <c r="H17" s="20" t="n">
        <v>3.5685</v>
      </c>
      <c r="I17" s="22" t="n">
        <f aca="false">F17-D17</f>
        <v>0.2009</v>
      </c>
      <c r="J17" s="22" t="n">
        <f aca="false">H17-F17</f>
        <v>0.5782</v>
      </c>
      <c r="K17" s="22" t="n">
        <f aca="false">J17+I17</f>
        <v>0.7791</v>
      </c>
      <c r="L17" s="23" t="n">
        <v>60.8063</v>
      </c>
      <c r="M17" s="23" t="n">
        <v>0.9138</v>
      </c>
      <c r="N17" s="23" t="n">
        <v>0.6404</v>
      </c>
      <c r="O17" s="24" t="n">
        <f aca="false">(L17/$F$2)^(1/$F$3)</f>
        <v>0.405837843251855</v>
      </c>
      <c r="P17" s="47" t="n">
        <f aca="false">(M17/$G$2)^(1/$G$3)</f>
        <v>0.0085397963045257</v>
      </c>
      <c r="Q17" s="26" t="n">
        <f aca="false">(N17/$H$2)^(1/$H$3)</f>
        <v>0.00593544519810214</v>
      </c>
      <c r="R17" s="25" t="n">
        <f aca="false">O17*$K17/$I17</f>
        <v>1.57385895309866</v>
      </c>
      <c r="S17" s="47" t="n">
        <f aca="false">P17*$K17/$I17</f>
        <v>0.0331177466443802</v>
      </c>
      <c r="T17" s="26" t="n">
        <f aca="false">Q17*$K17/$I17</f>
        <v>0.0230179460121522</v>
      </c>
      <c r="U17" s="27" t="n">
        <v>97.0684</v>
      </c>
      <c r="V17" s="27"/>
      <c r="W17" s="56" t="n">
        <f aca="false">AVERAGE(R17:R18)/100</f>
        <v>0.0128676895854389</v>
      </c>
      <c r="X17" s="57" t="n">
        <f aca="false">AVERAGE(S17:S18)/100</f>
        <v>0.000271929315948812</v>
      </c>
      <c r="Y17" s="57" t="n">
        <f aca="false">AVERAGE(T17:T18)/100</f>
        <v>0.000187847542885098</v>
      </c>
      <c r="Z17" s="29" t="n">
        <f aca="false">AVERAGE(U17:V18)/100</f>
        <v>0.988856</v>
      </c>
      <c r="AA17" s="2" t="n">
        <f aca="false">SUM(W17:Z17)</f>
        <v>1.00218346644427</v>
      </c>
      <c r="AD17" s="0" t="n">
        <v>0.0128676895854389</v>
      </c>
      <c r="AE17" s="0" t="n">
        <v>0.000271929315948812</v>
      </c>
      <c r="AF17" s="0" t="n">
        <v>0.000187847542885098</v>
      </c>
      <c r="AG17" s="0" t="n">
        <v>0.986672533555727</v>
      </c>
    </row>
    <row r="18" customFormat="false" ht="14.25" hidden="false" customHeight="true" outlineLevel="0" collapsed="false">
      <c r="A18" s="18"/>
      <c r="B18" s="20" t="s">
        <v>32</v>
      </c>
      <c r="C18" s="20" t="n">
        <v>14</v>
      </c>
      <c r="D18" s="20" t="n">
        <v>2.694</v>
      </c>
      <c r="E18" s="20" t="n">
        <v>300</v>
      </c>
      <c r="F18" s="20" t="n">
        <v>3.0768</v>
      </c>
      <c r="G18" s="19" t="n">
        <f aca="false">1000-E18</f>
        <v>700</v>
      </c>
      <c r="H18" s="20" t="n">
        <v>3.7007</v>
      </c>
      <c r="I18" s="22" t="n">
        <f aca="false">F18-D18</f>
        <v>0.3828</v>
      </c>
      <c r="J18" s="22" t="n">
        <f aca="false">H18-F18</f>
        <v>0.6239</v>
      </c>
      <c r="K18" s="22" t="n">
        <f aca="false">J18+I18</f>
        <v>1.0067</v>
      </c>
      <c r="L18" s="23" t="n">
        <v>56.7446</v>
      </c>
      <c r="M18" s="23" t="n">
        <v>0.8626</v>
      </c>
      <c r="N18" s="23" t="n">
        <v>0.5955</v>
      </c>
      <c r="O18" s="24" t="n">
        <f aca="false">(L18/$F$2)^(1/$F$3)</f>
        <v>0.3801302348416</v>
      </c>
      <c r="P18" s="47" t="n">
        <f aca="false">(M18/$G$2)^(1/$G$3)</f>
        <v>0.00808725043565346</v>
      </c>
      <c r="Q18" s="26" t="n">
        <f aca="false">(N18/$H$2)^(1/$H$3)</f>
        <v>0.00553326527250548</v>
      </c>
      <c r="R18" s="25" t="n">
        <f aca="false">O18*$K18/$I18</f>
        <v>0.99967896398913</v>
      </c>
      <c r="S18" s="47" t="n">
        <f aca="false">P18*$K18/$I18</f>
        <v>0.0212681165453823</v>
      </c>
      <c r="T18" s="26" t="n">
        <f aca="false">Q18*$K18/$I18</f>
        <v>0.0145515625648675</v>
      </c>
      <c r="U18" s="27" t="n">
        <v>100.5119</v>
      </c>
      <c r="V18" s="27" t="n">
        <v>99.0765</v>
      </c>
      <c r="W18" s="51"/>
      <c r="Z18" s="33"/>
      <c r="AA18" s="2"/>
    </row>
    <row r="19" customFormat="false" ht="14.25" hidden="false" customHeight="true" outlineLevel="0" collapsed="false">
      <c r="A19" s="18"/>
      <c r="B19" s="34" t="s">
        <v>33</v>
      </c>
      <c r="C19" s="34" t="n">
        <v>15</v>
      </c>
      <c r="D19" s="34" t="n">
        <v>2.8448</v>
      </c>
      <c r="E19" s="34" t="n">
        <v>100</v>
      </c>
      <c r="F19" s="34" t="n">
        <v>3.076</v>
      </c>
      <c r="G19" s="30" t="n">
        <f aca="false">1000-E19</f>
        <v>900</v>
      </c>
      <c r="H19" s="34" t="n">
        <v>3.6777</v>
      </c>
      <c r="I19" s="35" t="n">
        <f aca="false">F19-D19</f>
        <v>0.2312</v>
      </c>
      <c r="J19" s="35" t="n">
        <f aca="false">H19-F19</f>
        <v>0.6017</v>
      </c>
      <c r="K19" s="35" t="n">
        <f aca="false">J19+I19</f>
        <v>0.8329</v>
      </c>
      <c r="L19" s="36" t="n">
        <v>2587.7175</v>
      </c>
      <c r="M19" s="36" t="n">
        <v>456.0498</v>
      </c>
      <c r="N19" s="36" t="n">
        <v>416.8024</v>
      </c>
      <c r="O19" s="52" t="n">
        <f aca="false">(L19/$F$2)^(1/$F$3)</f>
        <v>14.1351316479187</v>
      </c>
      <c r="P19" s="53" t="n">
        <f aca="false">(M19/$G$2)^(1/$G$3)</f>
        <v>3.01504166268551</v>
      </c>
      <c r="Q19" s="54" t="n">
        <f aca="false">(N19/$H$2)^(1/$H$3)</f>
        <v>3.08390342929745</v>
      </c>
      <c r="R19" s="55" t="n">
        <f aca="false">O19*$K19/$I19</f>
        <v>50.9219340378523</v>
      </c>
      <c r="S19" s="53" t="n">
        <f aca="false">P19*$K19/$I19</f>
        <v>10.8617136714998</v>
      </c>
      <c r="T19" s="54" t="n">
        <f aca="false">Q19*$K19/$I19</f>
        <v>11.1097887814094</v>
      </c>
      <c r="U19" s="2" t="n">
        <v>6.2745</v>
      </c>
      <c r="V19" s="2"/>
      <c r="W19" s="51" t="n">
        <f aca="false">AVERAGE(R19:R20)/100</f>
        <v>0.525398543509081</v>
      </c>
      <c r="X19" s="0" t="n">
        <f aca="false">AVERAGE(S19:S20)/100</f>
        <v>0.112039110512796</v>
      </c>
      <c r="Y19" s="1" t="n">
        <f aca="false">AVERAGE(T19:T20)/100</f>
        <v>0.114582921844376</v>
      </c>
      <c r="Z19" s="33" t="n">
        <f aca="false">AVERAGE(U19:V20)/100</f>
        <v>0.064449</v>
      </c>
      <c r="AA19" s="2" t="n">
        <f aca="false">SUM(W19:Z19)</f>
        <v>0.816469575866254</v>
      </c>
      <c r="AD19" s="0" t="n">
        <v>0.653621920134648</v>
      </c>
      <c r="AE19" s="0" t="n">
        <v>0.139382226023027</v>
      </c>
      <c r="AF19" s="0" t="n">
        <v>0.142546853842325</v>
      </c>
      <c r="AG19" s="0" t="n">
        <v>0.064449</v>
      </c>
    </row>
    <row r="20" customFormat="false" ht="14.25" hidden="false" customHeight="true" outlineLevel="0" collapsed="false">
      <c r="A20" s="18"/>
      <c r="B20" s="34" t="s">
        <v>33</v>
      </c>
      <c r="C20" s="34" t="n">
        <v>16</v>
      </c>
      <c r="D20" s="34" t="n">
        <v>2.8036</v>
      </c>
      <c r="E20" s="34" t="n">
        <v>100</v>
      </c>
      <c r="F20" s="34" t="n">
        <v>3.0196</v>
      </c>
      <c r="G20" s="30" t="n">
        <f aca="false">1000-E20</f>
        <v>900</v>
      </c>
      <c r="H20" s="34" t="n">
        <v>3.6117</v>
      </c>
      <c r="I20" s="35" t="n">
        <f aca="false">F20-D20</f>
        <v>0.216</v>
      </c>
      <c r="J20" s="35" t="n">
        <f aca="false">H20-F20</f>
        <v>0.5921</v>
      </c>
      <c r="K20" s="35" t="n">
        <f aca="false">J20+I20</f>
        <v>0.8081</v>
      </c>
      <c r="L20" s="36" t="n">
        <v>2653.6922</v>
      </c>
      <c r="M20" s="36" t="n">
        <v>467.4562</v>
      </c>
      <c r="N20" s="36" t="n">
        <v>426.8852</v>
      </c>
      <c r="O20" s="52" t="n">
        <f aca="false">(L20/$F$2)^(1/$F$3)</f>
        <v>14.4760293619802</v>
      </c>
      <c r="P20" s="53" t="n">
        <f aca="false">(M20/$G$2)^(1/$G$3)</f>
        <v>3.08620148633689</v>
      </c>
      <c r="Q20" s="54" t="n">
        <f aca="false">(N20/$H$2)^(1/$H$3)</f>
        <v>3.15588150834381</v>
      </c>
      <c r="R20" s="55" t="n">
        <f aca="false">O20*$K20/$I20</f>
        <v>54.1577746639639</v>
      </c>
      <c r="S20" s="53" t="n">
        <f aca="false">P20*$K20/$I20</f>
        <v>11.5461084310594</v>
      </c>
      <c r="T20" s="54" t="n">
        <f aca="false">Q20*$K20/$I20</f>
        <v>11.8067955874659</v>
      </c>
      <c r="U20" s="2" t="n">
        <v>6.6153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67</v>
      </c>
      <c r="B21" s="19" t="s">
        <v>32</v>
      </c>
      <c r="C21" s="20" t="n">
        <v>17</v>
      </c>
      <c r="D21" s="19" t="n">
        <v>2.8602</v>
      </c>
      <c r="E21" s="19" t="n">
        <v>300</v>
      </c>
      <c r="F21" s="20" t="n">
        <v>3.0624</v>
      </c>
      <c r="G21" s="19" t="n">
        <f aca="false">1000-E21</f>
        <v>700</v>
      </c>
      <c r="H21" s="20" t="n">
        <v>3.6719</v>
      </c>
      <c r="I21" s="22" t="n">
        <f aca="false">F21-D21</f>
        <v>0.2022</v>
      </c>
      <c r="J21" s="22" t="n">
        <f aca="false">H21-F21</f>
        <v>0.6095</v>
      </c>
      <c r="K21" s="22" t="n">
        <f aca="false">J21+I21</f>
        <v>0.8117</v>
      </c>
      <c r="L21" s="23" t="n">
        <v>34.9706</v>
      </c>
      <c r="M21" s="23" t="n">
        <v>1.8906</v>
      </c>
      <c r="N21" s="23" t="n">
        <v>1.189</v>
      </c>
      <c r="O21" s="24" t="n">
        <f aca="false">(L21/$F$2)^(1/$F$3)</f>
        <v>0.240403718078178</v>
      </c>
      <c r="P21" s="47" t="n">
        <f aca="false">(M21/$G$2)^(1/$G$3)</f>
        <v>0.0169670201049863</v>
      </c>
      <c r="Q21" s="26" t="n">
        <f aca="false">(N21/$H$2)^(1/$H$3)</f>
        <v>0.010785478686861</v>
      </c>
      <c r="R21" s="25" t="n">
        <f aca="false">O21*$K21/$I21</f>
        <v>0.965062799030945</v>
      </c>
      <c r="S21" s="47" t="n">
        <f aca="false">P21*$K21/$I21</f>
        <v>0.0681114254165053</v>
      </c>
      <c r="T21" s="26" t="n">
        <f aca="false">Q21*$K21/$I21</f>
        <v>0.0432966026217858</v>
      </c>
      <c r="U21" s="27" t="n">
        <v>99.6909</v>
      </c>
      <c r="V21" s="27"/>
      <c r="W21" s="56" t="n">
        <f aca="false">AVERAGE(R21:R22)/100</f>
        <v>0.00937947850914304</v>
      </c>
      <c r="X21" s="57" t="n">
        <f aca="false">AVERAGE(S21:S22)/100</f>
        <v>0.000650870516148259</v>
      </c>
      <c r="Y21" s="57" t="n">
        <f aca="false">AVERAGE(T21:T22)/100</f>
        <v>0.00041998545422514</v>
      </c>
      <c r="Z21" s="29" t="n">
        <f aca="false">AVERAGE(U21:V22)/100</f>
        <v>0.9964865</v>
      </c>
      <c r="AA21" s="2" t="n">
        <f aca="false">SUM(W21:Z21)</f>
        <v>1.00693683447952</v>
      </c>
      <c r="AD21" s="0" t="n">
        <v>0.00937947850914304</v>
      </c>
      <c r="AE21" s="0" t="n">
        <v>0.00065087051614826</v>
      </c>
      <c r="AF21" s="0" t="n">
        <v>0.00041998545422514</v>
      </c>
      <c r="AG21" s="0" t="n">
        <v>0.989549665520484</v>
      </c>
    </row>
    <row r="22" customFormat="false" ht="14.25" hidden="false" customHeight="true" outlineLevel="0" collapsed="false">
      <c r="A22" s="18"/>
      <c r="B22" s="20" t="s">
        <v>32</v>
      </c>
      <c r="C22" s="20" t="n">
        <v>18</v>
      </c>
      <c r="D22" s="20" t="n">
        <v>2.7962</v>
      </c>
      <c r="E22" s="20" t="n">
        <v>300</v>
      </c>
      <c r="F22" s="20" t="n">
        <v>3.0027</v>
      </c>
      <c r="G22" s="19" t="n">
        <f aca="false">1000-E22</f>
        <v>700</v>
      </c>
      <c r="H22" s="20" t="n">
        <v>3.6231</v>
      </c>
      <c r="I22" s="22" t="n">
        <f aca="false">F22-D22</f>
        <v>0.2065</v>
      </c>
      <c r="J22" s="22" t="n">
        <f aca="false">H22-F22</f>
        <v>0.6204</v>
      </c>
      <c r="K22" s="22" t="n">
        <f aca="false">J22+I22</f>
        <v>0.8269</v>
      </c>
      <c r="L22" s="23" t="n">
        <v>32.9846</v>
      </c>
      <c r="M22" s="23" t="n">
        <v>1.7178</v>
      </c>
      <c r="N22" s="23" t="n">
        <v>1.1181</v>
      </c>
      <c r="O22" s="24" t="n">
        <f aca="false">(L22/$F$2)^(1/$F$3)</f>
        <v>0.227460387504798</v>
      </c>
      <c r="P22" s="47" t="n">
        <f aca="false">(M22/$G$2)^(1/$G$3)</f>
        <v>0.0154987821603758</v>
      </c>
      <c r="Q22" s="26" t="n">
        <f aca="false">(N22/$H$2)^(1/$H$3)</f>
        <v>0.0101640474278625</v>
      </c>
      <c r="R22" s="25" t="n">
        <f aca="false">O22*$K22/$I22</f>
        <v>0.910832902797663</v>
      </c>
      <c r="S22" s="47" t="n">
        <f aca="false">P22*$K22/$I22</f>
        <v>0.0620626778131466</v>
      </c>
      <c r="T22" s="26" t="n">
        <f aca="false">Q22*$K22/$I22</f>
        <v>0.0407004882232422</v>
      </c>
      <c r="U22" s="27" t="n">
        <v>99.6064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33</v>
      </c>
      <c r="C23" s="34" t="n">
        <v>19</v>
      </c>
      <c r="D23" s="34" t="n">
        <v>2.8642</v>
      </c>
      <c r="E23" s="34" t="n">
        <v>100</v>
      </c>
      <c r="F23" s="34" t="n">
        <v>3.0524</v>
      </c>
      <c r="G23" s="30" t="n">
        <f aca="false">1000-E23</f>
        <v>900</v>
      </c>
      <c r="H23" s="34" t="n">
        <v>3.652</v>
      </c>
      <c r="I23" s="35" t="n">
        <f aca="false">F23-D23</f>
        <v>0.1882</v>
      </c>
      <c r="J23" s="35" t="n">
        <f aca="false">H23-F23</f>
        <v>0.5996</v>
      </c>
      <c r="K23" s="35" t="n">
        <f aca="false">J23+I23</f>
        <v>0.7878</v>
      </c>
      <c r="L23" s="36" t="n">
        <v>1231.0217</v>
      </c>
      <c r="M23" s="36" t="n">
        <v>841.3084</v>
      </c>
      <c r="N23" s="36" t="n">
        <v>762.9919</v>
      </c>
      <c r="O23" s="52" t="n">
        <f aca="false">(L23/$F$2)^(1/$F$3)</f>
        <v>6.9965673935464</v>
      </c>
      <c r="P23" s="53" t="n">
        <f aca="false">(M23/$G$2)^(1/$G$3)</f>
        <v>5.37552043114375</v>
      </c>
      <c r="Q23" s="54" t="n">
        <f aca="false">(N23/$H$2)^(1/$H$3)</f>
        <v>5.52789278657069</v>
      </c>
      <c r="R23" s="55" t="n">
        <f aca="false">O23*$K23/$I23</f>
        <v>29.2874377929641</v>
      </c>
      <c r="S23" s="53" t="n">
        <f aca="false">P23*$K23/$I23</f>
        <v>22.5017799981671</v>
      </c>
      <c r="T23" s="54" t="n">
        <f aca="false">Q23*$K23/$I23</f>
        <v>23.1396064679085</v>
      </c>
      <c r="U23" s="2" t="n">
        <v>4.3433</v>
      </c>
      <c r="V23" s="2"/>
      <c r="W23" s="51" t="n">
        <f aca="false">AVERAGE(R23:R24)/100</f>
        <v>0.306001613350373</v>
      </c>
      <c r="X23" s="0" t="n">
        <f aca="false">AVERAGE(S23:S24)/100</f>
        <v>0.234057965105495</v>
      </c>
      <c r="Y23" s="1" t="n">
        <f aca="false">AVERAGE(T23:T24)/100</f>
        <v>0.243803902579953</v>
      </c>
      <c r="Z23" s="33" t="n">
        <f aca="false">AVERAGE(U23:V24)/100</f>
        <v>0.0426285</v>
      </c>
      <c r="AA23" s="2" t="n">
        <f aca="false">SUM(W23:Z23)</f>
        <v>0.826491981035821</v>
      </c>
      <c r="AD23" s="0" t="n">
        <v>0.37373500700472</v>
      </c>
      <c r="AE23" s="0" t="n">
        <v>0.285866647141016</v>
      </c>
      <c r="AF23" s="0" t="n">
        <v>0.297769845854264</v>
      </c>
      <c r="AG23" s="0" t="n">
        <v>0.0426285</v>
      </c>
    </row>
    <row r="24" customFormat="false" ht="14.25" hidden="false" customHeight="true" outlineLevel="0" collapsed="false">
      <c r="A24" s="18"/>
      <c r="B24" s="34" t="s">
        <v>33</v>
      </c>
      <c r="C24" s="34" t="n">
        <v>20</v>
      </c>
      <c r="D24" s="34" t="n">
        <v>2.7888</v>
      </c>
      <c r="E24" s="34" t="n">
        <v>100</v>
      </c>
      <c r="F24" s="34" t="n">
        <v>3.0046</v>
      </c>
      <c r="G24" s="30" t="n">
        <f aca="false">1000-E24</f>
        <v>900</v>
      </c>
      <c r="H24" s="34" t="n">
        <v>3.6248</v>
      </c>
      <c r="I24" s="35" t="n">
        <f aca="false">F24-D24</f>
        <v>0.2158</v>
      </c>
      <c r="J24" s="35" t="n">
        <f aca="false">H24-F24</f>
        <v>0.6202</v>
      </c>
      <c r="K24" s="35" t="n">
        <f aca="false">J24+I24</f>
        <v>0.836</v>
      </c>
      <c r="L24" s="36" t="n">
        <v>1462.8328</v>
      </c>
      <c r="M24" s="36" t="n">
        <v>991.1205</v>
      </c>
      <c r="N24" s="36" t="n">
        <v>918.7774</v>
      </c>
      <c r="O24" s="58" t="n">
        <f aca="false">(L24/$F$2)^(1/$F$3)</f>
        <v>8.23779970870867</v>
      </c>
      <c r="P24" s="59" t="n">
        <f aca="false">(M24/$G$2)^(1/$G$3)</f>
        <v>6.27518857697214</v>
      </c>
      <c r="Q24" s="60" t="n">
        <f aca="false">(N24/$H$2)^(1/$H$3)</f>
        <v>6.6136954061915</v>
      </c>
      <c r="R24" s="55" t="n">
        <f aca="false">O24*$K24/$I24</f>
        <v>31.9128848771106</v>
      </c>
      <c r="S24" s="53" t="n">
        <f aca="false">P24*$K24/$I24</f>
        <v>24.309813022932</v>
      </c>
      <c r="T24" s="54" t="n">
        <f aca="false">Q24*$K24/$I24</f>
        <v>25.621174048082</v>
      </c>
      <c r="U24" s="42" t="n">
        <v>4.1824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38</v>
      </c>
      <c r="B25" s="1" t="s">
        <v>32</v>
      </c>
      <c r="C25" s="1" t="n">
        <v>1</v>
      </c>
      <c r="D25" s="1" t="n">
        <v>2.7597</v>
      </c>
      <c r="F25" s="1" t="n">
        <v>3.0728</v>
      </c>
      <c r="G25" s="2" t="n">
        <f aca="false">1000-E25</f>
        <v>1000</v>
      </c>
      <c r="H25" s="1" t="n">
        <v>3.5535</v>
      </c>
      <c r="I25" s="1" t="n">
        <f aca="false">F25-D25</f>
        <v>0.3131</v>
      </c>
      <c r="J25" s="1" t="n">
        <f aca="false">H25-F25</f>
        <v>0.4807</v>
      </c>
      <c r="K25" s="1" t="n">
        <f aca="false">J25+I25</f>
        <v>0.7938</v>
      </c>
      <c r="M25" s="1" t="n">
        <v>4.34</v>
      </c>
      <c r="N25" s="1" t="n">
        <v>2.7</v>
      </c>
      <c r="P25" s="1" t="n">
        <f aca="false">(M25/$G$2)^(1/$G$3)</f>
        <v>0.0371869331792908</v>
      </c>
      <c r="Q25" s="1" t="n">
        <f aca="false">(N25/$H$2)^(1/$H$3)</f>
        <v>0.023803237734811</v>
      </c>
      <c r="S25" s="1" t="n">
        <f aca="false">P25*$K25/$I25</f>
        <v>0.0942797430779975</v>
      </c>
      <c r="T25" s="1" t="n">
        <f aca="false">Q25*$K25/$I25</f>
        <v>0.0603481638897892</v>
      </c>
      <c r="X25" s="1" t="n">
        <f aca="false">AVERAGE(S25:S26)/100</f>
        <v>0.000935095174796336</v>
      </c>
      <c r="Y25" s="1" t="n">
        <f aca="false">AVERAGE(T25:T26)/100</f>
        <v>0.000603769690895068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32</v>
      </c>
      <c r="C26" s="1" t="n">
        <v>2</v>
      </c>
      <c r="D26" s="1" t="n">
        <v>2.7827</v>
      </c>
      <c r="F26" s="1" t="n">
        <v>3.0985</v>
      </c>
      <c r="G26" s="2" t="n">
        <f aca="false">1000-E26</f>
        <v>1000</v>
      </c>
      <c r="H26" s="1" t="n">
        <v>3.5987</v>
      </c>
      <c r="I26" s="1" t="n">
        <f aca="false">F26-D26</f>
        <v>0.3158</v>
      </c>
      <c r="J26" s="1" t="n">
        <f aca="false">H26-F26</f>
        <v>0.5002</v>
      </c>
      <c r="K26" s="1" t="n">
        <f aca="false">J26+I26</f>
        <v>0.816</v>
      </c>
      <c r="M26" s="1" t="n">
        <v>4.18</v>
      </c>
      <c r="N26" s="1" t="n">
        <v>2.65</v>
      </c>
      <c r="P26" s="1" t="n">
        <f aca="false">(M26/$G$2)^(1/$G$3)</f>
        <v>0.0358910151667953</v>
      </c>
      <c r="Q26" s="1" t="n">
        <f aca="false">(N26/$H$2)^(1/$H$3)</f>
        <v>0.0233776268634033</v>
      </c>
      <c r="S26" s="1" t="n">
        <f aca="false">P26*$K26/$I26</f>
        <v>0.0927392918812698</v>
      </c>
      <c r="T26" s="1" t="n">
        <f aca="false">Q26*$K26/$I26</f>
        <v>0.0604057742892244</v>
      </c>
    </row>
    <row r="27" customFormat="false" ht="14.25" hidden="false" customHeight="true" outlineLevel="0" collapsed="false">
      <c r="A27" s="45"/>
      <c r="B27" s="1" t="s">
        <v>33</v>
      </c>
      <c r="C27" s="1" t="n">
        <v>3</v>
      </c>
      <c r="D27" s="1" t="n">
        <v>2.7811</v>
      </c>
      <c r="F27" s="1" t="n">
        <v>3.0656</v>
      </c>
      <c r="G27" s="2" t="n">
        <f aca="false">1000-E27</f>
        <v>1000</v>
      </c>
      <c r="H27" s="1" t="n">
        <v>3.55</v>
      </c>
      <c r="I27" s="1" t="n">
        <f aca="false">F27-D27</f>
        <v>0.2845</v>
      </c>
      <c r="J27" s="1" t="n">
        <f aca="false">H27-F27</f>
        <v>0.4844</v>
      </c>
      <c r="K27" s="1" t="n">
        <f aca="false">J27+I27</f>
        <v>0.7689</v>
      </c>
      <c r="M27" s="1" t="n">
        <v>2796.21</v>
      </c>
      <c r="N27" s="1" t="n">
        <v>2506.32</v>
      </c>
      <c r="P27" s="1" t="n">
        <f aca="false">(M27/$G$2)^(1/$G$3)</f>
        <v>16.7099743539892</v>
      </c>
      <c r="Q27" s="1" t="n">
        <f aca="false">(N27/$H$2)^(1/$H$3)</f>
        <v>17.4227089320943</v>
      </c>
      <c r="S27" s="1" t="n">
        <f aca="false">P27*$K27/$I27</f>
        <v>45.1609816547708</v>
      </c>
      <c r="T27" s="1" t="n">
        <f aca="false">Q27*$K27/$I27</f>
        <v>47.087243929305</v>
      </c>
      <c r="U27" s="1" t="n">
        <v>1.6475</v>
      </c>
      <c r="X27" s="1" t="n">
        <f aca="false">AVERAGE(S27:S28)/100</f>
        <v>0.453538841373625</v>
      </c>
      <c r="Y27" s="1" t="n">
        <f aca="false">AVERAGE(T27:T28)/100</f>
        <v>0.473581845113444</v>
      </c>
      <c r="Z27" s="1" t="n">
        <f aca="false">AVERAGE(U27:V28)/100</f>
        <v>0.0164795</v>
      </c>
      <c r="AA27" s="1" t="n">
        <f aca="false">SUM(W27:Z27)</f>
        <v>0.943600186487069</v>
      </c>
      <c r="AE27" s="1" t="n">
        <f aca="false">IFERROR(X27/$AA27,"")</f>
        <v>0.480647257035955</v>
      </c>
      <c r="AF27" s="1" t="n">
        <f aca="false">IFERROR(Y27/$AA27,"")</f>
        <v>0.501888248747112</v>
      </c>
      <c r="AG27" s="1" t="n">
        <f aca="false">IFERROR(Z27/$AA27,"")</f>
        <v>0.0174644942169327</v>
      </c>
    </row>
    <row r="28" customFormat="false" ht="14.25" hidden="false" customHeight="true" outlineLevel="0" collapsed="false">
      <c r="A28" s="45"/>
      <c r="B28" s="1" t="s">
        <v>33</v>
      </c>
      <c r="C28" s="1" t="n">
        <v>4</v>
      </c>
      <c r="D28" s="1" t="n">
        <v>2.7433</v>
      </c>
      <c r="F28" s="1" t="n">
        <v>3.0422</v>
      </c>
      <c r="G28" s="2" t="n">
        <f aca="false">1000-E28</f>
        <v>1000</v>
      </c>
      <c r="H28" s="1" t="n">
        <v>3.5249</v>
      </c>
      <c r="I28" s="1" t="n">
        <f aca="false">F28-D28</f>
        <v>0.2989</v>
      </c>
      <c r="J28" s="1" t="n">
        <f aca="false">H28-F28</f>
        <v>0.4827</v>
      </c>
      <c r="K28" s="1" t="n">
        <f aca="false">J28+I28</f>
        <v>0.7816</v>
      </c>
      <c r="M28" s="1" t="n">
        <v>2921.84</v>
      </c>
      <c r="N28" s="1" t="n">
        <v>2624.4</v>
      </c>
      <c r="P28" s="1" t="n">
        <f aca="false">(M28/$G$2)^(1/$G$3)</f>
        <v>17.4180329077589</v>
      </c>
      <c r="Q28" s="1" t="n">
        <f aca="false">(N28/$H$2)^(1/$H$3)</f>
        <v>18.2143621934652</v>
      </c>
      <c r="S28" s="1" t="n">
        <f aca="false">P28*$K28/$I28</f>
        <v>45.5467866199543</v>
      </c>
      <c r="T28" s="1" t="n">
        <f aca="false">Q28*$K28/$I28</f>
        <v>47.6291250933837</v>
      </c>
      <c r="U28" s="1" t="n">
        <v>1.6484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Sebastian Ormazabal</dc:creator>
  <dc:description/>
  <dc:language>en-GB</dc:language>
  <cp:lastModifiedBy/>
  <dcterms:modified xsi:type="dcterms:W3CDTF">2026-09-28T19:51:12Z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