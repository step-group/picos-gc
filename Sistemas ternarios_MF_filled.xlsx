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Bloque A" sheetId="1" state="visible" r:id="rId3"/>
    <sheet name="Bloque B" sheetId="2" state="visible" r:id="rId4"/>
    <sheet name="Bloque C" sheetId="3" state="visible" r:id="rId5"/>
    <sheet name="Bloque D" sheetId="4" state="visible" r:id="rId6"/>
    <sheet name="Bloque E" sheetId="5" state="visible" r:id="rId7"/>
    <sheet name="Bloque F" sheetId="6" state="visible" r:id="rId8"/>
    <sheet name="Bloque H" sheetId="7" state="visible" r:id="rId9"/>
    <sheet name="Bloque I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<sst xmlns="http://schemas.openxmlformats.org/spreadsheetml/2006/main" count="509" uniqueCount="72">
  <si>
    <t xml:space="preserve">2PhEt</t>
  </si>
  <si>
    <t xml:space="preserve">Thymol:Carvone</t>
  </si>
  <si>
    <t xml:space="preserve">α  (A = α·C^β)</t>
  </si>
  <si>
    <t xml:space="preserve">β</t>
  </si>
  <si>
    <t xml:space="preserve">Thymol</t>
  </si>
  <si>
    <t xml:space="preserve">Carvone</t>
  </si>
  <si>
    <t xml:space="preserve">Diluido</t>
  </si>
  <si>
    <t xml:space="preserve">Real</t>
  </si>
  <si>
    <t xml:space="preserve">KF - Water %m/m</t>
  </si>
  <si>
    <t xml:space="preserve">Cód. Sist</t>
  </si>
  <si>
    <t xml:space="preserve">Fase</t>
  </si>
  <si>
    <t xml:space="preserve">Cód. vial</t>
  </si>
  <si>
    <t xml:space="preserve">Vial, g</t>
  </si>
  <si>
    <t xml:space="preserve">Muestra, uL</t>
  </si>
  <si>
    <t xml:space="preserve">V + muestra, g</t>
  </si>
  <si>
    <t xml:space="preserve">2-propanol, uL</t>
  </si>
  <si>
    <t xml:space="preserve">V + M + Met, g</t>
  </si>
  <si>
    <t xml:space="preserve">Muestra, g</t>
  </si>
  <si>
    <t xml:space="preserve">2-propanol</t>
  </si>
  <si>
    <t xml:space="preserve">Mue + Met</t>
  </si>
  <si>
    <t xml:space="preserve">Area Soluto</t>
  </si>
  <si>
    <t xml:space="preserve">Area  HBA</t>
  </si>
  <si>
    <t xml:space="preserve">Area HBD</t>
  </si>
  <si>
    <t xml:space="preserve">2PhEt, %m/m</t>
  </si>
  <si>
    <t xml:space="preserve">HBA, %m/m</t>
  </si>
  <si>
    <t xml:space="preserve">HBD, %m/m</t>
  </si>
  <si>
    <t xml:space="preserve">Solute</t>
  </si>
  <si>
    <t xml:space="preserve">HBA</t>
  </si>
  <si>
    <t xml:space="preserve">HBD</t>
  </si>
  <si>
    <t xml:space="preserve">Water</t>
  </si>
  <si>
    <t xml:space="preserve">A</t>
  </si>
  <si>
    <t xml:space="preserve">A1</t>
  </si>
  <si>
    <t xml:space="preserve">Superior</t>
  </si>
  <si>
    <t xml:space="preserve">Inferior</t>
  </si>
  <si>
    <t xml:space="preserve">A2</t>
  </si>
  <si>
    <t xml:space="preserve">A3</t>
  </si>
  <si>
    <t xml:space="preserve">A4</t>
  </si>
  <si>
    <t xml:space="preserve">A5</t>
  </si>
  <si>
    <t xml:space="preserve">Bin</t>
  </si>
  <si>
    <t xml:space="preserve">Thym:Geraniol</t>
  </si>
  <si>
    <t xml:space="preserve">Geraniol</t>
  </si>
  <si>
    <t xml:space="preserve">Area HBA</t>
  </si>
  <si>
    <t xml:space="preserve">B1</t>
  </si>
  <si>
    <t xml:space="preserve">B2</t>
  </si>
  <si>
    <t xml:space="preserve">B3</t>
  </si>
  <si>
    <t xml:space="preserve">B4</t>
  </si>
  <si>
    <t xml:space="preserve">B5</t>
  </si>
  <si>
    <t xml:space="preserve">Thym:Carvacrol</t>
  </si>
  <si>
    <t xml:space="preserve">Carvacrol</t>
  </si>
  <si>
    <t xml:space="preserve">C1</t>
  </si>
  <si>
    <t xml:space="preserve">C2</t>
  </si>
  <si>
    <t xml:space="preserve">C3</t>
  </si>
  <si>
    <t xml:space="preserve">C4</t>
  </si>
  <si>
    <t xml:space="preserve">C5</t>
  </si>
  <si>
    <t xml:space="preserve">Thym:Eug</t>
  </si>
  <si>
    <t xml:space="preserve">Eugenol</t>
  </si>
  <si>
    <t xml:space="preserve">D1</t>
  </si>
  <si>
    <t xml:space="preserve">D2</t>
  </si>
  <si>
    <t xml:space="preserve">D3</t>
  </si>
  <si>
    <t xml:space="preserve">D4</t>
  </si>
  <si>
    <t xml:space="preserve">D5</t>
  </si>
  <si>
    <t xml:space="preserve">Thym:Camph</t>
  </si>
  <si>
    <t xml:space="preserve">Camphor</t>
  </si>
  <si>
    <t xml:space="preserve">E1</t>
  </si>
  <si>
    <t xml:space="preserve">E2</t>
  </si>
  <si>
    <t xml:space="preserve">E3</t>
  </si>
  <si>
    <t xml:space="preserve">E4</t>
  </si>
  <si>
    <t xml:space="preserve">E5</t>
  </si>
  <si>
    <t xml:space="preserve">Camph:Carvone</t>
  </si>
  <si>
    <t xml:space="preserve">Camph:Carv</t>
  </si>
  <si>
    <t xml:space="preserve">Camph</t>
  </si>
  <si>
    <t xml:space="preserve">Camph:Eugenol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</si>
</sst>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00"/>
    <numFmt numFmtId="166" formatCode="0.0000"/>
    <numFmt numFmtId="167" formatCode="#,##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20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7" tint="0.7999"/>
        <bgColor rgb="FFFFFFFF"/>
      </patternFill>
    </fill>
    <fill>
      <patternFill patternType="solid">
        <fgColor theme="0"/>
        <bgColor rgb="FFFFF2CC"/>
      </patternFill>
    </fill>
    <fill>
      <patternFill patternType="solid">
        <fgColor rgb="FFFFFF00"/>
        <bgColor rgb="FFFFFF00"/>
      </patternFill>
    </fill>
  </fills>
  <borders count="25">
    <border diagonalUp="false" diagonalDown="false">
      <left/>
      <right/>
      <top/>
      <bottom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false"/>
  </sheetPr>
  <dimension ref="A1:A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K28" activeCellId="0" sqref="K28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4" min="4" style="1" width="8.34"/>
    <col collapsed="false" customWidth="true" hidden="false" outlineLevel="0" max="5" min="5" style="1" width="10.53"/>
    <col collapsed="false" customWidth="true" hidden="false" outlineLevel="0" max="6" min="6" style="1" width="13.6"/>
    <col collapsed="false" customWidth="true" hidden="false" outlineLevel="0" max="7" min="7" style="2" width="10.66"/>
    <col collapsed="false" customWidth="true" hidden="false" outlineLevel="0" max="8" min="8" style="1" width="12.73"/>
    <col collapsed="false" customWidth="true" hidden="false" outlineLevel="0" max="13" min="12" style="1" width="10.47"/>
    <col collapsed="false" customWidth="true" hidden="false" outlineLevel="0" max="14" min="14" style="1" width="12.61"/>
    <col collapsed="false" customWidth="true" hidden="false" outlineLevel="0" max="16" min="15" style="1" width="11.12"/>
    <col collapsed="false" customWidth="true" hidden="false" outlineLevel="0" max="17" min="17" style="1" width="13.67"/>
    <col collapsed="false" customWidth="true" hidden="false" outlineLevel="0" max="19" min="18" style="1" width="11.12"/>
    <col collapsed="false" customWidth="true" hidden="false" outlineLevel="0" max="20" min="20" style="1" width="13.67"/>
    <col collapsed="false" customWidth="true" hidden="false" outlineLevel="0" max="22" min="21" style="1" width="9.53"/>
    <col collapsed="false" customWidth="true" hidden="false" outlineLevel="0" max="28" min="28" style="1" width="5.33"/>
  </cols>
  <sheetData>
    <row r="1" customFormat="false" ht="26.25" hidden="false" customHeight="true" outlineLevel="0" collapsed="false">
      <c r="F1" s="3" t="s">
        <v>0</v>
      </c>
      <c r="G1" s="3" t="s">
        <v>1</v>
      </c>
    </row>
    <row r="2" customFormat="false" ht="14.25" hidden="false" customHeight="true" outlineLevel="0" collapsed="false">
      <c r="E2" s="1" t="s">
        <v>2</v>
      </c>
      <c r="F2" s="1" t="n">
        <v>154.574631</v>
      </c>
      <c r="G2" s="2" t="n">
        <v>155.54848</v>
      </c>
      <c r="H2" s="4" t="n">
        <v>139.868341</v>
      </c>
    </row>
    <row r="3" customFormat="false" ht="14.25" hidden="false" customHeight="true" outlineLevel="0" collapsed="false">
      <c r="E3" s="1" t="s">
        <v>3</v>
      </c>
      <c r="F3" s="1" t="n">
        <v>1.05174512</v>
      </c>
      <c r="G3" s="2" t="n">
        <v>1.046301</v>
      </c>
      <c r="H3" s="1" t="n">
        <v>1.06554432</v>
      </c>
      <c r="M3" s="1" t="s">
        <v>4</v>
      </c>
      <c r="N3" s="1" t="s">
        <v>5</v>
      </c>
      <c r="O3" s="5" t="s">
        <v>6</v>
      </c>
      <c r="P3" s="5"/>
      <c r="Q3" s="5"/>
      <c r="R3" s="6" t="s">
        <v>7</v>
      </c>
      <c r="S3" s="6"/>
      <c r="T3" s="6"/>
      <c r="U3" s="7" t="s">
        <v>8</v>
      </c>
      <c r="V3" s="7"/>
    </row>
    <row r="4" customFormat="false" ht="14.25" hidden="false" customHeight="true" outlineLevel="0" collapsed="false">
      <c r="A4" s="8" t="s">
        <v>9</v>
      </c>
      <c r="B4" s="8" t="s">
        <v>10</v>
      </c>
      <c r="C4" s="8" t="s">
        <v>11</v>
      </c>
      <c r="D4" s="8" t="s">
        <v>12</v>
      </c>
      <c r="E4" s="8" t="s">
        <v>13</v>
      </c>
      <c r="F4" s="8" t="s">
        <v>14</v>
      </c>
      <c r="G4" s="8" t="s">
        <v>15</v>
      </c>
      <c r="H4" s="8" t="s">
        <v>16</v>
      </c>
      <c r="I4" s="9" t="s">
        <v>17</v>
      </c>
      <c r="J4" s="9" t="s">
        <v>18</v>
      </c>
      <c r="K4" s="9" t="s">
        <v>19</v>
      </c>
      <c r="L4" s="9" t="s">
        <v>20</v>
      </c>
      <c r="M4" s="10" t="s">
        <v>21</v>
      </c>
      <c r="N4" s="11" t="s">
        <v>22</v>
      </c>
      <c r="O4" s="12" t="s">
        <v>23</v>
      </c>
      <c r="P4" s="13" t="s">
        <v>24</v>
      </c>
      <c r="Q4" s="14" t="s">
        <v>25</v>
      </c>
      <c r="R4" s="12" t="s">
        <v>23</v>
      </c>
      <c r="S4" s="13" t="s">
        <v>24</v>
      </c>
      <c r="T4" s="14" t="s">
        <v>25</v>
      </c>
      <c r="U4" s="15" t="n">
        <v>1</v>
      </c>
      <c r="V4" s="15" t="n">
        <v>2</v>
      </c>
      <c r="W4" s="16" t="s">
        <v>26</v>
      </c>
      <c r="X4" s="15" t="s">
        <v>27</v>
      </c>
      <c r="Y4" s="15" t="s">
        <v>28</v>
      </c>
      <c r="Z4" s="17" t="s">
        <v>29</v>
      </c>
      <c r="AA4" s="2"/>
      <c r="AB4" s="2"/>
      <c r="AC4" s="8" t="s">
        <v>30</v>
      </c>
      <c r="AD4" s="8" t="s">
        <v>26</v>
      </c>
      <c r="AE4" s="8" t="s">
        <v>4</v>
      </c>
      <c r="AF4" s="8" t="s">
        <v>5</v>
      </c>
      <c r="AG4" s="8" t="s">
        <v>29</v>
      </c>
    </row>
    <row r="5" customFormat="false" ht="14.25" hidden="false" customHeight="true" outlineLevel="0" collapsed="false">
      <c r="A5" s="18" t="s">
        <v>31</v>
      </c>
      <c r="B5" s="19" t="s">
        <v>32</v>
      </c>
      <c r="C5" s="20" t="n">
        <v>1</v>
      </c>
      <c r="D5" s="21" t="n">
        <v>2.7385</v>
      </c>
      <c r="E5" s="19" t="n">
        <v>300</v>
      </c>
      <c r="F5" s="20" t="n">
        <v>2.9211</v>
      </c>
      <c r="G5" s="19" t="n">
        <f aca="false">1000-E5</f>
        <v>700</v>
      </c>
      <c r="H5" s="20" t="n">
        <v>3.4876</v>
      </c>
      <c r="I5" s="22" t="n">
        <f aca="false">F5-D5</f>
        <v>0.1826</v>
      </c>
      <c r="J5" s="22" t="n">
        <f aca="false">H5-F5</f>
        <v>0.5665</v>
      </c>
      <c r="K5" s="22" t="n">
        <f aca="false">J5+I5</f>
        <v>0.7491</v>
      </c>
      <c r="L5" s="23" t="n">
        <v>143.7888</v>
      </c>
      <c r="M5" s="23" t="n">
        <v>1825.2707</v>
      </c>
      <c r="N5" s="23" t="n">
        <v>1726.4384</v>
      </c>
      <c r="O5" s="24" t="n">
        <f aca="false">(L5/$F$2)^(1/$F$3)</f>
        <v>0.93353874253343</v>
      </c>
      <c r="P5" s="24" t="n">
        <f aca="false">(M5/$G$2)^(1/$G$3)</f>
        <v>10.5229040374223</v>
      </c>
      <c r="Q5" s="24" t="n">
        <f aca="false">(N5/$H$2)^(1/$H$3)</f>
        <v>10.57535482243</v>
      </c>
      <c r="R5" s="25" t="n">
        <f aca="false">O5*$K5/$I5</f>
        <v>3.82975833533293</v>
      </c>
      <c r="S5" s="25" t="n">
        <f aca="false">P5*$K5/$I5</f>
        <v>43.1692629487025</v>
      </c>
      <c r="T5" s="26" t="n">
        <f aca="false">Q5*$K5/$I5</f>
        <v>43.3844375546678</v>
      </c>
      <c r="U5" s="27" t="n">
        <v>1.9303</v>
      </c>
      <c r="V5" s="27"/>
      <c r="W5" s="28" t="n">
        <f aca="false">AVERAGE(R5:R6)/100</f>
        <v>0.0388367967251444</v>
      </c>
      <c r="X5" s="27" t="n">
        <f aca="false">AVERAGE(S5:S6)/100</f>
        <v>0.437225184224645</v>
      </c>
      <c r="Y5" s="27" t="n">
        <f aca="false">AVERAGE(T5:T6)/100</f>
        <v>0.439305838971171</v>
      </c>
      <c r="Z5" s="29" t="n">
        <f aca="false">AVERAGE(U5:V6)/100</f>
        <v>0.0194915</v>
      </c>
      <c r="AA5" s="2" t="n">
        <f aca="false">SUM(W5:Z5)</f>
        <v>0.93485931992096</v>
      </c>
      <c r="AB5" s="2"/>
      <c r="AC5" s="30" t="n">
        <v>1</v>
      </c>
      <c r="AD5" s="31" t="n">
        <v>0.0416005549605888</v>
      </c>
      <c r="AE5" s="31" t="n">
        <v>0.468339611920537</v>
      </c>
      <c r="AF5" s="31" t="n">
        <v>0.470568333118875</v>
      </c>
      <c r="AG5" s="31" t="n">
        <v>0.0194915</v>
      </c>
    </row>
    <row r="6" customFormat="false" ht="14.25" hidden="false" customHeight="true" outlineLevel="0" collapsed="false">
      <c r="A6" s="18"/>
      <c r="B6" s="20" t="s">
        <v>32</v>
      </c>
      <c r="C6" s="20" t="n">
        <v>2</v>
      </c>
      <c r="D6" s="20" t="n">
        <v>2.7637</v>
      </c>
      <c r="E6" s="20" t="n">
        <v>300</v>
      </c>
      <c r="F6" s="20" t="n">
        <v>2.9548</v>
      </c>
      <c r="G6" s="19" t="n">
        <f aca="false">1000-E6</f>
        <v>700</v>
      </c>
      <c r="H6" s="20" t="n">
        <v>3.5091</v>
      </c>
      <c r="I6" s="22" t="n">
        <f aca="false">F6-D6</f>
        <v>0.1911</v>
      </c>
      <c r="J6" s="22" t="n">
        <f aca="false">H6-F6</f>
        <v>0.5543</v>
      </c>
      <c r="K6" s="22" t="n">
        <f aca="false">J6+I6</f>
        <v>0.7454</v>
      </c>
      <c r="L6" s="23" t="n">
        <v>156.1182</v>
      </c>
      <c r="M6" s="23" t="n">
        <v>1975.8434</v>
      </c>
      <c r="N6" s="23" t="n">
        <v>1870.7002</v>
      </c>
      <c r="O6" s="24" t="n">
        <f aca="false">(L6/$F$2)^(1/$F$3)</f>
        <v>1.00949228998242</v>
      </c>
      <c r="P6" s="24" t="n">
        <f aca="false">(M6/$G$2)^(1/$G$3)</f>
        <v>11.3510871901917</v>
      </c>
      <c r="Q6" s="24" t="n">
        <f aca="false">(N6/$H$2)^(1/$H$3)</f>
        <v>11.4026068537445</v>
      </c>
      <c r="R6" s="25" t="n">
        <f aca="false">O6*$K6/$I6</f>
        <v>3.93760100969595</v>
      </c>
      <c r="S6" s="25" t="n">
        <f aca="false">P6*$K6/$I6</f>
        <v>44.2757738962264</v>
      </c>
      <c r="T6" s="26" t="n">
        <f aca="false">Q6*$K6/$I6</f>
        <v>44.4767302395664</v>
      </c>
      <c r="U6" s="27" t="n">
        <v>1.968</v>
      </c>
      <c r="V6" s="27"/>
      <c r="W6" s="32"/>
      <c r="X6" s="2"/>
      <c r="Y6" s="2"/>
      <c r="Z6" s="33"/>
      <c r="AA6" s="2"/>
      <c r="AB6" s="2"/>
      <c r="AC6" s="30"/>
      <c r="AD6" s="31" t="n">
        <f aca="false">W7/$AA7</f>
        <v>0.00126790536818949</v>
      </c>
      <c r="AE6" s="31" t="n">
        <f aca="false">X7/$AA7</f>
        <v>0.000651971535977927</v>
      </c>
      <c r="AF6" s="31" t="n">
        <f aca="false">Y7/$AA7</f>
        <v>0.00076189343968978</v>
      </c>
      <c r="AG6" s="31" t="n">
        <f aca="false">Z7/$AA7</f>
        <v>0.997318229656143</v>
      </c>
    </row>
    <row r="7" customFormat="false" ht="14.25" hidden="false" customHeight="true" outlineLevel="0" collapsed="false">
      <c r="A7" s="18"/>
      <c r="B7" s="34" t="s">
        <v>33</v>
      </c>
      <c r="C7" s="34" t="n">
        <v>3</v>
      </c>
      <c r="D7" s="34" t="n">
        <v>2.7229</v>
      </c>
      <c r="E7" s="34" t="n">
        <v>100</v>
      </c>
      <c r="F7" s="34" t="n">
        <v>2.924</v>
      </c>
      <c r="G7" s="30" t="n">
        <f aca="false">1000-E7</f>
        <v>900</v>
      </c>
      <c r="H7" s="34" t="n">
        <v>3.4906</v>
      </c>
      <c r="I7" s="35" t="n">
        <f aca="false">F7-D7</f>
        <v>0.2011</v>
      </c>
      <c r="J7" s="35" t="n">
        <f aca="false">H7-F7</f>
        <v>0.5666</v>
      </c>
      <c r="K7" s="35" t="n">
        <f aca="false">J7+I7</f>
        <v>0.7677</v>
      </c>
      <c r="L7" s="36" t="n">
        <v>4.1589</v>
      </c>
      <c r="M7" s="1" t="n">
        <v>1.0102</v>
      </c>
      <c r="N7" s="1" t="n">
        <v>1.0892</v>
      </c>
      <c r="O7" s="37" t="n">
        <f aca="false">(L7/$F$2)^(1/$F$3)</f>
        <v>0.0321433408909263</v>
      </c>
      <c r="P7" s="37" t="n">
        <f aca="false">(M7/$G$2)^(1/$G$3)</f>
        <v>0.00811598407714054</v>
      </c>
      <c r="Q7" s="37" t="n">
        <f aca="false">(N7/$H$2)^(1/$H$3)</f>
        <v>0.0104977020258997</v>
      </c>
      <c r="R7" s="38" t="n">
        <f aca="false">O7*$K7/$I7</f>
        <v>0.12270732372931</v>
      </c>
      <c r="S7" s="38" t="n">
        <f aca="false">P7*$K7/$I7</f>
        <v>0.0309827994829478</v>
      </c>
      <c r="T7" s="39" t="n">
        <f aca="false">Q7*$K7/$I7</f>
        <v>0.0400750166349241</v>
      </c>
      <c r="U7" s="2" t="n">
        <v>97.9104</v>
      </c>
      <c r="V7" s="2"/>
      <c r="W7" s="32" t="n">
        <f aca="false">AVERAGE(R7:R8)/100</f>
        <v>0.0012452928365592</v>
      </c>
      <c r="X7" s="2" t="n">
        <f aca="false">AVERAGE(S7:S8)/100</f>
        <v>0.000640343911906584</v>
      </c>
      <c r="Y7" s="2" t="n">
        <f aca="false">AVERAGE(T7:T8)/100</f>
        <v>0.000748305407068313</v>
      </c>
      <c r="Z7" s="33" t="n">
        <f aca="false">AVERAGE(U7:V8)/100</f>
        <v>0.9795315</v>
      </c>
      <c r="AA7" s="2" t="n">
        <f aca="false">SUM(W7:Z7)</f>
        <v>0.982165442155534</v>
      </c>
      <c r="AB7" s="2"/>
      <c r="AC7" s="30" t="n">
        <v>2</v>
      </c>
      <c r="AD7" s="31" t="n">
        <v>0.00131439593254686</v>
      </c>
      <c r="AE7" s="31" t="n">
        <v>0.000331876406245623</v>
      </c>
      <c r="AF7" s="31" t="n">
        <v>0.000429268908006592</v>
      </c>
      <c r="AG7" s="31" t="n">
        <v>0.997924458753201</v>
      </c>
    </row>
    <row r="8" customFormat="false" ht="14.25" hidden="false" customHeight="true" outlineLevel="0" collapsed="false">
      <c r="A8" s="18"/>
      <c r="B8" s="34" t="s">
        <v>33</v>
      </c>
      <c r="C8" s="34" t="n">
        <v>4</v>
      </c>
      <c r="D8" s="34" t="n">
        <v>2.7988</v>
      </c>
      <c r="E8" s="34" t="n">
        <v>100</v>
      </c>
      <c r="F8" s="34" t="n">
        <v>3.0014</v>
      </c>
      <c r="G8" s="30" t="n">
        <f aca="false">1000-E8</f>
        <v>900</v>
      </c>
      <c r="H8" s="34" t="n">
        <v>3.5781</v>
      </c>
      <c r="I8" s="35" t="n">
        <f aca="false">F8-D8</f>
        <v>0.2026</v>
      </c>
      <c r="J8" s="35" t="n">
        <f aca="false">H8-F8</f>
        <v>0.5767</v>
      </c>
      <c r="K8" s="35" t="n">
        <f aca="false">J8+I8</f>
        <v>0.7793</v>
      </c>
      <c r="L8" s="36" t="n">
        <v>4.2549</v>
      </c>
      <c r="M8" s="36" t="n">
        <v>3.3111</v>
      </c>
      <c r="N8" s="1" t="n">
        <v>3.1559</v>
      </c>
      <c r="O8" s="37" t="n">
        <f aca="false">(L8/$F$2)^(1/$F$3)</f>
        <v>0.032848404914437</v>
      </c>
      <c r="P8" s="37" t="n">
        <f aca="false">(M8/$G$2)^(1/$G$3)</f>
        <v>0.0252401130953542</v>
      </c>
      <c r="Q8" s="37" t="n">
        <f aca="false">(N8/$H$2)^(1/$H$3)</f>
        <v>0.0284898456617123</v>
      </c>
      <c r="R8" s="38" t="n">
        <f aca="false">O8*$K8/$I8</f>
        <v>0.126351243582531</v>
      </c>
      <c r="S8" s="38" t="n">
        <f aca="false">P8*$K8/$I8</f>
        <v>0.097085982898369</v>
      </c>
      <c r="T8" s="39" t="n">
        <f aca="false">Q8*$K8/$I8</f>
        <v>0.109586064778739</v>
      </c>
      <c r="U8" s="2" t="n">
        <v>97.9959</v>
      </c>
      <c r="V8" s="2"/>
      <c r="W8" s="32"/>
      <c r="X8" s="2"/>
      <c r="Y8" s="2"/>
      <c r="Z8" s="33"/>
      <c r="AA8" s="2"/>
      <c r="AB8" s="2"/>
      <c r="AC8" s="30"/>
      <c r="AD8" s="31" t="n">
        <f aca="false">W11/$AA11</f>
        <v>0.861496673499354</v>
      </c>
      <c r="AE8" s="31" t="n">
        <f aca="false">X11/$AA11</f>
        <v>0.0232405720730087</v>
      </c>
      <c r="AF8" s="31" t="n">
        <f aca="false">Y11/$AA11</f>
        <v>0.0242868426774779</v>
      </c>
      <c r="AG8" s="31" t="n">
        <f aca="false">Z11/$AA11</f>
        <v>0.0909759117501596</v>
      </c>
    </row>
    <row r="9" customFormat="false" ht="14.25" hidden="false" customHeight="true" outlineLevel="0" collapsed="false">
      <c r="A9" s="18" t="s">
        <v>34</v>
      </c>
      <c r="B9" s="19" t="s">
        <v>32</v>
      </c>
      <c r="C9" s="20" t="n">
        <v>5</v>
      </c>
      <c r="D9" s="19" t="n">
        <v>2.8045</v>
      </c>
      <c r="E9" s="19" t="n">
        <v>300</v>
      </c>
      <c r="F9" s="20" t="n">
        <v>3.0039</v>
      </c>
      <c r="G9" s="19" t="n">
        <f aca="false">1000-E9</f>
        <v>700</v>
      </c>
      <c r="H9" s="20" t="n">
        <v>3.5604</v>
      </c>
      <c r="I9" s="22" t="n">
        <f aca="false">F9-D9</f>
        <v>0.1994</v>
      </c>
      <c r="J9" s="22" t="n">
        <f aca="false">H9-F9</f>
        <v>0.5565</v>
      </c>
      <c r="K9" s="22" t="n">
        <f aca="false">J9+I9</f>
        <v>0.7559</v>
      </c>
      <c r="L9" s="23" t="n">
        <v>89.7368</v>
      </c>
      <c r="M9" s="23" t="n">
        <v>0.0573</v>
      </c>
      <c r="N9" s="23" t="n">
        <v>0.0966</v>
      </c>
      <c r="O9" s="24" t="n">
        <f aca="false">(L9/$F$2)^(1/$F$3)</f>
        <v>0.596281920970589</v>
      </c>
      <c r="P9" s="24" t="n">
        <f aca="false">(M9/$G$2)^(1/$G$3)</f>
        <v>0.000522682218105157</v>
      </c>
      <c r="Q9" s="24" t="n">
        <f aca="false">(N9/$H$2)^(1/$H$3)</f>
        <v>0.00108064472410342</v>
      </c>
      <c r="R9" s="25" t="n">
        <f aca="false">O9*$K9/$I9</f>
        <v>2.26042880672853</v>
      </c>
      <c r="S9" s="25" t="n">
        <f aca="false">P9*$K9/$I9</f>
        <v>0.0019814217084538</v>
      </c>
      <c r="T9" s="26" t="n">
        <f aca="false">Q9*$K9/$I9</f>
        <v>0.00409658649423157</v>
      </c>
      <c r="U9" s="27" t="n">
        <v>98.9515</v>
      </c>
      <c r="V9" s="27"/>
      <c r="W9" s="28" t="n">
        <f aca="false">AVERAGE(R9:R10)/100</f>
        <v>0.022429496434778</v>
      </c>
      <c r="X9" s="27" t="n">
        <f aca="false">AVERAGE(S9:S10)/100</f>
        <v>2.41651253614074E-005</v>
      </c>
      <c r="Y9" s="27" t="n">
        <f aca="false">AVERAGE(T9:T10)/100</f>
        <v>4.63156550236011E-005</v>
      </c>
      <c r="Z9" s="29" t="n">
        <f aca="false">AVERAGE(U9:V10)/100</f>
        <v>0.9848105</v>
      </c>
      <c r="AA9" s="2" t="n">
        <f aca="false">SUM(W9:Z9)</f>
        <v>1.00731047721516</v>
      </c>
      <c r="AB9" s="2"/>
      <c r="AC9" s="30" t="n">
        <v>3</v>
      </c>
      <c r="AD9" s="31" t="n">
        <v>0.0242128859067119</v>
      </c>
      <c r="AE9" s="31" t="n">
        <v>2.1224264005602E-005</v>
      </c>
      <c r="AF9" s="31" t="n">
        <v>4.38811348964189E-005</v>
      </c>
      <c r="AG9" s="31" t="n">
        <v>0.975722008694386</v>
      </c>
    </row>
    <row r="10" customFormat="false" ht="14.25" hidden="false" customHeight="true" outlineLevel="0" collapsed="false">
      <c r="A10" s="18"/>
      <c r="B10" s="20" t="s">
        <v>32</v>
      </c>
      <c r="C10" s="20" t="n">
        <v>6</v>
      </c>
      <c r="D10" s="20" t="n">
        <v>2.766</v>
      </c>
      <c r="E10" s="20" t="n">
        <v>300</v>
      </c>
      <c r="F10" s="20" t="n">
        <v>2.972</v>
      </c>
      <c r="G10" s="19" t="n">
        <f aca="false">1000-E10</f>
        <v>700</v>
      </c>
      <c r="H10" s="20" t="n">
        <v>3.5387</v>
      </c>
      <c r="I10" s="22" t="n">
        <f aca="false">F10-D10</f>
        <v>0.206</v>
      </c>
      <c r="J10" s="22" t="n">
        <f aca="false">H10-F10</f>
        <v>0.5667</v>
      </c>
      <c r="K10" s="22" t="n">
        <f aca="false">J10+I10</f>
        <v>0.7727</v>
      </c>
      <c r="L10" s="23" t="n">
        <v>89.2657</v>
      </c>
      <c r="M10" s="23" t="n">
        <v>0.0848</v>
      </c>
      <c r="N10" s="23" t="n">
        <v>0.1251</v>
      </c>
      <c r="O10" s="24" t="n">
        <f aca="false">(L10/$F$2)^(1/$F$3)</f>
        <v>0.593305188205999</v>
      </c>
      <c r="P10" s="24" t="n">
        <f aca="false">(M10/$G$2)^(1/$G$3)</f>
        <v>0.000760230740194773</v>
      </c>
      <c r="Q10" s="24" t="n">
        <f aca="false">(N10/$H$2)^(1/$H$3)</f>
        <v>0.00137738859733488</v>
      </c>
      <c r="R10" s="25" t="n">
        <f aca="false">O10*$K10/$I10</f>
        <v>2.22547048022707</v>
      </c>
      <c r="S10" s="25" t="n">
        <f aca="false">P10*$K10/$I10</f>
        <v>0.00285160336382767</v>
      </c>
      <c r="T10" s="26" t="n">
        <f aca="false">Q10*$K10/$I10</f>
        <v>0.00516654451048865</v>
      </c>
      <c r="U10" s="27" t="n">
        <v>98.0106</v>
      </c>
      <c r="V10" s="27"/>
      <c r="W10" s="32"/>
      <c r="X10" s="2"/>
      <c r="Y10" s="2"/>
      <c r="Z10" s="33"/>
      <c r="AA10" s="2"/>
      <c r="AB10" s="2"/>
      <c r="AC10" s="30"/>
      <c r="AD10" s="31" t="n">
        <f aca="false">W15/$AA15</f>
        <v>0.0134022231763033</v>
      </c>
      <c r="AE10" s="31" t="n">
        <f aca="false">X15/$AA15</f>
        <v>0.000144783302783293</v>
      </c>
      <c r="AF10" s="31" t="n">
        <f aca="false">Y15/$AA15</f>
        <v>0.000277340987718069</v>
      </c>
      <c r="AG10" s="31" t="n">
        <f aca="false">Z15/$AA15</f>
        <v>0.986175652533195</v>
      </c>
    </row>
    <row r="11" customFormat="false" ht="14.25" hidden="false" customHeight="true" outlineLevel="0" collapsed="false">
      <c r="A11" s="18"/>
      <c r="B11" s="34" t="s">
        <v>33</v>
      </c>
      <c r="C11" s="34" t="n">
        <v>7</v>
      </c>
      <c r="D11" s="34" t="n">
        <v>2.794</v>
      </c>
      <c r="E11" s="34" t="n">
        <v>100</v>
      </c>
      <c r="F11" s="34" t="n">
        <v>2.9914</v>
      </c>
      <c r="G11" s="30" t="n">
        <f aca="false">1000-E11</f>
        <v>900</v>
      </c>
      <c r="H11" s="34" t="n">
        <v>3.5716</v>
      </c>
      <c r="I11" s="35" t="n">
        <f aca="false">F11-D11</f>
        <v>0.1974</v>
      </c>
      <c r="J11" s="35" t="n">
        <f aca="false">H11-F11</f>
        <v>0.5802</v>
      </c>
      <c r="K11" s="35" t="n">
        <f aca="false">J11+I11</f>
        <v>0.7776</v>
      </c>
      <c r="L11" s="40" t="n">
        <v>3665.0895</v>
      </c>
      <c r="M11" s="1" t="n">
        <v>82.897</v>
      </c>
      <c r="N11" s="36" t="n">
        <v>77.3413</v>
      </c>
      <c r="O11" s="37" t="n">
        <f aca="false">(L11/$F$2)^(1/$F$3)</f>
        <v>20.2908374640603</v>
      </c>
      <c r="P11" s="37" t="n">
        <f aca="false">(M11/$G$2)^(1/$G$3)</f>
        <v>0.547984569988561</v>
      </c>
      <c r="Q11" s="37" t="n">
        <f aca="false">(N11/$H$2)^(1/$H$3)</f>
        <v>0.573481887142643</v>
      </c>
      <c r="R11" s="38" t="n">
        <f aca="false">O11*$K11/$I11</f>
        <v>79.929864296116</v>
      </c>
      <c r="S11" s="38" t="n">
        <f aca="false">P11*$K11/$I11</f>
        <v>2.15862614804004</v>
      </c>
      <c r="T11" s="39" t="n">
        <f aca="false">Q11*$K11/$I11</f>
        <v>2.25906542777163</v>
      </c>
      <c r="U11" s="2" t="n">
        <v>8.5693</v>
      </c>
      <c r="V11" s="2" t="n">
        <v>8.5126</v>
      </c>
      <c r="W11" s="32" t="n">
        <f aca="false">AVERAGE(R11:R12)/100</f>
        <v>0.808133703012013</v>
      </c>
      <c r="X11" s="2" t="n">
        <f aca="false">AVERAGE(S11:S12)/100</f>
        <v>0.0218010006854568</v>
      </c>
      <c r="Y11" s="2" t="n">
        <f aca="false">AVERAGE(T11:T12)/100</f>
        <v>0.0227824630218205</v>
      </c>
      <c r="Z11" s="33" t="n">
        <f aca="false">AVERAGE(U11:V12)/100</f>
        <v>0.0853406666666667</v>
      </c>
      <c r="AA11" s="2" t="n">
        <f aca="false">SUM(W11:Z11)</f>
        <v>0.938057833385957</v>
      </c>
      <c r="AB11" s="2"/>
      <c r="AC11" s="30" t="n">
        <v>4</v>
      </c>
      <c r="AD11" s="31" t="n">
        <v>0.866837285433114</v>
      </c>
      <c r="AE11" s="31" t="n">
        <v>0.0233846456142987</v>
      </c>
      <c r="AF11" s="31" t="n">
        <v>0.0244374022859205</v>
      </c>
      <c r="AG11" s="31" t="n">
        <v>0.0853406666666667</v>
      </c>
    </row>
    <row r="12" customFormat="false" ht="14.25" hidden="false" customHeight="true" outlineLevel="0" collapsed="false">
      <c r="A12" s="18"/>
      <c r="B12" s="34" t="s">
        <v>33</v>
      </c>
      <c r="C12" s="34" t="n">
        <v>8</v>
      </c>
      <c r="D12" s="34" t="n">
        <v>2.738</v>
      </c>
      <c r="E12" s="34" t="n">
        <v>100</v>
      </c>
      <c r="F12" s="34" t="n">
        <v>2.949</v>
      </c>
      <c r="G12" s="30" t="n">
        <f aca="false">1000-E12</f>
        <v>900</v>
      </c>
      <c r="H12" s="34" t="n">
        <v>3.5288</v>
      </c>
      <c r="I12" s="35" t="n">
        <f aca="false">F12-D12</f>
        <v>0.211</v>
      </c>
      <c r="J12" s="35" t="n">
        <f aca="false">H12-F12</f>
        <v>0.5798</v>
      </c>
      <c r="K12" s="35" t="n">
        <f aca="false">J12+I12</f>
        <v>0.7908</v>
      </c>
      <c r="L12" s="36" t="n">
        <v>3951.9936</v>
      </c>
      <c r="M12" s="1" t="n">
        <v>89.1491</v>
      </c>
      <c r="N12" s="36" t="n">
        <v>83.0321</v>
      </c>
      <c r="O12" s="37" t="n">
        <f aca="false">(L12/$F$2)^(1/$F$3)</f>
        <v>21.7982307797502</v>
      </c>
      <c r="P12" s="37" t="n">
        <f aca="false">(M12/$G$2)^(1/$G$3)</f>
        <v>0.587420475075652</v>
      </c>
      <c r="Q12" s="37" t="n">
        <f aca="false">(N12/$H$2)^(1/$H$3)</f>
        <v>0.612995870335117</v>
      </c>
      <c r="R12" s="38" t="n">
        <f aca="false">O12*$K12/$I12</f>
        <v>81.6968763062865</v>
      </c>
      <c r="S12" s="38" t="n">
        <f aca="false">P12*$K12/$I12</f>
        <v>2.20157398905131</v>
      </c>
      <c r="T12" s="39" t="n">
        <f aca="false">Q12*$K12/$I12</f>
        <v>2.29742717659247</v>
      </c>
      <c r="U12" s="2"/>
      <c r="V12" s="2" t="n">
        <v>8.5203</v>
      </c>
      <c r="W12" s="32"/>
      <c r="X12" s="2"/>
      <c r="Y12" s="2"/>
      <c r="Z12" s="33"/>
      <c r="AA12" s="2"/>
      <c r="AB12" s="2"/>
      <c r="AC12" s="30"/>
      <c r="AD12" s="31" t="n">
        <f aca="false">W19/$AA19</f>
        <v>0.00803597300954261</v>
      </c>
      <c r="AE12" s="31" t="n">
        <f aca="false">X19/$AA19</f>
        <v>0.000740924878946511</v>
      </c>
      <c r="AF12" s="31" t="n">
        <f aca="false">Y19/$AA19</f>
        <v>0.000905924409562502</v>
      </c>
      <c r="AG12" s="31" t="n">
        <f aca="false">Z19/$AA19</f>
        <v>0.990317177701948</v>
      </c>
    </row>
    <row r="13" customFormat="false" ht="14.25" hidden="false" customHeight="true" outlineLevel="0" collapsed="false">
      <c r="A13" s="18" t="s">
        <v>35</v>
      </c>
      <c r="B13" s="19" t="s">
        <v>32</v>
      </c>
      <c r="C13" s="20" t="n">
        <v>9</v>
      </c>
      <c r="D13" s="19" t="n">
        <v>2.7535</v>
      </c>
      <c r="E13" s="19" t="n">
        <v>300</v>
      </c>
      <c r="F13" s="20" t="n">
        <v>2.946</v>
      </c>
      <c r="G13" s="19" t="n">
        <f aca="false">1000-E13</f>
        <v>700</v>
      </c>
      <c r="H13" s="20" t="n">
        <v>3.5107</v>
      </c>
      <c r="I13" s="22" t="n">
        <f aca="false">F13-D13</f>
        <v>0.1925</v>
      </c>
      <c r="J13" s="22" t="n">
        <f aca="false">H13-F13</f>
        <v>0.5647</v>
      </c>
      <c r="K13" s="22" t="n">
        <f aca="false">J13+I13</f>
        <v>0.7572</v>
      </c>
      <c r="L13" s="23" t="n">
        <v>2051.7156</v>
      </c>
      <c r="M13" s="23" t="n">
        <v>956.2822</v>
      </c>
      <c r="N13" s="23" t="n">
        <v>906.9137</v>
      </c>
      <c r="O13" s="24" t="n">
        <f aca="false">(L13/$F$2)^(1/$F$3)</f>
        <v>11.6877030308204</v>
      </c>
      <c r="P13" s="24" t="n">
        <f aca="false">(M13/$G$2)^(1/$G$3)</f>
        <v>5.67306530877131</v>
      </c>
      <c r="Q13" s="24" t="n">
        <f aca="false">(N13/$H$2)^(1/$H$3)</f>
        <v>5.77973344269852</v>
      </c>
      <c r="R13" s="25" t="n">
        <f aca="false">O13*$K13/$I13</f>
        <v>45.9736557659074</v>
      </c>
      <c r="S13" s="25" t="n">
        <f aca="false">P13*$K13/$I13</f>
        <v>22.3150392301383</v>
      </c>
      <c r="T13" s="26" t="n">
        <f aca="false">Q13*$K13/$I13</f>
        <v>22.7346190275912</v>
      </c>
      <c r="U13" s="27" t="n">
        <v>4.0063</v>
      </c>
      <c r="V13" s="27"/>
      <c r="W13" s="28" t="n">
        <f aca="false">AVERAGE(R13:R14)/100</f>
        <v>0.460384567450759</v>
      </c>
      <c r="X13" s="27" t="n">
        <f aca="false">AVERAGE(S13:S14)/100</f>
        <v>0.223290844227201</v>
      </c>
      <c r="Y13" s="27" t="n">
        <f aca="false">AVERAGE(T13:T14)/100</f>
        <v>0.227178211822202</v>
      </c>
      <c r="Z13" s="29" t="n">
        <f aca="false">AVERAGE(U13:V14)/100</f>
        <v>0.0402765</v>
      </c>
      <c r="AA13" s="2" t="n">
        <f aca="false">SUM(W13:Z13)</f>
        <v>0.951130123500162</v>
      </c>
      <c r="AB13" s="2"/>
      <c r="AC13" s="30" t="n">
        <v>5</v>
      </c>
      <c r="AD13" s="31" t="n">
        <v>0.485085503334719</v>
      </c>
      <c r="AE13" s="31" t="n">
        <v>0.23527103039476</v>
      </c>
      <c r="AF13" s="31" t="n">
        <v>0.239366966270521</v>
      </c>
      <c r="AG13" s="31" t="n">
        <v>0.0402765</v>
      </c>
    </row>
    <row r="14" customFormat="false" ht="14.25" hidden="false" customHeight="true" outlineLevel="0" collapsed="false">
      <c r="A14" s="18"/>
      <c r="B14" s="19" t="s">
        <v>32</v>
      </c>
      <c r="C14" s="20" t="n">
        <v>10</v>
      </c>
      <c r="D14" s="20" t="n">
        <v>2.775</v>
      </c>
      <c r="E14" s="20" t="n">
        <v>300</v>
      </c>
      <c r="F14" s="20" t="n">
        <v>2.976</v>
      </c>
      <c r="G14" s="19" t="n">
        <f aca="false">1000-E14</f>
        <v>700</v>
      </c>
      <c r="H14" s="20" t="n">
        <v>3.4966</v>
      </c>
      <c r="I14" s="22" t="n">
        <f aca="false">F14-D14</f>
        <v>0.201</v>
      </c>
      <c r="J14" s="22" t="n">
        <f aca="false">H14-F14</f>
        <v>0.5206</v>
      </c>
      <c r="K14" s="22" t="n">
        <f aca="false">J14+I14</f>
        <v>0.7216</v>
      </c>
      <c r="L14" s="23" t="n">
        <v>2265.3516</v>
      </c>
      <c r="M14" s="23" t="n">
        <v>1053.5965</v>
      </c>
      <c r="N14" s="23" t="n">
        <v>998.0718</v>
      </c>
      <c r="O14" s="24" t="n">
        <f aca="false">(L14/$F$2)^(1/$F$3)</f>
        <v>12.8419551033441</v>
      </c>
      <c r="P14" s="24" t="n">
        <f aca="false">(M14/$G$2)^(1/$G$3)</f>
        <v>6.22362673596959</v>
      </c>
      <c r="Q14" s="24" t="n">
        <f aca="false">(N14/$H$2)^(1/$H$3)</f>
        <v>6.3233171988729</v>
      </c>
      <c r="R14" s="25" t="n">
        <f aca="false">O14*$K14/$I14</f>
        <v>46.1032577242443</v>
      </c>
      <c r="S14" s="25" t="n">
        <f aca="false">P14*$K14/$I14</f>
        <v>22.3431296153018</v>
      </c>
      <c r="T14" s="26" t="n">
        <f aca="false">Q14*$K14/$I14</f>
        <v>22.7010233368492</v>
      </c>
      <c r="U14" s="27" t="n">
        <v>4.049</v>
      </c>
      <c r="V14" s="27"/>
      <c r="W14" s="32"/>
      <c r="X14" s="2"/>
      <c r="Y14" s="2"/>
      <c r="Z14" s="33"/>
      <c r="AA14" s="2"/>
      <c r="AB14" s="2"/>
      <c r="AC14" s="30"/>
      <c r="AD14" s="31" t="n">
        <f aca="false">W23/$AA23</f>
        <v>0.708116557937581</v>
      </c>
      <c r="AE14" s="31" t="n">
        <f aca="false">X23/$AA23</f>
        <v>0.107709047768124</v>
      </c>
      <c r="AF14" s="31" t="n">
        <f aca="false">Y23/$AA23</f>
        <v>0.110829411404902</v>
      </c>
      <c r="AG14" s="31" t="n">
        <f aca="false">Z23/$AA23</f>
        <v>0.0733449828893929</v>
      </c>
    </row>
    <row r="15" customFormat="false" ht="14.25" hidden="false" customHeight="true" outlineLevel="0" collapsed="false">
      <c r="A15" s="18"/>
      <c r="B15" s="34" t="s">
        <v>33</v>
      </c>
      <c r="C15" s="34" t="n">
        <v>11</v>
      </c>
      <c r="D15" s="34" t="n">
        <v>2.8117</v>
      </c>
      <c r="E15" s="34" t="n">
        <v>100</v>
      </c>
      <c r="F15" s="34" t="n">
        <v>3.0243</v>
      </c>
      <c r="G15" s="30" t="n">
        <f aca="false">1000-E15</f>
        <v>900</v>
      </c>
      <c r="H15" s="34" t="n">
        <v>3.5274</v>
      </c>
      <c r="I15" s="35" t="n">
        <f aca="false">F15-D15</f>
        <v>0.2126</v>
      </c>
      <c r="J15" s="35" t="n">
        <f aca="false">H15-F15</f>
        <v>0.5031</v>
      </c>
      <c r="K15" s="35" t="n">
        <f aca="false">J15+I15</f>
        <v>0.7157</v>
      </c>
      <c r="L15" s="36" t="n">
        <v>55.0291</v>
      </c>
      <c r="M15" s="36" t="n">
        <v>0.4878</v>
      </c>
      <c r="N15" s="41" t="n">
        <v>0.7858</v>
      </c>
      <c r="O15" s="37" t="n">
        <f aca="false">(L15/$F$2)^(1/$F$3)</f>
        <v>0.374560805047172</v>
      </c>
      <c r="P15" s="37" t="n">
        <f aca="false">(M15/$G$2)^(1/$G$3)</f>
        <v>0.00404731124339593</v>
      </c>
      <c r="Q15" s="37" t="n">
        <f aca="false">(N15/$H$2)^(1/$H$3)</f>
        <v>0.0077271766155872</v>
      </c>
      <c r="R15" s="38" t="n">
        <f aca="false">O15*$K15/$I15</f>
        <v>1.26092741379238</v>
      </c>
      <c r="S15" s="38" t="n">
        <f aca="false">P15*$K15/$I15</f>
        <v>0.0136249325347999</v>
      </c>
      <c r="T15" s="39" t="n">
        <f aca="false">Q15*$K15/$I15</f>
        <v>0.0260128894815416</v>
      </c>
      <c r="U15" s="2" t="n">
        <v>97.5173</v>
      </c>
      <c r="V15" s="2"/>
      <c r="W15" s="32" t="n">
        <f aca="false">AVERAGE(R15:R16)/100</f>
        <v>0.0132888185355668</v>
      </c>
      <c r="X15" s="2" t="n">
        <f aca="false">AVERAGE(S15:S16)/100</f>
        <v>0.000143558200184956</v>
      </c>
      <c r="Y15" s="2" t="n">
        <f aca="false">AVERAGE(T15:T16)/100</f>
        <v>0.00027499423116433</v>
      </c>
      <c r="Z15" s="33" t="n">
        <f aca="false">AVERAGE(U15:V16)/100</f>
        <v>0.977831</v>
      </c>
      <c r="AA15" s="2" t="n">
        <f aca="false">SUM(W15:Z15)</f>
        <v>0.991538370966916</v>
      </c>
      <c r="AB15" s="2"/>
      <c r="AD15" s="0" t="n">
        <v>0.0142344959539936</v>
      </c>
      <c r="AE15" s="0" t="n">
        <v>0.000153774288829822</v>
      </c>
      <c r="AF15" s="0" t="n">
        <v>0.000294563753760617</v>
      </c>
      <c r="AG15" s="0" t="n">
        <v>0.985317166003416</v>
      </c>
    </row>
    <row r="16" customFormat="false" ht="14.25" hidden="false" customHeight="true" outlineLevel="0" collapsed="false">
      <c r="A16" s="18"/>
      <c r="B16" s="34" t="s">
        <v>33</v>
      </c>
      <c r="C16" s="34" t="n">
        <v>12</v>
      </c>
      <c r="D16" s="34" t="n">
        <v>2.8198</v>
      </c>
      <c r="E16" s="34" t="n">
        <v>100</v>
      </c>
      <c r="F16" s="34" t="n">
        <v>3.0125</v>
      </c>
      <c r="G16" s="30" t="n">
        <f aca="false">1000-E16</f>
        <v>900</v>
      </c>
      <c r="H16" s="34" t="n">
        <v>3.5258</v>
      </c>
      <c r="I16" s="35" t="n">
        <f aca="false">F16-D16</f>
        <v>0.1927</v>
      </c>
      <c r="J16" s="35" t="n">
        <f aca="false">H16-F16</f>
        <v>0.5133</v>
      </c>
      <c r="K16" s="35" t="n">
        <f aca="false">J16+I16</f>
        <v>0.706</v>
      </c>
      <c r="L16" s="36" t="n">
        <v>56.0649</v>
      </c>
      <c r="M16" s="36" t="n">
        <v>0.4967</v>
      </c>
      <c r="N16" s="36" t="n">
        <v>0.8058</v>
      </c>
      <c r="O16" s="37" t="n">
        <f aca="false">(L16/$F$2)^(1/$F$3)</f>
        <v>0.381261124253474</v>
      </c>
      <c r="P16" s="37" t="n">
        <f aca="false">(M16/$G$2)^(1/$G$3)</f>
        <v>0.00411785911568307</v>
      </c>
      <c r="Q16" s="37" t="n">
        <f aca="false">(N16/$H$2)^(1/$H$3)</f>
        <v>0.00791160604246488</v>
      </c>
      <c r="R16" s="38" t="n">
        <f aca="false">O16*$K16/$I16</f>
        <v>1.39683629332098</v>
      </c>
      <c r="S16" s="38" t="n">
        <f aca="false">P16*$K16/$I16</f>
        <v>0.0150867075021912</v>
      </c>
      <c r="T16" s="39" t="n">
        <f aca="false">Q16*$K16/$I16</f>
        <v>0.0289859567513243</v>
      </c>
      <c r="U16" s="2" t="n">
        <v>97.0495</v>
      </c>
      <c r="V16" s="2" t="n">
        <v>98.7825</v>
      </c>
      <c r="W16" s="32"/>
      <c r="X16" s="2"/>
      <c r="Y16" s="2"/>
      <c r="Z16" s="33"/>
      <c r="AA16" s="2"/>
      <c r="AB16" s="2"/>
    </row>
    <row r="17" customFormat="false" ht="14.25" hidden="false" customHeight="true" outlineLevel="0" collapsed="false">
      <c r="A17" s="18" t="s">
        <v>36</v>
      </c>
      <c r="B17" s="19" t="s">
        <v>32</v>
      </c>
      <c r="C17" s="20" t="n">
        <v>13</v>
      </c>
      <c r="D17" s="19" t="n">
        <v>2.8007</v>
      </c>
      <c r="E17" s="19" t="n">
        <v>300</v>
      </c>
      <c r="F17" s="20" t="n">
        <v>2.9858</v>
      </c>
      <c r="G17" s="19" t="n">
        <f aca="false">1000-E17</f>
        <v>700</v>
      </c>
      <c r="H17" s="20" t="n">
        <v>3.5551</v>
      </c>
      <c r="I17" s="22" t="n">
        <f aca="false">F17-D17</f>
        <v>0.1851</v>
      </c>
      <c r="J17" s="22" t="n">
        <f aca="false">H17-F17</f>
        <v>0.5693</v>
      </c>
      <c r="K17" s="22" t="n">
        <f aca="false">J17+I17</f>
        <v>0.7544</v>
      </c>
      <c r="L17" s="23" t="n">
        <v>974.4634</v>
      </c>
      <c r="M17" s="23" t="n">
        <v>1408.018</v>
      </c>
      <c r="N17" s="23" t="n">
        <v>1335.317</v>
      </c>
      <c r="O17" s="24" t="n">
        <f aca="false">(L17/$F$2)^(1/$F$3)</f>
        <v>5.7581929348405</v>
      </c>
      <c r="P17" s="24" t="n">
        <f aca="false">(M17/$G$2)^(1/$G$3)</f>
        <v>8.21116139259152</v>
      </c>
      <c r="Q17" s="24" t="n">
        <f aca="false">(N17/$H$2)^(1/$H$3)</f>
        <v>8.30980797991203</v>
      </c>
      <c r="R17" s="25" t="n">
        <f aca="false">O17*$K17/$I17</f>
        <v>23.4682914643094</v>
      </c>
      <c r="S17" s="25" t="n">
        <f aca="false">P17*$K17/$I17</f>
        <v>33.4656950544087</v>
      </c>
      <c r="T17" s="26" t="n">
        <f aca="false">Q17*$K17/$I17</f>
        <v>33.8677425178047</v>
      </c>
      <c r="U17" s="27" t="n">
        <v>2.6416</v>
      </c>
      <c r="V17" s="27"/>
      <c r="W17" s="32" t="n">
        <f aca="false">AVERAGE(R17:R18)/100</f>
        <v>0.235473327844142</v>
      </c>
      <c r="X17" s="2" t="n">
        <f aca="false">AVERAGE(S17:S18)/100</f>
        <v>0.336315476779463</v>
      </c>
      <c r="Y17" s="2" t="n">
        <f aca="false">AVERAGE(T17:T18)/100</f>
        <v>0.339629687581382</v>
      </c>
      <c r="Z17" s="33" t="n">
        <f aca="false">AVERAGE(U17:V18)/100</f>
        <v>0.0266205</v>
      </c>
      <c r="AA17" s="2" t="n">
        <f aca="false">SUM(W17:Z17)</f>
        <v>0.938038992204987</v>
      </c>
      <c r="AB17" s="2"/>
      <c r="AD17" s="0" t="n">
        <v>0.251481522572307</v>
      </c>
      <c r="AE17" s="0" t="n">
        <v>0.359179228235616</v>
      </c>
      <c r="AF17" s="0" t="n">
        <v>0.362718749192077</v>
      </c>
      <c r="AG17" s="0" t="n">
        <v>0.0266205</v>
      </c>
    </row>
    <row r="18" customFormat="false" ht="14.25" hidden="false" customHeight="true" outlineLevel="0" collapsed="false">
      <c r="A18" s="18"/>
      <c r="B18" s="20" t="s">
        <v>32</v>
      </c>
      <c r="C18" s="20" t="n">
        <v>14</v>
      </c>
      <c r="D18" s="20" t="n">
        <v>2.7353</v>
      </c>
      <c r="E18" s="20" t="n">
        <v>300</v>
      </c>
      <c r="F18" s="20" t="n">
        <v>2.9248</v>
      </c>
      <c r="G18" s="19" t="n">
        <f aca="false">1000-E18</f>
        <v>700</v>
      </c>
      <c r="H18" s="20" t="n">
        <v>3.4292</v>
      </c>
      <c r="I18" s="22" t="n">
        <f aca="false">F18-D18</f>
        <v>0.1895</v>
      </c>
      <c r="J18" s="22" t="n">
        <f aca="false">H18-F18</f>
        <v>0.5044</v>
      </c>
      <c r="K18" s="22" t="n">
        <f aca="false">J18+I18</f>
        <v>0.6939</v>
      </c>
      <c r="L18" s="23" t="n">
        <v>1098.3636</v>
      </c>
      <c r="M18" s="23" t="n">
        <v>1591.2958</v>
      </c>
      <c r="N18" s="23" t="n">
        <v>1505.689</v>
      </c>
      <c r="O18" s="24" t="n">
        <f aca="false">(L18/$F$2)^(1/$F$3)</f>
        <v>6.45222350887206</v>
      </c>
      <c r="P18" s="24" t="n">
        <f aca="false">(M18/$G$2)^(1/$G$3)</f>
        <v>9.22987081298632</v>
      </c>
      <c r="Q18" s="24" t="n">
        <f aca="false">(N18/$H$2)^(1/$H$3)</f>
        <v>9.30109230755209</v>
      </c>
      <c r="R18" s="25" t="n">
        <f aca="false">O18*$K18/$I18</f>
        <v>23.6263741045189</v>
      </c>
      <c r="S18" s="25" t="n">
        <f aca="false">P18*$K18/$I18</f>
        <v>33.797400301484</v>
      </c>
      <c r="T18" s="26" t="n">
        <f aca="false">Q18*$K18/$I18</f>
        <v>34.0581949984718</v>
      </c>
      <c r="U18" s="27" t="n">
        <v>2.6825</v>
      </c>
      <c r="V18" s="27"/>
      <c r="W18" s="32"/>
      <c r="X18" s="2"/>
      <c r="Y18" s="2"/>
      <c r="Z18" s="33"/>
      <c r="AA18" s="2"/>
      <c r="AB18" s="2"/>
    </row>
    <row r="19" customFormat="false" ht="14.25" hidden="false" customHeight="true" outlineLevel="0" collapsed="false">
      <c r="A19" s="18"/>
      <c r="B19" s="34" t="s">
        <v>33</v>
      </c>
      <c r="C19" s="34" t="n">
        <v>15</v>
      </c>
      <c r="D19" s="34" t="n">
        <v>2.7786</v>
      </c>
      <c r="E19" s="34" t="n">
        <v>100</v>
      </c>
      <c r="F19" s="34" t="n">
        <v>2.9831</v>
      </c>
      <c r="G19" s="30" t="n">
        <f aca="false">1000-E19</f>
        <v>900</v>
      </c>
      <c r="H19" s="34" t="n">
        <v>3.5251</v>
      </c>
      <c r="I19" s="35" t="n">
        <f aca="false">F19-D19</f>
        <v>0.2045</v>
      </c>
      <c r="J19" s="35" t="n">
        <f aca="false">H19-F19</f>
        <v>0.542</v>
      </c>
      <c r="K19" s="35" t="n">
        <f aca="false">J19+I19</f>
        <v>0.7465</v>
      </c>
      <c r="L19" s="36" t="n">
        <v>32.6611</v>
      </c>
      <c r="M19" s="36" t="n">
        <v>4.1042</v>
      </c>
      <c r="N19" s="36" t="n">
        <v>4.0416</v>
      </c>
      <c r="O19" s="37" t="n">
        <f aca="false">(L19/$F$2)^(1/$F$3)</f>
        <v>0.228090605760248</v>
      </c>
      <c r="P19" s="37" t="n">
        <f aca="false">(M19/$G$2)^(1/$G$3)</f>
        <v>0.0309899398482363</v>
      </c>
      <c r="Q19" s="37" t="n">
        <f aca="false">(N19/$H$2)^(1/$H$3)</f>
        <v>0.0359345239429189</v>
      </c>
      <c r="R19" s="38" t="n">
        <f aca="false">O19*$K19/$I19</f>
        <v>0.832614362836308</v>
      </c>
      <c r="S19" s="38" t="n">
        <f aca="false">P19*$K19/$I19</f>
        <v>0.113124645949674</v>
      </c>
      <c r="T19" s="39" t="n">
        <f aca="false">Q19*$K19/$I19</f>
        <v>0.131174191312416</v>
      </c>
      <c r="U19" s="2" t="n">
        <v>96.7978</v>
      </c>
      <c r="V19" s="2"/>
      <c r="W19" s="32" t="n">
        <f aca="false">AVERAGE(R19:R20)/100</f>
        <v>0.00783372736021942</v>
      </c>
      <c r="X19" s="2" t="n">
        <f aca="false">AVERAGE(S19:S20)/100</f>
        <v>0.000722277624523893</v>
      </c>
      <c r="Y19" s="2" t="n">
        <f aca="false">AVERAGE(T19:T20)/100</f>
        <v>0.000883124523321954</v>
      </c>
      <c r="Z19" s="33" t="n">
        <f aca="false">AVERAGE(U19:V20)/100</f>
        <v>0.965393333333333</v>
      </c>
      <c r="AA19" s="2" t="n">
        <f aca="false">SUM(W19:Z19)</f>
        <v>0.974832462841399</v>
      </c>
      <c r="AB19" s="2"/>
      <c r="AD19" s="0" t="n">
        <v>0.00786374369982345</v>
      </c>
      <c r="AE19" s="0" t="n">
        <v>0.000335604906130558</v>
      </c>
      <c r="AF19" s="0" t="n">
        <v>0.000486851403368356</v>
      </c>
      <c r="AG19" s="0" t="n">
        <v>0.991313799990678</v>
      </c>
    </row>
    <row r="20" customFormat="false" ht="14.25" hidden="false" customHeight="true" outlineLevel="0" collapsed="false">
      <c r="A20" s="18"/>
      <c r="B20" s="34" t="s">
        <v>33</v>
      </c>
      <c r="C20" s="34" t="n">
        <v>16</v>
      </c>
      <c r="D20" s="34" t="n">
        <v>2.8286</v>
      </c>
      <c r="E20" s="34" t="n">
        <v>100</v>
      </c>
      <c r="F20" s="34" t="n">
        <v>3.0303</v>
      </c>
      <c r="G20" s="30" t="n">
        <f aca="false">1000-E20</f>
        <v>900</v>
      </c>
      <c r="H20" s="34" t="n">
        <v>3.585</v>
      </c>
      <c r="I20" s="35" t="n">
        <f aca="false">F20-D20</f>
        <v>0.2017</v>
      </c>
      <c r="J20" s="35" t="n">
        <f aca="false">H20-F20</f>
        <v>0.5547</v>
      </c>
      <c r="K20" s="35" t="n">
        <f aca="false">J20+I20</f>
        <v>0.7564</v>
      </c>
      <c r="L20" s="36" t="n">
        <v>27.811</v>
      </c>
      <c r="M20" s="36" t="n">
        <v>1.0413</v>
      </c>
      <c r="N20" s="36" t="n">
        <v>1.2694</v>
      </c>
      <c r="O20" s="37" t="n">
        <f aca="false">(L20/$F$2)^(1/$F$3)</f>
        <v>0.195761825392872</v>
      </c>
      <c r="P20" s="37" t="n">
        <f aca="false">(M20/$G$2)^(1/$G$3)</f>
        <v>0.00835462491438987</v>
      </c>
      <c r="Q20" s="37" t="n">
        <f aca="false">(N20/$H$2)^(1/$H$3)</f>
        <v>0.0121197896392033</v>
      </c>
      <c r="R20" s="38" t="n">
        <f aca="false">O20*$K20/$I20</f>
        <v>0.734131109207576</v>
      </c>
      <c r="S20" s="38" t="n">
        <f aca="false">P20*$K20/$I20</f>
        <v>0.0313308789551041</v>
      </c>
      <c r="T20" s="39" t="n">
        <f aca="false">Q20*$K20/$I20</f>
        <v>0.0454507133519752</v>
      </c>
      <c r="U20" s="2" t="n">
        <v>96.7891</v>
      </c>
      <c r="V20" s="2" t="n">
        <v>96.0311</v>
      </c>
      <c r="W20" s="32"/>
      <c r="X20" s="2"/>
      <c r="Y20" s="2"/>
      <c r="Z20" s="33"/>
      <c r="AA20" s="2"/>
      <c r="AB20" s="2"/>
    </row>
    <row r="21" customFormat="false" ht="14.25" hidden="false" customHeight="true" outlineLevel="0" collapsed="false">
      <c r="A21" s="18" t="s">
        <v>37</v>
      </c>
      <c r="B21" s="19" t="s">
        <v>32</v>
      </c>
      <c r="C21" s="20" t="n">
        <v>17</v>
      </c>
      <c r="D21" s="19" t="n">
        <v>2.7875</v>
      </c>
      <c r="E21" s="19" t="n">
        <v>300</v>
      </c>
      <c r="F21" s="20" t="n">
        <v>2.9887</v>
      </c>
      <c r="G21" s="19" t="n">
        <f aca="false">1000-E21</f>
        <v>700</v>
      </c>
      <c r="H21" s="20" t="n">
        <v>3.5473</v>
      </c>
      <c r="I21" s="22" t="n">
        <f aca="false">F21-D21</f>
        <v>0.2012</v>
      </c>
      <c r="J21" s="22" t="n">
        <f aca="false">H21-F21</f>
        <v>0.5586</v>
      </c>
      <c r="K21" s="22" t="n">
        <f aca="false">J21+I21</f>
        <v>0.7598</v>
      </c>
      <c r="L21" s="23" t="n">
        <v>84.132</v>
      </c>
      <c r="M21" s="23" t="n">
        <v>1.4229</v>
      </c>
      <c r="N21" s="23" t="n">
        <v>1.4982</v>
      </c>
      <c r="O21" s="24" t="n">
        <f aca="false">(L21/$F$2)^(1/$F$3)</f>
        <v>0.560815899340119</v>
      </c>
      <c r="P21" s="24" t="n">
        <f aca="false">(M21/$G$2)^(1/$G$3)</f>
        <v>0.0112596515581288</v>
      </c>
      <c r="Q21" s="24" t="n">
        <f aca="false">(N21/$H$2)^(1/$H$3)</f>
        <v>0.0141592172219458</v>
      </c>
      <c r="R21" s="25" t="n">
        <f aca="false">O21*$K21/$I21</f>
        <v>2.11783260595737</v>
      </c>
      <c r="S21" s="25" t="n">
        <f aca="false">P21*$K21/$I21</f>
        <v>0.0425202945023175</v>
      </c>
      <c r="T21" s="26" t="n">
        <f aca="false">Q21*$K21/$I21</f>
        <v>0.0534700459504692</v>
      </c>
      <c r="U21" s="27" t="n">
        <v>98.8196</v>
      </c>
      <c r="V21" s="27"/>
      <c r="W21" s="28" t="n">
        <f aca="false">AVERAGE(R21:R22)/100</f>
        <v>0.0246546748774306</v>
      </c>
      <c r="X21" s="27" t="n">
        <f aca="false">AVERAGE(S21:S22)/100</f>
        <v>0.000987250945559395</v>
      </c>
      <c r="Y21" s="27" t="n">
        <f aca="false">AVERAGE(T21:T22)/100</f>
        <v>0.0011410162239653</v>
      </c>
      <c r="Z21" s="29" t="n">
        <f aca="false">AVERAGE(U21:V22)/100</f>
        <v>0.988196</v>
      </c>
      <c r="AA21" s="2" t="n">
        <f aca="false">SUM(W21:Z21)</f>
        <v>1.01497894204696</v>
      </c>
      <c r="AB21" s="2"/>
      <c r="AD21" s="0" t="n">
        <v>0.0226854476039769</v>
      </c>
      <c r="AE21" s="0" t="n">
        <v>0.000455461829383794</v>
      </c>
      <c r="AF21" s="0" t="n">
        <v>0.000572751558541273</v>
      </c>
      <c r="AG21" s="0" t="n">
        <v>0.976286339008098</v>
      </c>
    </row>
    <row r="22" customFormat="false" ht="14.25" hidden="false" customHeight="true" outlineLevel="0" collapsed="false">
      <c r="A22" s="18"/>
      <c r="B22" s="20" t="s">
        <v>32</v>
      </c>
      <c r="C22" s="20" t="n">
        <v>18</v>
      </c>
      <c r="D22" s="20" t="n">
        <v>2.7193</v>
      </c>
      <c r="E22" s="20" t="n">
        <v>300</v>
      </c>
      <c r="F22" s="20" t="n">
        <v>2.9273</v>
      </c>
      <c r="G22" s="19" t="n">
        <f aca="false">1000-E22</f>
        <v>700</v>
      </c>
      <c r="H22" s="20" t="n">
        <v>3.4719</v>
      </c>
      <c r="I22" s="22" t="n">
        <f aca="false">F22-D22</f>
        <v>0.208</v>
      </c>
      <c r="J22" s="22" t="n">
        <f aca="false">H22-F22</f>
        <v>0.5446</v>
      </c>
      <c r="K22" s="22" t="n">
        <f aca="false">J22+I22</f>
        <v>0.7526</v>
      </c>
      <c r="L22" s="23" t="n">
        <v>118.6223</v>
      </c>
      <c r="M22" s="23" t="n">
        <v>5.7563</v>
      </c>
      <c r="N22" s="23" t="n">
        <v>5.5377</v>
      </c>
      <c r="O22" s="24" t="n">
        <f aca="false">(L22/$F$2)^(1/$F$3)</f>
        <v>0.777471821501433</v>
      </c>
      <c r="P22" s="24" t="n">
        <f aca="false">(M22/$G$2)^(1/$G$3)</f>
        <v>0.0428187856481381</v>
      </c>
      <c r="Q22" s="24" t="n">
        <f aca="false">(N22/$H$2)^(1/$H$3)</f>
        <v>0.0482919284603492</v>
      </c>
      <c r="R22" s="25" t="n">
        <f aca="false">O22*$K22/$I22</f>
        <v>2.81310236952875</v>
      </c>
      <c r="S22" s="25" t="n">
        <f aca="false">P22*$K22/$I22</f>
        <v>0.154929894609561</v>
      </c>
      <c r="T22" s="26" t="n">
        <f aca="false">Q22*$K22/$I22</f>
        <v>0.174733198842591</v>
      </c>
      <c r="U22" s="27" t="n">
        <v>98.8196</v>
      </c>
      <c r="V22" s="27"/>
      <c r="W22" s="32"/>
      <c r="X22" s="2"/>
      <c r="Y22" s="2"/>
      <c r="Z22" s="33"/>
      <c r="AA22" s="2"/>
      <c r="AB22" s="2"/>
    </row>
    <row r="23" customFormat="false" ht="14.25" hidden="false" customHeight="true" outlineLevel="0" collapsed="false">
      <c r="A23" s="18"/>
      <c r="B23" s="34" t="s">
        <v>33</v>
      </c>
      <c r="C23" s="34" t="n">
        <v>19</v>
      </c>
      <c r="D23" s="34" t="n">
        <v>2.7716</v>
      </c>
      <c r="E23" s="34" t="n">
        <v>100</v>
      </c>
      <c r="F23" s="34" t="n">
        <v>2.9588</v>
      </c>
      <c r="G23" s="30" t="n">
        <f aca="false">1000-E23</f>
        <v>900</v>
      </c>
      <c r="H23" s="34" t="n">
        <v>3.4919</v>
      </c>
      <c r="I23" s="35" t="n">
        <f aca="false">F23-D23</f>
        <v>0.1872</v>
      </c>
      <c r="J23" s="35" t="n">
        <f aca="false">H23-F23</f>
        <v>0.5331</v>
      </c>
      <c r="K23" s="35" t="n">
        <f aca="false">J23+I23</f>
        <v>0.7203</v>
      </c>
      <c r="L23" s="36" t="n">
        <v>2900.802</v>
      </c>
      <c r="M23" s="36" t="n">
        <v>400.9074</v>
      </c>
      <c r="N23" s="36" t="n">
        <v>379.0231</v>
      </c>
      <c r="O23" s="37" t="n">
        <f aca="false">(L23/$F$2)^(1/$F$3)</f>
        <v>16.2454024284824</v>
      </c>
      <c r="P23" s="37" t="n">
        <f aca="false">(M23/$G$2)^(1/$G$3)</f>
        <v>2.47162627941431</v>
      </c>
      <c r="Q23" s="37" t="n">
        <f aca="false">(N23/$H$2)^(1/$H$3)</f>
        <v>2.54867605629299</v>
      </c>
      <c r="R23" s="38" t="n">
        <f aca="false">O23*$K23/$I23</f>
        <v>62.5083513313882</v>
      </c>
      <c r="S23" s="38" t="n">
        <f aca="false">P23*$K23/$I23</f>
        <v>9.5102158603746</v>
      </c>
      <c r="T23" s="39" t="n">
        <f aca="false">Q23*$K23/$I23</f>
        <v>9.80668463326835</v>
      </c>
      <c r="U23" s="2" t="n">
        <v>6.6554</v>
      </c>
      <c r="V23" s="2"/>
      <c r="W23" s="32" t="n">
        <f aca="false">AVERAGE(R23:R24)/100</f>
        <v>0.640954490064211</v>
      </c>
      <c r="X23" s="2" t="n">
        <f aca="false">AVERAGE(S23:S24)/100</f>
        <v>0.0974932686062186</v>
      </c>
      <c r="Y23" s="2" t="n">
        <f aca="false">AVERAGE(T23:T24)/100</f>
        <v>0.100317678036004</v>
      </c>
      <c r="Z23" s="33" t="n">
        <f aca="false">AVERAGE(U23:V24)/100</f>
        <v>0.0663885</v>
      </c>
      <c r="AA23" s="2" t="n">
        <f aca="false">SUM(W23:Z23)</f>
        <v>0.905153936706434</v>
      </c>
      <c r="AB23" s="2"/>
      <c r="AD23" s="0" t="n">
        <v>0.713432452880176</v>
      </c>
      <c r="AE23" s="0" t="n">
        <v>0.108517629315729</v>
      </c>
      <c r="AF23" s="0" t="n">
        <v>0.111661417804094</v>
      </c>
      <c r="AG23" s="0" t="n">
        <v>0.0663885</v>
      </c>
    </row>
    <row r="24" customFormat="false" ht="14.25" hidden="false" customHeight="true" outlineLevel="0" collapsed="false">
      <c r="A24" s="18"/>
      <c r="B24" s="34" t="s">
        <v>33</v>
      </c>
      <c r="C24" s="34" t="n">
        <v>20</v>
      </c>
      <c r="D24" s="34" t="n">
        <v>2.7758</v>
      </c>
      <c r="E24" s="34" t="n">
        <v>100</v>
      </c>
      <c r="F24" s="34" t="n">
        <v>2.9852</v>
      </c>
      <c r="G24" s="30" t="n">
        <f aca="false">1000-E24</f>
        <v>900</v>
      </c>
      <c r="H24" s="34" t="n">
        <v>3.5446</v>
      </c>
      <c r="I24" s="35" t="n">
        <f aca="false">F24-D24</f>
        <v>0.2094</v>
      </c>
      <c r="J24" s="35" t="n">
        <f aca="false">H24-F24</f>
        <v>0.5594</v>
      </c>
      <c r="K24" s="35" t="n">
        <f aca="false">J24+I24</f>
        <v>0.7688</v>
      </c>
      <c r="L24" s="36" t="n">
        <v>3210.4664</v>
      </c>
      <c r="M24" s="36" t="n">
        <v>443.2532</v>
      </c>
      <c r="N24" s="36" t="n">
        <v>417.9662</v>
      </c>
      <c r="O24" s="37" t="n">
        <f aca="false">(L24/$F$2)^(1/$F$3)</f>
        <v>17.8901213255677</v>
      </c>
      <c r="P24" s="37" t="n">
        <f aca="false">(M24/$G$2)^(1/$G$3)</f>
        <v>2.72057607708896</v>
      </c>
      <c r="Q24" s="37" t="n">
        <f aca="false">(N24/$H$2)^(1/$H$3)</f>
        <v>2.79368443540772</v>
      </c>
      <c r="R24" s="38" t="n">
        <f aca="false">O24*$K24/$I24</f>
        <v>65.6825466814541</v>
      </c>
      <c r="S24" s="38" t="n">
        <f aca="false">P24*$K24/$I24</f>
        <v>9.98843786086912</v>
      </c>
      <c r="T24" s="39" t="n">
        <f aca="false">Q24*$K24/$I24</f>
        <v>10.2568509739325</v>
      </c>
      <c r="U24" s="42" t="n">
        <v>6.6223</v>
      </c>
      <c r="V24" s="42"/>
      <c r="W24" s="43"/>
      <c r="X24" s="42"/>
      <c r="Y24" s="42"/>
      <c r="Z24" s="44"/>
      <c r="AA24" s="2"/>
      <c r="AB24" s="2"/>
    </row>
    <row r="25" customFormat="false" ht="14.25" hidden="false" customHeight="true" outlineLevel="0" collapsed="false">
      <c r="A25" s="45" t="s">
        <v>38</v>
      </c>
      <c r="B25" s="1" t="s">
        <v>32</v>
      </c>
      <c r="C25" s="1" t="n">
        <v>1</v>
      </c>
      <c r="D25" s="1" t="n">
        <v>2.7788</v>
      </c>
      <c r="F25" s="1" t="n">
        <v>3.0512</v>
      </c>
      <c r="G25" s="2" t="n">
        <f aca="false">1000-E25</f>
        <v>1000</v>
      </c>
      <c r="H25" s="1" t="n">
        <v>3.5279</v>
      </c>
      <c r="I25" s="1" t="n">
        <f aca="false">F25-D25</f>
        <v>0.2724</v>
      </c>
      <c r="J25" s="1" t="n">
        <f aca="false">H25-F25</f>
        <v>0.4767</v>
      </c>
      <c r="K25" s="1" t="n">
        <f aca="false">J25+I25</f>
        <v>0.7491</v>
      </c>
      <c r="M25" s="1" t="n">
        <v>3044.3</v>
      </c>
      <c r="N25" s="1" t="n">
        <v>2833.35</v>
      </c>
      <c r="P25" s="1" t="n">
        <f aca="false">(M25/$G$2)^(1/$G$3)</f>
        <v>17.1579234092013</v>
      </c>
      <c r="Q25" s="1" t="n">
        <f aca="false">(N25/$H$2)^(1/$H$3)</f>
        <v>16.8348681641731</v>
      </c>
      <c r="S25" s="1" t="n">
        <f aca="false">P25*$K25/$I25</f>
        <v>47.1842893753037</v>
      </c>
      <c r="T25" s="1" t="n">
        <f aca="false">Q25*$K25/$I25</f>
        <v>46.2958874514761</v>
      </c>
      <c r="U25" s="1" t="n">
        <v>1.5599</v>
      </c>
      <c r="V25" s="1" t="n">
        <v>1.6021</v>
      </c>
      <c r="X25" s="1" t="n">
        <f aca="false">AVERAGE(S25:S26)/100</f>
        <v>0.480280741522099</v>
      </c>
      <c r="Y25" s="1" t="n">
        <f aca="false">AVERAGE(T25:T26)/100</f>
        <v>0.471036755031365</v>
      </c>
      <c r="Z25" s="1" t="n">
        <f aca="false">AVERAGE(U25:V26)/100</f>
        <v>0.015452</v>
      </c>
      <c r="AA25" s="1" t="n">
        <f aca="false">SUM(W25:Z25)</f>
        <v>0.966769496553464</v>
      </c>
      <c r="AE25" s="1" t="n">
        <f aca="false">IFERROR(X25/$AA25,"")</f>
        <v>0.496789300070287</v>
      </c>
      <c r="AF25" s="1" t="n">
        <f aca="false">IFERROR(Y25/$AA25,"")</f>
        <v>0.487227572560587</v>
      </c>
      <c r="AG25" s="1" t="n">
        <f aca="false">IFERROR(Z25/$AA25,"")</f>
        <v>0.0159831273691262</v>
      </c>
    </row>
    <row r="26" customFormat="false" ht="14.25" hidden="false" customHeight="true" outlineLevel="0" collapsed="false">
      <c r="A26" s="45"/>
      <c r="B26" s="1" t="s">
        <v>32</v>
      </c>
      <c r="C26" s="1" t="n">
        <v>2</v>
      </c>
      <c r="D26" s="1" t="n">
        <v>2.7389</v>
      </c>
      <c r="F26" s="1" t="n">
        <v>3.0126</v>
      </c>
      <c r="G26" s="2" t="n">
        <f aca="false">1000-E26</f>
        <v>1000</v>
      </c>
      <c r="H26" s="1" t="n">
        <v>3.5168</v>
      </c>
      <c r="I26" s="1" t="n">
        <f aca="false">F26-D26</f>
        <v>0.2737</v>
      </c>
      <c r="J26" s="1" t="n">
        <f aca="false">H26-F26</f>
        <v>0.5042</v>
      </c>
      <c r="K26" s="1" t="n">
        <f aca="false">J26+I26</f>
        <v>0.7779</v>
      </c>
      <c r="M26" s="1" t="n">
        <v>3051.24</v>
      </c>
      <c r="N26" s="1" t="n">
        <v>2837.39</v>
      </c>
      <c r="P26" s="1" t="n">
        <f aca="false">(M26/$G$2)^(1/$G$3)</f>
        <v>17.1953050377929</v>
      </c>
      <c r="Q26" s="1" t="n">
        <f aca="false">(N26/$H$2)^(1/$H$3)</f>
        <v>16.8573950057178</v>
      </c>
      <c r="S26" s="1" t="n">
        <f aca="false">P26*$K26/$I26</f>
        <v>48.8718589291161</v>
      </c>
      <c r="T26" s="1" t="n">
        <f aca="false">Q26*$K26/$I26</f>
        <v>47.9114635547969</v>
      </c>
      <c r="U26" s="1" t="n">
        <v>1.4736</v>
      </c>
    </row>
    <row r="27" customFormat="false" ht="14.25" hidden="false" customHeight="true" outlineLevel="0" collapsed="false">
      <c r="A27" s="45"/>
      <c r="B27" s="1" t="s">
        <v>33</v>
      </c>
      <c r="C27" s="1" t="n">
        <v>3</v>
      </c>
      <c r="D27" s="1" t="n">
        <v>2.7895</v>
      </c>
      <c r="F27" s="1" t="n">
        <v>3.0974</v>
      </c>
      <c r="G27" s="2" t="n">
        <f aca="false">1000-E27</f>
        <v>1000</v>
      </c>
      <c r="H27" s="1" t="n">
        <v>3.5996</v>
      </c>
      <c r="I27" s="1" t="n">
        <f aca="false">F27-D27</f>
        <v>0.3079</v>
      </c>
      <c r="J27" s="1" t="n">
        <f aca="false">H27-F27</f>
        <v>0.5022</v>
      </c>
      <c r="K27" s="1" t="n">
        <f aca="false">J27+I27</f>
        <v>0.8101</v>
      </c>
      <c r="M27" s="1" t="n">
        <v>78.3</v>
      </c>
      <c r="N27" s="1" t="n">
        <v>67.35</v>
      </c>
      <c r="P27" s="1" t="n">
        <f aca="false">(M27/$G$2)^(1/$G$3)</f>
        <v>0.518904831257438</v>
      </c>
      <c r="Q27" s="1" t="n">
        <f aca="false">(N27/$H$2)^(1/$H$3)</f>
        <v>0.503664258643063</v>
      </c>
      <c r="S27" s="1" t="n">
        <f aca="false">P27*$K27/$I27</f>
        <v>1.36526405911546</v>
      </c>
      <c r="T27" s="1" t="n">
        <f aca="false">Q27*$K27/$I27</f>
        <v>1.32516536514045</v>
      </c>
      <c r="X27" s="1" t="n">
        <f aca="false">AVERAGE(S27:S28)/100</f>
        <v>0.0122767622715784</v>
      </c>
      <c r="Y27" s="1" t="n">
        <f aca="false">AVERAGE(T27:T28)/100</f>
        <v>0.0118945299187236</v>
      </c>
      <c r="Z27" s="1" t="e">
        <f aca="false">AVERAGE(U27:V28)/100</f>
        <v>#DIV/0!</v>
      </c>
      <c r="AA27" s="1" t="e">
        <f aca="false">SUM(W27:Z27)</f>
        <v>#DIV/0!</v>
      </c>
      <c r="AE27" s="1" t="str">
        <f aca="false">IFERROR(X27/$AA27,"")</f>
        <v/>
      </c>
      <c r="AF27" s="1" t="str">
        <f aca="false">IFERROR(Y27/$AA27,"")</f>
        <v/>
      </c>
      <c r="AG27" s="1" t="str">
        <f aca="false">IFERROR(Z27/$AA27,"")</f>
        <v/>
      </c>
    </row>
    <row r="28" customFormat="false" ht="14.25" hidden="false" customHeight="true" outlineLevel="0" collapsed="false">
      <c r="A28" s="45"/>
      <c r="B28" s="1" t="s">
        <v>33</v>
      </c>
      <c r="C28" s="1" t="n">
        <v>4</v>
      </c>
      <c r="D28" s="1" t="n">
        <v>2.7396</v>
      </c>
      <c r="F28" s="1" t="n">
        <v>3.0442</v>
      </c>
      <c r="G28" s="2" t="n">
        <f aca="false">1000-E28</f>
        <v>1000</v>
      </c>
      <c r="H28" s="1" t="n">
        <v>3.5404</v>
      </c>
      <c r="I28" s="1" t="n">
        <f aca="false">F28-D28</f>
        <v>0.3046</v>
      </c>
      <c r="J28" s="1" t="n">
        <f aca="false">H28-F28</f>
        <v>0.4962</v>
      </c>
      <c r="K28" s="1" t="n">
        <f aca="false">J28+I28</f>
        <v>0.8008</v>
      </c>
      <c r="M28" s="1" t="n">
        <v>61.92</v>
      </c>
      <c r="N28" s="1" t="n">
        <v>52.8</v>
      </c>
      <c r="P28" s="1" t="n">
        <f aca="false">(M28/$G$2)^(1/$G$3)</f>
        <v>0.414636519952529</v>
      </c>
      <c r="Q28" s="1" t="n">
        <f aca="false">(N28/$H$2)^(1/$H$3)</f>
        <v>0.400810929603969</v>
      </c>
      <c r="S28" s="1" t="n">
        <f aca="false">P28*$K28/$I28</f>
        <v>1.09008839520021</v>
      </c>
      <c r="T28" s="1" t="n">
        <f aca="false">Q28*$K28/$I28</f>
        <v>1.05374061860426</v>
      </c>
    </row>
  </sheetData>
  <mergeCells count="14">
    <mergeCell ref="O3:Q3"/>
    <mergeCell ref="R3:T3"/>
    <mergeCell ref="U3:V3"/>
    <mergeCell ref="A5:A8"/>
    <mergeCell ref="AC5:AC6"/>
    <mergeCell ref="AC7:AC8"/>
    <mergeCell ref="A9:A12"/>
    <mergeCell ref="AC9:AC10"/>
    <mergeCell ref="AC11:AC12"/>
    <mergeCell ref="A13:A16"/>
    <mergeCell ref="AC13:AC14"/>
    <mergeCell ref="A17:A20"/>
    <mergeCell ref="A21:A24"/>
    <mergeCell ref="A25:A2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AG28"/>
  <sheetViews>
    <sheetView showFormulas="false" showGridLines="true" showRowColHeaders="true" showZeros="true" rightToLeft="false" tabSelected="false" showOutlineSymbols="true" defaultGridColor="true" view="normal" topLeftCell="E1" colorId="64" zoomScale="100" zoomScaleNormal="100" zoomScalePageLayoutView="100" workbookViewId="0">
      <selection pane="topLeft" activeCell="K32" activeCellId="0" sqref="K32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4" min="4" style="1" width="8.34"/>
    <col collapsed="false" customWidth="true" hidden="false" outlineLevel="0" max="5" min="5" style="1" width="10.53"/>
    <col collapsed="false" customWidth="true" hidden="false" outlineLevel="0" max="6" min="6" style="1" width="13.6"/>
    <col collapsed="false" customWidth="true" hidden="false" outlineLevel="0" max="7" min="7" style="2" width="10.66"/>
    <col collapsed="false" customWidth="true" hidden="false" outlineLevel="0" max="8" min="8" style="1" width="12.73"/>
    <col collapsed="false" customWidth="true" hidden="false" outlineLevel="0" max="13" min="12" style="1" width="10.47"/>
    <col collapsed="false" customWidth="true" hidden="false" outlineLevel="0" max="14" min="14" style="1" width="12.61"/>
    <col collapsed="false" customWidth="true" hidden="false" outlineLevel="0" max="16" min="15" style="1" width="11.12"/>
    <col collapsed="false" customWidth="true" hidden="false" outlineLevel="0" max="17" min="17" style="1" width="13.67"/>
    <col collapsed="false" customWidth="true" hidden="false" outlineLevel="0" max="19" min="18" style="1" width="11.12"/>
    <col collapsed="false" customWidth="true" hidden="false" outlineLevel="0" max="20" min="20" style="1" width="13.67"/>
    <col collapsed="false" customWidth="true" hidden="false" outlineLevel="0" max="22" min="21" style="1" width="9.53"/>
  </cols>
  <sheetData>
    <row r="1" customFormat="false" ht="24" hidden="false" customHeight="true" outlineLevel="0" collapsed="false">
      <c r="F1" s="46" t="s">
        <v>0</v>
      </c>
      <c r="G1" s="46" t="s">
        <v>39</v>
      </c>
    </row>
    <row r="2" customFormat="false" ht="14.25" hidden="false" customHeight="true" outlineLevel="0" collapsed="false">
      <c r="E2" s="1" t="s">
        <v>2</v>
      </c>
      <c r="F2" s="1" t="n">
        <v>154.574631</v>
      </c>
      <c r="G2" s="2" t="n">
        <v>155.54848</v>
      </c>
      <c r="H2" s="4" t="n">
        <v>145.969512</v>
      </c>
    </row>
    <row r="3" customFormat="false" ht="14.25" hidden="false" customHeight="true" outlineLevel="0" collapsed="false">
      <c r="E3" s="1" t="s">
        <v>3</v>
      </c>
      <c r="F3" s="1" t="n">
        <v>1.05174512</v>
      </c>
      <c r="G3" s="2" t="n">
        <v>1.046301</v>
      </c>
      <c r="H3" s="1" t="n">
        <v>1.04716839</v>
      </c>
      <c r="M3" s="1" t="s">
        <v>4</v>
      </c>
      <c r="N3" s="1" t="s">
        <v>40</v>
      </c>
      <c r="O3" s="5" t="s">
        <v>6</v>
      </c>
      <c r="P3" s="5"/>
      <c r="Q3" s="5"/>
      <c r="R3" s="6" t="s">
        <v>7</v>
      </c>
      <c r="S3" s="6"/>
      <c r="T3" s="6"/>
      <c r="U3" s="7" t="s">
        <v>8</v>
      </c>
      <c r="V3" s="7"/>
    </row>
    <row r="4" customFormat="false" ht="14.25" hidden="false" customHeight="true" outlineLevel="0" collapsed="false">
      <c r="A4" s="8" t="s">
        <v>9</v>
      </c>
      <c r="B4" s="8" t="s">
        <v>10</v>
      </c>
      <c r="C4" s="8" t="s">
        <v>11</v>
      </c>
      <c r="D4" s="8" t="s">
        <v>12</v>
      </c>
      <c r="E4" s="8" t="s">
        <v>13</v>
      </c>
      <c r="F4" s="8" t="s">
        <v>14</v>
      </c>
      <c r="G4" s="8" t="s">
        <v>15</v>
      </c>
      <c r="H4" s="8" t="s">
        <v>16</v>
      </c>
      <c r="I4" s="9" t="s">
        <v>17</v>
      </c>
      <c r="J4" s="9" t="s">
        <v>18</v>
      </c>
      <c r="K4" s="9" t="s">
        <v>19</v>
      </c>
      <c r="L4" s="9" t="s">
        <v>20</v>
      </c>
      <c r="M4" s="10" t="s">
        <v>41</v>
      </c>
      <c r="N4" s="11" t="s">
        <v>22</v>
      </c>
      <c r="O4" s="12" t="s">
        <v>23</v>
      </c>
      <c r="P4" s="13" t="s">
        <v>24</v>
      </c>
      <c r="Q4" s="14" t="s">
        <v>25</v>
      </c>
      <c r="R4" s="12" t="s">
        <v>23</v>
      </c>
      <c r="S4" s="13" t="s">
        <v>24</v>
      </c>
      <c r="T4" s="14" t="s">
        <v>25</v>
      </c>
      <c r="U4" s="15" t="n">
        <v>1</v>
      </c>
      <c r="V4" s="15" t="n">
        <v>2</v>
      </c>
      <c r="W4" s="16" t="s">
        <v>26</v>
      </c>
      <c r="X4" s="15" t="s">
        <v>27</v>
      </c>
      <c r="Y4" s="15" t="s">
        <v>28</v>
      </c>
      <c r="Z4" s="17" t="s">
        <v>29</v>
      </c>
    </row>
    <row r="5" customFormat="false" ht="14.25" hidden="false" customHeight="true" outlineLevel="0" collapsed="false">
      <c r="A5" s="18" t="s">
        <v>42</v>
      </c>
      <c r="B5" s="19" t="s">
        <v>32</v>
      </c>
      <c r="C5" s="20" t="n">
        <v>1</v>
      </c>
      <c r="D5" s="21" t="n">
        <v>2.7341</v>
      </c>
      <c r="E5" s="19" t="n">
        <v>300</v>
      </c>
      <c r="F5" s="20" t="n">
        <v>2.9202</v>
      </c>
      <c r="G5" s="19" t="n">
        <f aca="false">1000-E5</f>
        <v>700</v>
      </c>
      <c r="H5" s="20" t="n">
        <v>3.5688</v>
      </c>
      <c r="I5" s="22" t="n">
        <f aca="false">F5-D5</f>
        <v>0.1861</v>
      </c>
      <c r="J5" s="22" t="n">
        <f aca="false">H5-F5</f>
        <v>0.6486</v>
      </c>
      <c r="K5" s="22" t="n">
        <f aca="false">J5+I5</f>
        <v>0.8347</v>
      </c>
      <c r="L5" s="23" t="n">
        <v>76.7215</v>
      </c>
      <c r="M5" s="23" t="n">
        <v>0.0525</v>
      </c>
      <c r="N5" s="23" t="n">
        <v>0.0664</v>
      </c>
      <c r="O5" s="24" t="n">
        <f aca="false">(L5/$F$2)^(1/$F$3)</f>
        <v>0.513743491032854</v>
      </c>
      <c r="P5" s="24" t="n">
        <f aca="false">(M5/$G$2)^(1/$G$3)</f>
        <v>0.000480754965897079</v>
      </c>
      <c r="Q5" s="24" t="n">
        <f aca="false">(N5/$H$2)^(1/$H$3)</f>
        <v>0.000643348613900439</v>
      </c>
      <c r="R5" s="25" t="n">
        <f aca="false">O5*$K5/$I5</f>
        <v>2.30425412125268</v>
      </c>
      <c r="S5" s="25" t="n">
        <f aca="false">P5*$K5/$I5</f>
        <v>0.0021562932296308</v>
      </c>
      <c r="T5" s="26" t="n">
        <f aca="false">Q5*$K5/$I5</f>
        <v>0.00288556199904727</v>
      </c>
      <c r="U5" s="27" t="n">
        <v>93.8865</v>
      </c>
      <c r="V5" s="27"/>
      <c r="W5" s="28" t="n">
        <f aca="false">AVERAGE(R5:R6)/100</f>
        <v>0.0249246213698665</v>
      </c>
      <c r="X5" s="27" t="n">
        <f aca="false">AVERAGE(S5:S6)/100</f>
        <v>5.65969280179736E-005</v>
      </c>
      <c r="Y5" s="27" t="n">
        <f aca="false">AVERAGE(T5:T6)/100</f>
        <v>6.58614447060957E-005</v>
      </c>
      <c r="Z5" s="29" t="n">
        <f aca="false">AVERAGE(U5:V6)/100</f>
        <v>0.9378455</v>
      </c>
      <c r="AA5" s="2" t="n">
        <f aca="false">SUM(W5:Z5)</f>
        <v>0.962892579742591</v>
      </c>
      <c r="AD5" s="0" t="n">
        <v>0.0249102993464579</v>
      </c>
      <c r="AE5" s="0" t="n">
        <v>2.33107578428212E-005</v>
      </c>
      <c r="AF5" s="0" t="n">
        <v>3.11945685660548E-005</v>
      </c>
      <c r="AG5" s="0" t="n">
        <v>0.975035195327133</v>
      </c>
    </row>
    <row r="6" customFormat="false" ht="14.25" hidden="false" customHeight="true" outlineLevel="0" collapsed="false">
      <c r="A6" s="18"/>
      <c r="B6" s="20" t="s">
        <v>32</v>
      </c>
      <c r="C6" s="20" t="n">
        <v>2</v>
      </c>
      <c r="D6" s="20" t="n">
        <v>2.7246</v>
      </c>
      <c r="E6" s="20" t="n">
        <v>300</v>
      </c>
      <c r="F6" s="20" t="n">
        <v>2.8999</v>
      </c>
      <c r="G6" s="19" t="n">
        <f aca="false">1000-E6</f>
        <v>700</v>
      </c>
      <c r="H6" s="20" t="n">
        <v>3.5398</v>
      </c>
      <c r="I6" s="22" t="n">
        <f aca="false">F6-D6</f>
        <v>0.1753</v>
      </c>
      <c r="J6" s="22" t="n">
        <f aca="false">H6-F6</f>
        <v>0.6399</v>
      </c>
      <c r="K6" s="22" t="n">
        <f aca="false">J6+I6</f>
        <v>0.8152</v>
      </c>
      <c r="L6" s="23" t="n">
        <v>86.6004</v>
      </c>
      <c r="M6" s="23" t="n">
        <v>0.2297</v>
      </c>
      <c r="N6" s="23" t="n">
        <v>0.242</v>
      </c>
      <c r="O6" s="24" t="n">
        <f aca="false">(L6/$F$2)^(1/$F$3)</f>
        <v>0.576449310318848</v>
      </c>
      <c r="P6" s="24" t="n">
        <f aca="false">(M6/$G$2)^(1/$G$3)</f>
        <v>0.00197042454999494</v>
      </c>
      <c r="Q6" s="24" t="n">
        <f aca="false">(N6/$H$2)^(1/$H$3)</f>
        <v>0.00221205008950286</v>
      </c>
      <c r="R6" s="25" t="n">
        <f aca="false">O6*$K6/$I6</f>
        <v>2.68067015272062</v>
      </c>
      <c r="S6" s="25" t="n">
        <f aca="false">P6*$K6/$I6</f>
        <v>0.00916309237396392</v>
      </c>
      <c r="T6" s="26" t="n">
        <f aca="false">Q6*$K6/$I6</f>
        <v>0.0102867269421719</v>
      </c>
      <c r="U6" s="27" t="n">
        <v>93.6826</v>
      </c>
      <c r="V6" s="27"/>
      <c r="W6" s="32"/>
      <c r="X6" s="2"/>
      <c r="Y6" s="2"/>
      <c r="Z6" s="33"/>
      <c r="AA6" s="2"/>
    </row>
    <row r="7" customFormat="false" ht="14.25" hidden="false" customHeight="true" outlineLevel="0" collapsed="false">
      <c r="A7" s="18"/>
      <c r="B7" s="34" t="s">
        <v>33</v>
      </c>
      <c r="C7" s="34" t="n">
        <v>3</v>
      </c>
      <c r="D7" s="34" t="n">
        <v>2.8129</v>
      </c>
      <c r="E7" s="34" t="n">
        <v>100</v>
      </c>
      <c r="F7" s="34" t="n">
        <v>3.0062</v>
      </c>
      <c r="G7" s="30" t="n">
        <f aca="false">1000-E7</f>
        <v>900</v>
      </c>
      <c r="H7" s="34" t="n">
        <v>3.6126</v>
      </c>
      <c r="I7" s="35" t="n">
        <f aca="false">F7-D7</f>
        <v>0.1933</v>
      </c>
      <c r="J7" s="35" t="n">
        <f aca="false">H7-F7</f>
        <v>0.6064</v>
      </c>
      <c r="K7" s="35" t="n">
        <f aca="false">J7+I7</f>
        <v>0.7997</v>
      </c>
      <c r="L7" s="1" t="n">
        <v>3409.961</v>
      </c>
      <c r="M7" s="1" t="n">
        <v>56.553</v>
      </c>
      <c r="N7" s="36" t="n">
        <v>57.3307</v>
      </c>
      <c r="O7" s="37" t="n">
        <f aca="false">(L7/$F$2)^(1/$F$3)</f>
        <v>18.9455173012586</v>
      </c>
      <c r="P7" s="37" t="n">
        <f aca="false">(M7/$G$2)^(1/$G$3)</f>
        <v>0.380219766107627</v>
      </c>
      <c r="Q7" s="37" t="n">
        <f aca="false">(N7/$H$2)^(1/$H$3)</f>
        <v>0.409644582719245</v>
      </c>
      <c r="R7" s="38" t="n">
        <f aca="false">O7*$K7/$I7</f>
        <v>78.3793594713734</v>
      </c>
      <c r="S7" s="38" t="n">
        <f aca="false">P7*$K7/$I7</f>
        <v>1.57300438156373</v>
      </c>
      <c r="T7" s="39" t="n">
        <f aca="false">Q7*$K7/$I7</f>
        <v>1.69473757268794</v>
      </c>
      <c r="U7" s="2" t="n">
        <v>8.9269</v>
      </c>
      <c r="V7" s="2"/>
      <c r="W7" s="32" t="n">
        <f aca="false">AVERAGE(R7:R8)/100</f>
        <v>0.791429054587144</v>
      </c>
      <c r="X7" s="2" t="n">
        <f aca="false">AVERAGE(S7:S8)/100</f>
        <v>0.015899929607843</v>
      </c>
      <c r="Y7" s="2" t="n">
        <f aca="false">AVERAGE(T7:T8)/100</f>
        <v>0.0171077792581102</v>
      </c>
      <c r="Z7" s="33" t="n">
        <f aca="false">AVERAGE(U7:V8)/100</f>
        <v>0.088521</v>
      </c>
      <c r="AA7" s="2" t="n">
        <f aca="false">SUM(W7:Z7)</f>
        <v>0.912957763453097</v>
      </c>
      <c r="AD7" s="0" t="n">
        <v>0.874986409175426</v>
      </c>
      <c r="AE7" s="0" t="n">
        <v>0.0175786095204275</v>
      </c>
      <c r="AF7" s="0" t="n">
        <v>0.0189139813041467</v>
      </c>
      <c r="AG7" s="0" t="n">
        <v>0.088521</v>
      </c>
    </row>
    <row r="8" customFormat="false" ht="14.25" hidden="false" customHeight="true" outlineLevel="0" collapsed="false">
      <c r="A8" s="18"/>
      <c r="B8" s="34" t="s">
        <v>33</v>
      </c>
      <c r="C8" s="34" t="n">
        <v>4</v>
      </c>
      <c r="D8" s="34" t="n">
        <v>2.7708</v>
      </c>
      <c r="E8" s="34" t="n">
        <v>100</v>
      </c>
      <c r="F8" s="34" t="n">
        <v>2.9693</v>
      </c>
      <c r="G8" s="30" t="n">
        <f aca="false">1000-E8</f>
        <v>900</v>
      </c>
      <c r="H8" s="34" t="n">
        <v>3.604</v>
      </c>
      <c r="I8" s="35" t="n">
        <f aca="false">F8-D8</f>
        <v>0.1985</v>
      </c>
      <c r="J8" s="35" t="n">
        <f aca="false">H8-F8</f>
        <v>0.6347</v>
      </c>
      <c r="K8" s="35" t="n">
        <f aca="false">J8+I8</f>
        <v>0.8332</v>
      </c>
      <c r="L8" s="36" t="n">
        <v>3427.236</v>
      </c>
      <c r="M8" s="36" t="n">
        <v>56.9615</v>
      </c>
      <c r="N8" s="36" t="n">
        <v>57.5871</v>
      </c>
      <c r="O8" s="37" t="n">
        <f aca="false">(L8/$F$2)^(1/$F$3)</f>
        <v>19.036762616469</v>
      </c>
      <c r="P8" s="37" t="n">
        <f aca="false">(M8/$G$2)^(1/$G$3)</f>
        <v>0.382844257910423</v>
      </c>
      <c r="Q8" s="37" t="n">
        <f aca="false">(N8/$H$2)^(1/$H$3)</f>
        <v>0.411393937072035</v>
      </c>
      <c r="R8" s="38" t="n">
        <f aca="false">O8*$K8/$I8</f>
        <v>79.9064514460554</v>
      </c>
      <c r="S8" s="38" t="n">
        <f aca="false">P8*$K8/$I8</f>
        <v>1.60698154000486</v>
      </c>
      <c r="T8" s="39" t="n">
        <f aca="false">Q8*$K8/$I8</f>
        <v>1.7268182789341</v>
      </c>
      <c r="U8" s="2" t="n">
        <v>8.7773</v>
      </c>
      <c r="V8" s="2"/>
      <c r="W8" s="32"/>
      <c r="X8" s="2"/>
      <c r="Y8" s="2"/>
      <c r="Z8" s="33"/>
      <c r="AA8" s="2"/>
    </row>
    <row r="9" customFormat="false" ht="14.25" hidden="false" customHeight="true" outlineLevel="0" collapsed="false">
      <c r="A9" s="18" t="s">
        <v>43</v>
      </c>
      <c r="B9" s="19" t="s">
        <v>32</v>
      </c>
      <c r="C9" s="20" t="n">
        <v>5</v>
      </c>
      <c r="D9" s="19" t="n">
        <v>2.7388</v>
      </c>
      <c r="E9" s="19" t="n">
        <v>300</v>
      </c>
      <c r="F9" s="20" t="n">
        <v>2.9092</v>
      </c>
      <c r="G9" s="19" t="n">
        <f aca="false">1000-E9</f>
        <v>700</v>
      </c>
      <c r="H9" s="20" t="n">
        <v>3.5437</v>
      </c>
      <c r="I9" s="22" t="n">
        <f aca="false">F9-D9</f>
        <v>0.1704</v>
      </c>
      <c r="J9" s="22" t="n">
        <f aca="false">H9-F9</f>
        <v>0.6345</v>
      </c>
      <c r="K9" s="22" t="n">
        <f aca="false">J9+I9</f>
        <v>0.8049</v>
      </c>
      <c r="L9" s="23" t="n">
        <v>155.3425</v>
      </c>
      <c r="M9" s="23" t="n">
        <v>1501.9181</v>
      </c>
      <c r="N9" s="23" t="n">
        <v>1482.5729</v>
      </c>
      <c r="O9" s="24" t="n">
        <f aca="false">(L9/$F$2)^(1/$F$3)</f>
        <v>1.00472264638047</v>
      </c>
      <c r="P9" s="24" t="n">
        <f aca="false">(M9/$G$2)^(1/$G$3)</f>
        <v>8.73377281537794</v>
      </c>
      <c r="Q9" s="24" t="n">
        <f aca="false">(N9/$H$2)^(1/$H$3)</f>
        <v>9.14968054753829</v>
      </c>
      <c r="R9" s="25" t="n">
        <f aca="false">O9*$K9/$I9</f>
        <v>4.74589940182886</v>
      </c>
      <c r="S9" s="25" t="n">
        <f aca="false">P9*$K9/$I9</f>
        <v>41.2547754641884</v>
      </c>
      <c r="T9" s="26" t="n">
        <f aca="false">Q9*$K9/$I9</f>
        <v>43.2193537131078</v>
      </c>
      <c r="U9" s="27" t="n">
        <v>2.3903</v>
      </c>
      <c r="V9" s="27"/>
      <c r="W9" s="28" t="n">
        <f aca="false">AVERAGE(R9:R10)/100</f>
        <v>0.0475937981394202</v>
      </c>
      <c r="X9" s="27" t="n">
        <f aca="false">AVERAGE(S9:S10)/100</f>
        <v>0.413812242388233</v>
      </c>
      <c r="Y9" s="27" t="n">
        <f aca="false">AVERAGE(T9:T10)/100</f>
        <v>0.433538429687698</v>
      </c>
      <c r="Z9" s="29" t="n">
        <f aca="false">AVERAGE(U9:V10)/100</f>
        <v>0.0243065</v>
      </c>
      <c r="AA9" s="2" t="n">
        <f aca="false">SUM(W9:Z9)</f>
        <v>0.919250970215351</v>
      </c>
      <c r="AD9" s="0" t="n">
        <v>0.0518880903010331</v>
      </c>
      <c r="AE9" s="0" t="n">
        <v>0.451149684204952</v>
      </c>
      <c r="AF9" s="0" t="n">
        <v>0.472655725494015</v>
      </c>
      <c r="AG9" s="0" t="n">
        <v>0.0243065</v>
      </c>
    </row>
    <row r="10" customFormat="false" ht="14.25" hidden="false" customHeight="true" outlineLevel="0" collapsed="false">
      <c r="A10" s="18"/>
      <c r="B10" s="20" t="s">
        <v>32</v>
      </c>
      <c r="C10" s="20" t="n">
        <v>6</v>
      </c>
      <c r="D10" s="20" t="n">
        <v>2.7302</v>
      </c>
      <c r="E10" s="20" t="n">
        <v>300</v>
      </c>
      <c r="F10" s="20" t="n">
        <v>2.9172</v>
      </c>
      <c r="G10" s="19" t="n">
        <f aca="false">1000-E10</f>
        <v>700</v>
      </c>
      <c r="H10" s="20" t="n">
        <v>3.5375</v>
      </c>
      <c r="I10" s="22" t="n">
        <f aca="false">F10-D10</f>
        <v>0.187</v>
      </c>
      <c r="J10" s="22" t="n">
        <f aca="false">H10-F10</f>
        <v>0.6203</v>
      </c>
      <c r="K10" s="22" t="n">
        <f aca="false">J10+I10</f>
        <v>0.8073</v>
      </c>
      <c r="L10" s="23" t="n">
        <v>171.7825</v>
      </c>
      <c r="M10" s="23" t="n">
        <v>1660.7784</v>
      </c>
      <c r="N10" s="23" t="n">
        <v>1639.6831</v>
      </c>
      <c r="O10" s="24" t="n">
        <f aca="false">(L10/$F$2)^(1/$F$3)</f>
        <v>1.10556777192161</v>
      </c>
      <c r="P10" s="24" t="n">
        <f aca="false">(M10/$G$2)^(1/$G$3)</f>
        <v>9.61468457019284</v>
      </c>
      <c r="Q10" s="24" t="n">
        <f aca="false">(N10/$H$2)^(1/$H$3)</f>
        <v>10.0734771782097</v>
      </c>
      <c r="R10" s="25" t="n">
        <f aca="false">O10*$K10/$I10</f>
        <v>4.77286022605518</v>
      </c>
      <c r="S10" s="25" t="n">
        <f aca="false">P10*$K10/$I10</f>
        <v>41.5076730134582</v>
      </c>
      <c r="T10" s="26" t="n">
        <f aca="false">Q10*$K10/$I10</f>
        <v>43.4883322244317</v>
      </c>
      <c r="U10" s="27" t="n">
        <v>2.471</v>
      </c>
      <c r="V10" s="27"/>
      <c r="W10" s="32"/>
      <c r="X10" s="2"/>
      <c r="Y10" s="2"/>
      <c r="Z10" s="33"/>
      <c r="AA10" s="2"/>
    </row>
    <row r="11" customFormat="false" ht="14.25" hidden="false" customHeight="true" outlineLevel="0" collapsed="false">
      <c r="A11" s="18"/>
      <c r="B11" s="34" t="s">
        <v>33</v>
      </c>
      <c r="C11" s="34" t="n">
        <v>7</v>
      </c>
      <c r="D11" s="34" t="n">
        <v>2.7171</v>
      </c>
      <c r="E11" s="34" t="n">
        <v>100</v>
      </c>
      <c r="F11" s="34" t="n">
        <v>2.9165</v>
      </c>
      <c r="G11" s="30" t="n">
        <f aca="false">1000-E11</f>
        <v>900</v>
      </c>
      <c r="H11" s="34" t="n">
        <v>3.5383</v>
      </c>
      <c r="I11" s="35" t="n">
        <f aca="false">F11-D11</f>
        <v>0.1994</v>
      </c>
      <c r="J11" s="35" t="n">
        <f aca="false">H11-F11</f>
        <v>0.6218</v>
      </c>
      <c r="K11" s="35" t="n">
        <f aca="false">J11+I11</f>
        <v>0.8212</v>
      </c>
      <c r="L11" s="40" t="n">
        <v>4.0029</v>
      </c>
      <c r="M11" s="40" t="n">
        <v>1.4989</v>
      </c>
      <c r="N11" s="36" t="n">
        <v>0.6946</v>
      </c>
      <c r="O11" s="37" t="n">
        <f aca="false">(L11/$F$2)^(1/$F$3)</f>
        <v>0.0309958941506313</v>
      </c>
      <c r="P11" s="37" t="n">
        <f aca="false">(M11/$G$2)^(1/$G$3)</f>
        <v>0.0118337723469224</v>
      </c>
      <c r="Q11" s="37" t="n">
        <f aca="false">(N11/$H$2)^(1/$H$3)</f>
        <v>0.0060546349405248</v>
      </c>
      <c r="R11" s="38" t="n">
        <f aca="false">O11*$K11/$I11</f>
        <v>0.127652097675519</v>
      </c>
      <c r="S11" s="38" t="n">
        <f aca="false">P11*$K11/$I11</f>
        <v>0.0487356762853195</v>
      </c>
      <c r="T11" s="39" t="n">
        <f aca="false">Q11*$K11/$I11</f>
        <v>0.0249351364752205</v>
      </c>
      <c r="U11" s="2" t="n">
        <v>97.4397</v>
      </c>
      <c r="V11" s="2"/>
      <c r="W11" s="32" t="n">
        <f aca="false">AVERAGE(R11:R12)/100</f>
        <v>0.00127757433988938</v>
      </c>
      <c r="X11" s="2" t="n">
        <f aca="false">AVERAGE(S11:S12)/100</f>
        <v>0.000482642843348461</v>
      </c>
      <c r="Y11" s="2" t="n">
        <f aca="false">AVERAGE(T11:T12)/100</f>
        <v>0.000242453077139348</v>
      </c>
      <c r="Z11" s="33" t="n">
        <f aca="false">AVERAGE(U11:V12)/100</f>
        <v>0.981899</v>
      </c>
      <c r="AA11" s="2" t="n">
        <f aca="false">SUM(W11:Z11)</f>
        <v>0.983901670260377</v>
      </c>
      <c r="AD11" s="0" t="n">
        <v>0.00138113062055398</v>
      </c>
      <c r="AE11" s="0" t="n">
        <v>0.00052176440065125</v>
      </c>
      <c r="AF11" s="0" t="n">
        <v>0.000262105584332325</v>
      </c>
      <c r="AG11" s="0" t="n">
        <v>0.997834999394462</v>
      </c>
    </row>
    <row r="12" customFormat="false" ht="14.25" hidden="false" customHeight="true" outlineLevel="0" collapsed="false">
      <c r="A12" s="18"/>
      <c r="B12" s="34" t="s">
        <v>33</v>
      </c>
      <c r="C12" s="34" t="n">
        <v>8</v>
      </c>
      <c r="D12" s="34" t="n">
        <v>2.7208</v>
      </c>
      <c r="E12" s="34" t="n">
        <v>100</v>
      </c>
      <c r="F12" s="34" t="n">
        <v>2.9277</v>
      </c>
      <c r="G12" s="30" t="n">
        <f aca="false">1000-E12</f>
        <v>900</v>
      </c>
      <c r="H12" s="34" t="n">
        <v>3.5449</v>
      </c>
      <c r="I12" s="35" t="n">
        <f aca="false">F12-D12</f>
        <v>0.2069</v>
      </c>
      <c r="J12" s="35" t="n">
        <f aca="false">H12-F12</f>
        <v>0.6172</v>
      </c>
      <c r="K12" s="35" t="n">
        <f aca="false">J12+I12</f>
        <v>0.8241</v>
      </c>
      <c r="L12" s="36" t="n">
        <v>4.1532</v>
      </c>
      <c r="M12" s="36" t="n">
        <v>1.5208</v>
      </c>
      <c r="N12" s="36" t="n">
        <v>0.6777</v>
      </c>
      <c r="O12" s="37" t="n">
        <f aca="false">(L12/$F$2)^(1/$F$3)</f>
        <v>0.0321014527066592</v>
      </c>
      <c r="P12" s="37" t="n">
        <f aca="false">(M12/$G$2)^(1/$G$3)</f>
        <v>0.0119989678853619</v>
      </c>
      <c r="Q12" s="37" t="n">
        <f aca="false">(N12/$H$2)^(1/$H$3)</f>
        <v>0.00591388010593754</v>
      </c>
      <c r="R12" s="38" t="n">
        <f aca="false">O12*$K12/$I12</f>
        <v>0.127862770302358</v>
      </c>
      <c r="S12" s="38" t="n">
        <f aca="false">P12*$K12/$I12</f>
        <v>0.0477928923843727</v>
      </c>
      <c r="T12" s="39" t="n">
        <f aca="false">Q12*$K12/$I12</f>
        <v>0.0235554789526492</v>
      </c>
      <c r="U12" s="2" t="n">
        <v>98.9401</v>
      </c>
      <c r="V12" s="2"/>
      <c r="W12" s="32"/>
      <c r="X12" s="2"/>
      <c r="Y12" s="2"/>
      <c r="Z12" s="33"/>
      <c r="AA12" s="2"/>
    </row>
    <row r="13" customFormat="false" ht="14.25" hidden="false" customHeight="true" outlineLevel="0" collapsed="false">
      <c r="A13" s="18" t="s">
        <v>44</v>
      </c>
      <c r="B13" s="19" t="s">
        <v>32</v>
      </c>
      <c r="C13" s="20" t="n">
        <v>9</v>
      </c>
      <c r="D13" s="19" t="n">
        <v>2.8184</v>
      </c>
      <c r="E13" s="19" t="n">
        <v>300</v>
      </c>
      <c r="F13" s="20" t="n">
        <v>2.9999</v>
      </c>
      <c r="G13" s="19" t="n">
        <f aca="false">1000-E13</f>
        <v>700</v>
      </c>
      <c r="H13" s="20" t="n">
        <v>3.6119</v>
      </c>
      <c r="I13" s="22" t="n">
        <f aca="false">F13-D13</f>
        <v>0.1815</v>
      </c>
      <c r="J13" s="22" t="n">
        <f aca="false">H13-F13</f>
        <v>0.612</v>
      </c>
      <c r="K13" s="22" t="n">
        <f aca="false">J13+I13</f>
        <v>0.7935</v>
      </c>
      <c r="L13" s="23" t="n">
        <v>1858.8765</v>
      </c>
      <c r="M13" s="23" t="n">
        <v>791.5177</v>
      </c>
      <c r="N13" s="23" t="n">
        <v>783.8797</v>
      </c>
      <c r="O13" s="24" t="n">
        <f aca="false">(L13/$F$2)^(1/$F$3)</f>
        <v>10.6407331602098</v>
      </c>
      <c r="P13" s="24" t="n">
        <f aca="false">(M13/$G$2)^(1/$G$3)</f>
        <v>4.73507174996775</v>
      </c>
      <c r="Q13" s="24" t="n">
        <f aca="false">(N13/$H$2)^(1/$H$3)</f>
        <v>4.97858468406881</v>
      </c>
      <c r="R13" s="25" t="n">
        <f aca="false">O13*$K13/$I13</f>
        <v>46.5202300971157</v>
      </c>
      <c r="S13" s="25" t="n">
        <f aca="false">P13*$K13/$I13</f>
        <v>20.7012640969665</v>
      </c>
      <c r="T13" s="26" t="n">
        <f aca="false">Q13*$K13/$I13</f>
        <v>21.7658784948132</v>
      </c>
      <c r="U13" s="27" t="n">
        <v>4.4629</v>
      </c>
      <c r="V13" s="27"/>
      <c r="W13" s="28" t="n">
        <f aca="false">AVERAGE(R13:R14)/100</f>
        <v>0.46475215736729</v>
      </c>
      <c r="X13" s="27" t="n">
        <f aca="false">AVERAGE(S13:S14)/100</f>
        <v>0.206811412346901</v>
      </c>
      <c r="Y13" s="27" t="n">
        <f aca="false">AVERAGE(T13:T14)/100</f>
        <v>0.217495282534139</v>
      </c>
      <c r="Z13" s="29" t="n">
        <f aca="false">AVERAGE(U13:V14)/100</f>
        <v>0.044105</v>
      </c>
      <c r="AA13" s="2" t="n">
        <f aca="false">SUM(W13:Z13)</f>
        <v>0.933163852248331</v>
      </c>
      <c r="AD13" s="0" t="n">
        <v>0.499690501189135</v>
      </c>
      <c r="AE13" s="0" t="n">
        <v>0.222358727440152</v>
      </c>
      <c r="AF13" s="0" t="n">
        <v>0.233845771370712</v>
      </c>
      <c r="AG13" s="0" t="n">
        <v>0.044105</v>
      </c>
    </row>
    <row r="14" customFormat="false" ht="14.25" hidden="false" customHeight="true" outlineLevel="0" collapsed="false">
      <c r="A14" s="18"/>
      <c r="B14" s="19" t="s">
        <v>32</v>
      </c>
      <c r="C14" s="20" t="n">
        <v>10</v>
      </c>
      <c r="D14" s="20" t="n">
        <v>2.6975</v>
      </c>
      <c r="E14" s="20" t="n">
        <v>300</v>
      </c>
      <c r="F14" s="20" t="n">
        <v>2.8958</v>
      </c>
      <c r="G14" s="19" t="n">
        <f aca="false">1000-E14</f>
        <v>700</v>
      </c>
      <c r="H14" s="20" t="n">
        <v>3.5458</v>
      </c>
      <c r="I14" s="22" t="n">
        <f aca="false">F14-D14</f>
        <v>0.1983</v>
      </c>
      <c r="J14" s="22" t="n">
        <f aca="false">H14-F14</f>
        <v>0.65</v>
      </c>
      <c r="K14" s="22" t="n">
        <f aca="false">J14+I14</f>
        <v>0.8483</v>
      </c>
      <c r="L14" s="23" t="n">
        <v>1898.0075</v>
      </c>
      <c r="M14" s="23" t="n">
        <v>808.0852</v>
      </c>
      <c r="N14" s="23" t="n">
        <v>800.672</v>
      </c>
      <c r="O14" s="24" t="n">
        <f aca="false">(L14/$F$2)^(1/$F$3)</f>
        <v>10.8536000623938</v>
      </c>
      <c r="P14" s="24" t="n">
        <f aca="false">(M14/$G$2)^(1/$G$3)</f>
        <v>4.82975355799796</v>
      </c>
      <c r="Q14" s="24" t="n">
        <f aca="false">(N14/$H$2)^(1/$H$3)</f>
        <v>5.08038335468879</v>
      </c>
      <c r="R14" s="25" t="n">
        <f aca="false">O14*$K14/$I14</f>
        <v>46.4302013763423</v>
      </c>
      <c r="S14" s="25" t="n">
        <f aca="false">P14*$K14/$I14</f>
        <v>20.6610183724138</v>
      </c>
      <c r="T14" s="26" t="n">
        <f aca="false">Q14*$K14/$I14</f>
        <v>21.7331780120146</v>
      </c>
      <c r="U14" s="27" t="n">
        <v>4.3581</v>
      </c>
      <c r="V14" s="27"/>
      <c r="W14" s="32"/>
      <c r="X14" s="2"/>
      <c r="Y14" s="2"/>
      <c r="Z14" s="33"/>
      <c r="AA14" s="2"/>
    </row>
    <row r="15" customFormat="false" ht="14.25" hidden="false" customHeight="true" outlineLevel="0" collapsed="false">
      <c r="A15" s="18"/>
      <c r="B15" s="34" t="s">
        <v>33</v>
      </c>
      <c r="C15" s="34" t="n">
        <v>11</v>
      </c>
      <c r="D15" s="34" t="n">
        <v>2.7637</v>
      </c>
      <c r="E15" s="34" t="n">
        <v>100</v>
      </c>
      <c r="F15" s="34" t="n">
        <v>2.9687</v>
      </c>
      <c r="G15" s="30" t="n">
        <f aca="false">1000-E15</f>
        <v>900</v>
      </c>
      <c r="H15" s="34" t="n">
        <v>3.6076</v>
      </c>
      <c r="I15" s="35" t="n">
        <f aca="false">F15-D15</f>
        <v>0.205</v>
      </c>
      <c r="J15" s="35" t="n">
        <f aca="false">H15-F15</f>
        <v>0.6389</v>
      </c>
      <c r="K15" s="35" t="n">
        <f aca="false">J15+I15</f>
        <v>0.8439</v>
      </c>
      <c r="L15" s="36" t="n">
        <v>47.7115</v>
      </c>
      <c r="M15" s="36" t="n">
        <v>0.5293</v>
      </c>
      <c r="N15" s="41" t="n">
        <v>0.4396</v>
      </c>
      <c r="O15" s="37" t="n">
        <f aca="false">(L15/$F$2)^(1/$F$3)</f>
        <v>0.327040726022503</v>
      </c>
      <c r="P15" s="37" t="n">
        <f aca="false">(M15/$G$2)^(1/$G$3)</f>
        <v>0.00437580054708265</v>
      </c>
      <c r="Q15" s="37" t="n">
        <f aca="false">(N15/$H$2)^(1/$H$3)</f>
        <v>0.00391165036026433</v>
      </c>
      <c r="R15" s="38" t="n">
        <f aca="false">O15*$K15/$I15</f>
        <v>1.34629106678239</v>
      </c>
      <c r="S15" s="38" t="n">
        <f aca="false">P15*$K15/$I15</f>
        <v>0.0180133564960149</v>
      </c>
      <c r="T15" s="39" t="n">
        <f aca="false">Q15*$K15/$I15</f>
        <v>0.0161026426294003</v>
      </c>
      <c r="U15" s="2" t="n">
        <v>99.7309</v>
      </c>
      <c r="V15" s="2"/>
      <c r="W15" s="32" t="n">
        <f aca="false">AVERAGE(R15:R16)/100</f>
        <v>0.0135775328502213</v>
      </c>
      <c r="X15" s="2" t="n">
        <f aca="false">AVERAGE(S15:S16)/100</f>
        <v>0.000186181812273992</v>
      </c>
      <c r="Y15" s="2" t="n">
        <f aca="false">AVERAGE(T15:T16)/100</f>
        <v>0.000166929647062546</v>
      </c>
      <c r="Z15" s="33" t="n">
        <f aca="false">AVERAGE(U15:V16)/100</f>
        <v>0.9939365</v>
      </c>
      <c r="AA15" s="2" t="n">
        <f aca="false">SUM(W15:Z15)</f>
        <v>1.00786714430956</v>
      </c>
      <c r="AD15" s="0" t="n">
        <v>0.0146780862651342</v>
      </c>
      <c r="AE15" s="0" t="n">
        <v>0.000201273142308187</v>
      </c>
      <c r="AF15" s="0" t="n">
        <v>0.000180460455284594</v>
      </c>
      <c r="AG15" s="0" t="n">
        <v>0.984940180137273</v>
      </c>
    </row>
    <row r="16" customFormat="false" ht="14.25" hidden="false" customHeight="true" outlineLevel="0" collapsed="false">
      <c r="A16" s="18"/>
      <c r="B16" s="34" t="s">
        <v>33</v>
      </c>
      <c r="C16" s="34" t="n">
        <v>12</v>
      </c>
      <c r="D16" s="34" t="n">
        <v>2.7028</v>
      </c>
      <c r="E16" s="34" t="n">
        <v>100</v>
      </c>
      <c r="F16" s="34" t="n">
        <v>2.9102</v>
      </c>
      <c r="G16" s="30" t="n">
        <f aca="false">1000-E16</f>
        <v>900</v>
      </c>
      <c r="H16" s="34" t="n">
        <v>3.5749</v>
      </c>
      <c r="I16" s="35" t="n">
        <f aca="false">F16-D16</f>
        <v>0.2074</v>
      </c>
      <c r="J16" s="35" t="n">
        <f aca="false">H16-F16</f>
        <v>0.6647</v>
      </c>
      <c r="K16" s="35" t="n">
        <f aca="false">J16+I16</f>
        <v>0.8721</v>
      </c>
      <c r="L16" s="36" t="n">
        <v>47.4939</v>
      </c>
      <c r="M16" s="36" t="n">
        <v>0.5541</v>
      </c>
      <c r="N16" s="36" t="n">
        <v>0.463</v>
      </c>
      <c r="O16" s="37" t="n">
        <f aca="false">(L16/$F$2)^(1/$F$3)</f>
        <v>0.325622400385863</v>
      </c>
      <c r="P16" s="37" t="n">
        <f aca="false">(M16/$G$2)^(1/$G$3)</f>
        <v>0.00457155307401869</v>
      </c>
      <c r="Q16" s="37" t="n">
        <f aca="false">(N16/$H$2)^(1/$H$3)</f>
        <v>0.0041102553363339</v>
      </c>
      <c r="R16" s="38" t="n">
        <f aca="false">O16*$K16/$I16</f>
        <v>1.36921550326186</v>
      </c>
      <c r="S16" s="38" t="n">
        <f aca="false">P16*$K16/$I16</f>
        <v>0.0192230059587835</v>
      </c>
      <c r="T16" s="39" t="n">
        <f aca="false">Q16*$K16/$I16</f>
        <v>0.0172832867831089</v>
      </c>
      <c r="U16" s="2" t="n">
        <v>99.0564</v>
      </c>
      <c r="V16" s="2"/>
      <c r="W16" s="32"/>
      <c r="X16" s="2"/>
      <c r="Y16" s="2"/>
      <c r="Z16" s="33"/>
      <c r="AA16" s="2"/>
    </row>
    <row r="17" customFormat="false" ht="14.25" hidden="false" customHeight="true" outlineLevel="0" collapsed="false">
      <c r="A17" s="18" t="s">
        <v>45</v>
      </c>
      <c r="B17" s="19" t="s">
        <v>32</v>
      </c>
      <c r="C17" s="20" t="n">
        <v>13</v>
      </c>
      <c r="D17" s="19" t="n">
        <v>2.7304</v>
      </c>
      <c r="E17" s="19" t="n">
        <v>300</v>
      </c>
      <c r="F17" s="20" t="n">
        <v>2.9163</v>
      </c>
      <c r="G17" s="19" t="n">
        <f aca="false">1000-E17</f>
        <v>700</v>
      </c>
      <c r="H17" s="20" t="n">
        <v>3.4647</v>
      </c>
      <c r="I17" s="22" t="n">
        <f aca="false">F17-D17</f>
        <v>0.1859</v>
      </c>
      <c r="J17" s="22" t="n">
        <f aca="false">H17-F17</f>
        <v>0.5484</v>
      </c>
      <c r="K17" s="22" t="n">
        <f aca="false">J17+I17</f>
        <v>0.7343</v>
      </c>
      <c r="L17" s="23" t="n">
        <v>1162.8725</v>
      </c>
      <c r="M17" s="23" t="n">
        <v>1349.5319</v>
      </c>
      <c r="N17" s="23" t="n">
        <v>1339.1162</v>
      </c>
      <c r="O17" s="24" t="n">
        <f aca="false">(L17/$F$2)^(1/$F$3)</f>
        <v>6.81202007926486</v>
      </c>
      <c r="P17" s="24" t="n">
        <f aca="false">(M17/$G$2)^(1/$G$3)</f>
        <v>7.88487628023512</v>
      </c>
      <c r="Q17" s="24" t="n">
        <f aca="false">(N17/$H$2)^(1/$H$3)</f>
        <v>8.3023105118904</v>
      </c>
      <c r="R17" s="25" t="n">
        <f aca="false">O17*$K17/$I17</f>
        <v>26.9072960957729</v>
      </c>
      <c r="S17" s="25" t="n">
        <f aca="false">P17*$K17/$I17</f>
        <v>31.1450492338712</v>
      </c>
      <c r="T17" s="26" t="n">
        <f aca="false">Q17*$K17/$I17</f>
        <v>32.7939032215229</v>
      </c>
      <c r="U17" s="27" t="n">
        <v>3.3914</v>
      </c>
      <c r="V17" s="27"/>
      <c r="W17" s="32" t="n">
        <f aca="false">AVERAGE(R17:R18)/100</f>
        <v>0.272676553884793</v>
      </c>
      <c r="X17" s="2" t="n">
        <f aca="false">AVERAGE(S17:S18)/100</f>
        <v>0.315572851109972</v>
      </c>
      <c r="Y17" s="2" t="n">
        <f aca="false">AVERAGE(T17:T18)/100</f>
        <v>0.332246370942616</v>
      </c>
      <c r="Z17" s="33" t="n">
        <f aca="false">AVERAGE(U17:V18)/100</f>
        <v>0.0334115</v>
      </c>
      <c r="AA17" s="2" t="n">
        <f aca="false">SUM(W17:Z17)</f>
        <v>0.95390727593738</v>
      </c>
      <c r="AD17" s="0" t="n">
        <v>0.286330505901855</v>
      </c>
      <c r="AE17" s="0" t="n">
        <v>0.331374783859803</v>
      </c>
      <c r="AF17" s="0" t="n">
        <v>0.348883210238342</v>
      </c>
      <c r="AG17" s="0" t="n">
        <v>0.0334115</v>
      </c>
    </row>
    <row r="18" customFormat="false" ht="14.25" hidden="false" customHeight="true" outlineLevel="0" collapsed="false">
      <c r="A18" s="18"/>
      <c r="B18" s="20" t="s">
        <v>32</v>
      </c>
      <c r="C18" s="20" t="n">
        <v>14</v>
      </c>
      <c r="D18" s="20" t="n">
        <v>2.7801</v>
      </c>
      <c r="E18" s="20" t="n">
        <v>300</v>
      </c>
      <c r="F18" s="20" t="n">
        <v>2.9755</v>
      </c>
      <c r="G18" s="19" t="n">
        <f aca="false">1000-E18</f>
        <v>700</v>
      </c>
      <c r="H18" s="20" t="n">
        <v>3.543</v>
      </c>
      <c r="I18" s="22" t="n">
        <f aca="false">F18-D18</f>
        <v>0.1954</v>
      </c>
      <c r="J18" s="22" t="n">
        <f aca="false">H18-F18</f>
        <v>0.5675</v>
      </c>
      <c r="K18" s="22" t="n">
        <f aca="false">J18+I18</f>
        <v>0.7629</v>
      </c>
      <c r="L18" s="23" t="n">
        <v>1210.3701</v>
      </c>
      <c r="M18" s="23" t="n">
        <v>1403.9143</v>
      </c>
      <c r="N18" s="23" t="n">
        <v>1392.8362</v>
      </c>
      <c r="O18" s="24" t="n">
        <f aca="false">(L18/$F$2)^(1/$F$3)</f>
        <v>7.07630629008214</v>
      </c>
      <c r="P18" s="24" t="n">
        <f aca="false">(M18/$G$2)^(1/$G$3)</f>
        <v>8.18828732609682</v>
      </c>
      <c r="Q18" s="24" t="n">
        <f aca="false">(N18/$H$2)^(1/$H$3)</f>
        <v>8.62008059634533</v>
      </c>
      <c r="R18" s="25" t="n">
        <f aca="false">O18*$K18/$I18</f>
        <v>27.6280146811856</v>
      </c>
      <c r="S18" s="25" t="n">
        <f aca="false">P18*$K18/$I18</f>
        <v>31.9695209881232</v>
      </c>
      <c r="T18" s="26" t="n">
        <f aca="false">Q18*$K18/$I18</f>
        <v>33.6553709670003</v>
      </c>
      <c r="U18" s="27" t="n">
        <v>3.2909</v>
      </c>
      <c r="V18" s="27"/>
      <c r="W18" s="32"/>
      <c r="X18" s="2"/>
      <c r="Y18" s="2"/>
      <c r="Z18" s="33"/>
      <c r="AA18" s="2"/>
    </row>
    <row r="19" customFormat="false" ht="14.25" hidden="false" customHeight="true" outlineLevel="0" collapsed="false">
      <c r="A19" s="18"/>
      <c r="B19" s="34" t="s">
        <v>33</v>
      </c>
      <c r="C19" s="34" t="n">
        <v>15</v>
      </c>
      <c r="D19" s="34" t="n">
        <v>2.736</v>
      </c>
      <c r="E19" s="34" t="n">
        <v>100</v>
      </c>
      <c r="F19" s="34" t="n">
        <v>2.9398</v>
      </c>
      <c r="G19" s="30" t="n">
        <f aca="false">1000-E19</f>
        <v>900</v>
      </c>
      <c r="H19" s="34" t="n">
        <v>3.5197</v>
      </c>
      <c r="I19" s="35" t="n">
        <f aca="false">F19-D19</f>
        <v>0.2038</v>
      </c>
      <c r="J19" s="35" t="n">
        <f aca="false">H19-F19</f>
        <v>0.5799</v>
      </c>
      <c r="K19" s="35" t="n">
        <f aca="false">J19+I19</f>
        <v>0.7837</v>
      </c>
      <c r="L19" s="36" t="n">
        <v>30.11</v>
      </c>
      <c r="M19" s="36" t="n">
        <v>1.1737</v>
      </c>
      <c r="N19" s="36" t="n">
        <v>0.7942</v>
      </c>
      <c r="O19" s="37" t="n">
        <f aca="false">(L19/$F$2)^(1/$F$3)</f>
        <v>0.211117905439826</v>
      </c>
      <c r="P19" s="37" t="n">
        <f aca="false">(M19/$G$2)^(1/$G$3)</f>
        <v>0.00936715949233744</v>
      </c>
      <c r="Q19" s="37" t="n">
        <f aca="false">(N19/$H$2)^(1/$H$3)</f>
        <v>0.00688116134365743</v>
      </c>
      <c r="R19" s="38" t="n">
        <f aca="false">O19*$K19/$I19</f>
        <v>0.811840542164828</v>
      </c>
      <c r="S19" s="38" t="n">
        <f aca="false">P19*$K19/$I19</f>
        <v>0.0360208189114075</v>
      </c>
      <c r="T19" s="39" t="n">
        <f aca="false">Q19*$K19/$I19</f>
        <v>0.0264610703877543</v>
      </c>
      <c r="U19" s="2" t="n">
        <v>98.2495</v>
      </c>
      <c r="V19" s="2"/>
      <c r="W19" s="32" t="n">
        <f aca="false">AVERAGE(R19:R20)/100</f>
        <v>0.00835405281883261</v>
      </c>
      <c r="X19" s="2" t="n">
        <f aca="false">AVERAGE(S19:S20)/100</f>
        <v>0.000813964789591377</v>
      </c>
      <c r="Y19" s="2" t="n">
        <f aca="false">AVERAGE(T19:T20)/100</f>
        <v>0.00074287382179994</v>
      </c>
      <c r="Z19" s="33" t="n">
        <f aca="false">AVERAGE(U19:V20)/100</f>
        <v>0.9881925</v>
      </c>
      <c r="AA19" s="2" t="n">
        <f aca="false">SUM(W19:Z19)</f>
        <v>0.998103391430224</v>
      </c>
      <c r="AD19" s="0" t="n">
        <v>0.008776458612092</v>
      </c>
      <c r="AE19" s="0" t="n">
        <v>0.000389405566648141</v>
      </c>
      <c r="AF19" s="0" t="n">
        <v>0.000286059240735268</v>
      </c>
      <c r="AG19" s="0" t="n">
        <v>0.990548076580525</v>
      </c>
    </row>
    <row r="20" customFormat="false" ht="14.25" hidden="false" customHeight="true" outlineLevel="0" collapsed="false">
      <c r="A20" s="18"/>
      <c r="B20" s="34" t="s">
        <v>33</v>
      </c>
      <c r="C20" s="34" t="n">
        <v>16</v>
      </c>
      <c r="D20" s="34" t="n">
        <v>2.744</v>
      </c>
      <c r="E20" s="34" t="n">
        <v>100</v>
      </c>
      <c r="F20" s="34" t="n">
        <v>2.9481</v>
      </c>
      <c r="G20" s="30" t="n">
        <f aca="false">1000-E20</f>
        <v>900</v>
      </c>
      <c r="H20" s="34" t="n">
        <v>3.5278</v>
      </c>
      <c r="I20" s="35" t="n">
        <f aca="false">F20-D20</f>
        <v>0.2041</v>
      </c>
      <c r="J20" s="35" t="n">
        <f aca="false">H20-F20</f>
        <v>0.5797</v>
      </c>
      <c r="K20" s="35" t="n">
        <f aca="false">J20+I20</f>
        <v>0.7838</v>
      </c>
      <c r="L20" s="36" t="n">
        <v>31.9963</v>
      </c>
      <c r="M20" s="36" t="n">
        <v>4.3847</v>
      </c>
      <c r="N20" s="36" t="n">
        <v>3.9448</v>
      </c>
      <c r="O20" s="37" t="n">
        <f aca="false">(L20/$F$2)^(1/$F$3)</f>
        <v>0.223674127850097</v>
      </c>
      <c r="P20" s="37" t="n">
        <f aca="false">(M20/$G$2)^(1/$G$3)</f>
        <v>0.0330112191519542</v>
      </c>
      <c r="Q20" s="37" t="n">
        <f aca="false">(N20/$H$2)^(1/$H$3)</f>
        <v>0.0317981690989192</v>
      </c>
      <c r="R20" s="38" t="n">
        <f aca="false">O20*$K20/$I20</f>
        <v>0.858970021601694</v>
      </c>
      <c r="S20" s="38" t="n">
        <f aca="false">P20*$K20/$I20</f>
        <v>0.126772139006868</v>
      </c>
      <c r="T20" s="39" t="n">
        <f aca="false">Q20*$K20/$I20</f>
        <v>0.122113693972234</v>
      </c>
      <c r="U20" s="2" t="n">
        <v>99.389</v>
      </c>
      <c r="V20" s="2"/>
      <c r="W20" s="32"/>
      <c r="X20" s="2"/>
      <c r="Y20" s="2"/>
      <c r="Z20" s="33"/>
      <c r="AA20" s="2"/>
    </row>
    <row r="21" customFormat="false" ht="14.25" hidden="false" customHeight="true" outlineLevel="0" collapsed="false">
      <c r="A21" s="18" t="s">
        <v>46</v>
      </c>
      <c r="B21" s="19" t="s">
        <v>32</v>
      </c>
      <c r="C21" s="20" t="n">
        <v>17</v>
      </c>
      <c r="D21" s="19" t="n">
        <v>2.7303</v>
      </c>
      <c r="E21" s="19" t="n">
        <v>300</v>
      </c>
      <c r="F21" s="20" t="n">
        <v>2.9152</v>
      </c>
      <c r="G21" s="19" t="n">
        <f aca="false">1000-E21</f>
        <v>700</v>
      </c>
      <c r="H21" s="20" t="n">
        <v>3.4772</v>
      </c>
      <c r="I21" s="22" t="n">
        <f aca="false">F21-D21</f>
        <v>0.1849</v>
      </c>
      <c r="J21" s="22" t="n">
        <f aca="false">H21-F21</f>
        <v>0.562</v>
      </c>
      <c r="K21" s="22" t="n">
        <f aca="false">J21+I21</f>
        <v>0.7469</v>
      </c>
      <c r="L21" s="23" t="n">
        <v>2751.9239</v>
      </c>
      <c r="M21" s="23" t="n">
        <v>474.2914</v>
      </c>
      <c r="N21" s="23" t="n">
        <v>464.3203</v>
      </c>
      <c r="O21" s="24" t="n">
        <f aca="false">(L21/$F$2)^(1/$F$3)</f>
        <v>15.4516395951095</v>
      </c>
      <c r="P21" s="24" t="n">
        <f aca="false">(M21/$G$2)^(1/$G$3)</f>
        <v>2.90237501841678</v>
      </c>
      <c r="Q21" s="24" t="n">
        <f aca="false">(N21/$H$2)^(1/$H$3)</f>
        <v>3.01938526164188</v>
      </c>
      <c r="R21" s="25" t="n">
        <f aca="false">O21*$K21/$I21</f>
        <v>62.41660147965</v>
      </c>
      <c r="S21" s="25" t="n">
        <f aca="false">P21*$K21/$I21</f>
        <v>11.72408816255</v>
      </c>
      <c r="T21" s="26" t="n">
        <f aca="false">Q21*$K21/$I21</f>
        <v>12.1967487935118</v>
      </c>
      <c r="U21" s="27" t="n">
        <v>5.883</v>
      </c>
      <c r="V21" s="27"/>
      <c r="W21" s="28" t="n">
        <f aca="false">AVERAGE(R21:R22)/100</f>
        <v>0.629603891857857</v>
      </c>
      <c r="X21" s="27" t="n">
        <f aca="false">AVERAGE(S21:S22)/100</f>
        <v>0.118552380297014</v>
      </c>
      <c r="Y21" s="27" t="n">
        <f aca="false">AVERAGE(T21:T22)/100</f>
        <v>0.123120675031439</v>
      </c>
      <c r="Z21" s="29" t="n">
        <f aca="false">AVERAGE(U21:V22)/100</f>
        <v>0.0581</v>
      </c>
      <c r="AA21" s="2" t="n">
        <f aca="false">SUM(W21:Z21)</f>
        <v>0.92937694718631</v>
      </c>
      <c r="AD21" s="0" t="n">
        <v>0.680637663668273</v>
      </c>
      <c r="AE21" s="0" t="n">
        <v>0.128161874777434</v>
      </c>
      <c r="AF21" s="0" t="n">
        <v>0.133100461554292</v>
      </c>
      <c r="AG21" s="0" t="n">
        <v>0.0581</v>
      </c>
    </row>
    <row r="22" customFormat="false" ht="14.25" hidden="false" customHeight="true" outlineLevel="0" collapsed="false">
      <c r="A22" s="18"/>
      <c r="B22" s="20" t="s">
        <v>32</v>
      </c>
      <c r="C22" s="20" t="n">
        <v>18</v>
      </c>
      <c r="D22" s="20" t="n">
        <v>2.7638</v>
      </c>
      <c r="E22" s="20" t="n">
        <v>300</v>
      </c>
      <c r="F22" s="20" t="n">
        <v>2.9464</v>
      </c>
      <c r="G22" s="19" t="n">
        <f aca="false">1000-E22</f>
        <v>700</v>
      </c>
      <c r="H22" s="20" t="n">
        <v>3.5158</v>
      </c>
      <c r="I22" s="22" t="n">
        <f aca="false">F22-D22</f>
        <v>0.1826</v>
      </c>
      <c r="J22" s="22" t="n">
        <f aca="false">H22-F22</f>
        <v>0.5694</v>
      </c>
      <c r="K22" s="22" t="n">
        <f aca="false">J22+I22</f>
        <v>0.752</v>
      </c>
      <c r="L22" s="23" t="n">
        <v>2746.0033</v>
      </c>
      <c r="M22" s="23" t="n">
        <v>475.6849</v>
      </c>
      <c r="N22" s="23" t="n">
        <v>464.034</v>
      </c>
      <c r="O22" s="24" t="n">
        <f aca="false">(L22/$F$2)^(1/$F$3)</f>
        <v>15.4200301867884</v>
      </c>
      <c r="P22" s="24" t="n">
        <f aca="false">(M22/$G$2)^(1/$G$3)</f>
        <v>2.9105245079326</v>
      </c>
      <c r="Q22" s="24" t="n">
        <f aca="false">(N22/$H$2)^(1/$H$3)</f>
        <v>3.01760734368739</v>
      </c>
      <c r="R22" s="25" t="n">
        <f aca="false">O22*$K22/$I22</f>
        <v>63.5041768919214</v>
      </c>
      <c r="S22" s="25" t="n">
        <f aca="false">P22*$K22/$I22</f>
        <v>11.9863878968527</v>
      </c>
      <c r="T22" s="26" t="n">
        <f aca="false">Q22*$K22/$I22</f>
        <v>12.4273862127761</v>
      </c>
      <c r="U22" s="27" t="n">
        <v>5.737</v>
      </c>
      <c r="V22" s="27"/>
      <c r="W22" s="32"/>
      <c r="X22" s="2"/>
      <c r="Y22" s="2"/>
      <c r="Z22" s="33"/>
      <c r="AA22" s="2"/>
    </row>
    <row r="23" customFormat="false" ht="14.25" hidden="false" customHeight="true" outlineLevel="0" collapsed="false">
      <c r="A23" s="18"/>
      <c r="B23" s="34" t="s">
        <v>33</v>
      </c>
      <c r="C23" s="34" t="n">
        <v>19</v>
      </c>
      <c r="D23" s="34" t="n">
        <v>2.748</v>
      </c>
      <c r="E23" s="34" t="n">
        <v>100</v>
      </c>
      <c r="F23" s="34" t="n">
        <v>2.9478</v>
      </c>
      <c r="G23" s="30" t="n">
        <f aca="false">1000-E23</f>
        <v>900</v>
      </c>
      <c r="H23" s="34" t="n">
        <v>3.5237</v>
      </c>
      <c r="I23" s="35" t="n">
        <f aca="false">F23-D23</f>
        <v>0.1998</v>
      </c>
      <c r="J23" s="35" t="n">
        <f aca="false">H23-F23</f>
        <v>0.5759</v>
      </c>
      <c r="K23" s="35" t="n">
        <f aca="false">J23+I23</f>
        <v>0.7757</v>
      </c>
      <c r="L23" s="36" t="n">
        <v>76.3715</v>
      </c>
      <c r="M23" s="36" t="n">
        <v>1.1925</v>
      </c>
      <c r="N23" s="36" t="n">
        <v>1.1643</v>
      </c>
      <c r="O23" s="37" t="n">
        <f aca="false">(L23/$F$2)^(1/$F$3)</f>
        <v>0.511514873212641</v>
      </c>
      <c r="P23" s="37" t="n">
        <f aca="false">(M23/$G$2)^(1/$G$3)</f>
        <v>0.00951050989779457</v>
      </c>
      <c r="Q23" s="37" t="n">
        <f aca="false">(N23/$H$2)^(1/$H$3)</f>
        <v>0.00991547244067781</v>
      </c>
      <c r="R23" s="38" t="n">
        <f aca="false">O23*$K23/$I23</f>
        <v>1.98589633208732</v>
      </c>
      <c r="S23" s="38" t="n">
        <f aca="false">P23*$K23/$I23</f>
        <v>0.0369234360746709</v>
      </c>
      <c r="T23" s="39" t="n">
        <f aca="false">Q23*$K23/$I23</f>
        <v>0.0384956555166856</v>
      </c>
      <c r="U23" s="2" t="n">
        <v>98.2209</v>
      </c>
      <c r="V23" s="2"/>
      <c r="W23" s="32" t="n">
        <f aca="false">AVERAGE(R23:R24)/100</f>
        <v>0.0193409846827522</v>
      </c>
      <c r="X23" s="2" t="n">
        <f aca="false">AVERAGE(S23:S24)/100</f>
        <v>0.000279756625784368</v>
      </c>
      <c r="Y23" s="2" t="n">
        <f aca="false">AVERAGE(T23:T24)/100</f>
        <v>0.000292708191267029</v>
      </c>
      <c r="Z23" s="33" t="n">
        <f aca="false">AVERAGE(U23:V24)/100</f>
        <v>0.9787095</v>
      </c>
      <c r="AA23" s="2" t="n">
        <f aca="false">SUM(W23:Z23)</f>
        <v>0.998622949499804</v>
      </c>
      <c r="AD23" s="0" t="n">
        <v>0.0203487415232242</v>
      </c>
      <c r="AE23" s="0" t="n">
        <v>0.000205702317551325</v>
      </c>
      <c r="AF23" s="0" t="n">
        <v>0.000216708489771156</v>
      </c>
      <c r="AG23" s="0" t="n">
        <v>0.979228847669453</v>
      </c>
    </row>
    <row r="24" customFormat="false" ht="14.25" hidden="false" customHeight="true" outlineLevel="0" collapsed="false">
      <c r="A24" s="18"/>
      <c r="B24" s="34" t="s">
        <v>33</v>
      </c>
      <c r="C24" s="34" t="n">
        <v>20</v>
      </c>
      <c r="D24" s="34" t="n">
        <v>2.7552</v>
      </c>
      <c r="E24" s="34" t="n">
        <v>100</v>
      </c>
      <c r="F24" s="34" t="n">
        <v>2.9608</v>
      </c>
      <c r="G24" s="30" t="n">
        <f aca="false">1000-E24</f>
        <v>900</v>
      </c>
      <c r="H24" s="34" t="n">
        <v>3.5479</v>
      </c>
      <c r="I24" s="35" t="n">
        <f aca="false">F24-D24</f>
        <v>0.2056</v>
      </c>
      <c r="J24" s="35" t="n">
        <f aca="false">H24-F24</f>
        <v>0.5871</v>
      </c>
      <c r="K24" s="35" t="n">
        <f aca="false">J24+I24</f>
        <v>0.7927</v>
      </c>
      <c r="L24" s="36" t="n">
        <v>72.7157</v>
      </c>
      <c r="M24" s="36" t="n">
        <v>0.6003</v>
      </c>
      <c r="N24" s="36" t="n">
        <v>0.5922</v>
      </c>
      <c r="O24" s="37" t="n">
        <f aca="false">(L24/$F$2)^(1/$F$3)</f>
        <v>0.488206136341134</v>
      </c>
      <c r="P24" s="37" t="n">
        <f aca="false">(M24/$G$2)^(1/$G$3)</f>
        <v>0.00493520120512283</v>
      </c>
      <c r="Q24" s="37" t="n">
        <f aca="false">(N24/$H$2)^(1/$H$3)</f>
        <v>0.00519926081830414</v>
      </c>
      <c r="R24" s="38" t="n">
        <f aca="false">O24*$K24/$I24</f>
        <v>1.88230060446312</v>
      </c>
      <c r="S24" s="38" t="n">
        <f aca="false">P24*$K24/$I24</f>
        <v>0.0190278890822027</v>
      </c>
      <c r="T24" s="39" t="n">
        <f aca="false">Q24*$K24/$I24</f>
        <v>0.0200459827367203</v>
      </c>
      <c r="U24" s="42" t="n">
        <v>97.521</v>
      </c>
      <c r="V24" s="42"/>
      <c r="W24" s="43"/>
      <c r="X24" s="42"/>
      <c r="Y24" s="42"/>
      <c r="Z24" s="44"/>
      <c r="AA24" s="2"/>
    </row>
    <row r="25" customFormat="false" ht="14.25" hidden="false" customHeight="true" outlineLevel="0" collapsed="false">
      <c r="A25" s="45" t="s">
        <v>38</v>
      </c>
      <c r="B25" s="1" t="s">
        <v>32</v>
      </c>
      <c r="C25" s="1" t="n">
        <v>1</v>
      </c>
      <c r="D25" s="1" t="n">
        <v>2.729</v>
      </c>
      <c r="F25" s="1" t="n">
        <v>2.989</v>
      </c>
      <c r="G25" s="2" t="n">
        <f aca="false">1000-E25</f>
        <v>1000</v>
      </c>
      <c r="H25" s="1" t="n">
        <v>3.4899</v>
      </c>
      <c r="I25" s="1" t="n">
        <f aca="false">F25-D25</f>
        <v>0.26</v>
      </c>
      <c r="J25" s="1" t="n">
        <f aca="false">H25-F25</f>
        <v>0.5009</v>
      </c>
      <c r="K25" s="1" t="n">
        <f aca="false">J25+I25</f>
        <v>0.7609</v>
      </c>
      <c r="M25" s="1" t="n">
        <v>2788.92</v>
      </c>
      <c r="N25" s="1" t="n">
        <v>2800.64</v>
      </c>
      <c r="P25" s="1" t="n">
        <f aca="false">(M25/$G$2)^(1/$G$3)</f>
        <v>15.7796435014962</v>
      </c>
      <c r="Q25" s="1" t="n">
        <f aca="false">(N25/$H$2)^(1/$H$3)</f>
        <v>16.7959363703835</v>
      </c>
      <c r="S25" s="1" t="n">
        <f aca="false">P25*$K25/$I25</f>
        <v>46.1797336164941</v>
      </c>
      <c r="T25" s="1" t="n">
        <f aca="false">Q25*$K25/$I25</f>
        <v>49.1539537854801</v>
      </c>
      <c r="U25" s="1" t="n">
        <v>2.1978</v>
      </c>
      <c r="X25" s="1" t="n">
        <f aca="false">AVERAGE(S25:S26)/100</f>
        <v>0.464445317991907</v>
      </c>
      <c r="Y25" s="1" t="n">
        <f aca="false">AVERAGE(T25:T26)/100</f>
        <v>0.494314292623636</v>
      </c>
      <c r="Z25" s="1" t="n">
        <f aca="false">AVERAGE(U25:V26)/100</f>
        <v>0.022118</v>
      </c>
      <c r="AA25" s="1" t="n">
        <f aca="false">SUM(W25:Z25)</f>
        <v>0.980877610615543</v>
      </c>
      <c r="AE25" s="1" t="n">
        <f aca="false">IFERROR(X25/$AA25,"")</f>
        <v>0.473499764869185</v>
      </c>
      <c r="AF25" s="1" t="n">
        <f aca="false">IFERROR(Y25/$AA25,"")</f>
        <v>0.503951040653719</v>
      </c>
      <c r="AG25" s="1" t="n">
        <f aca="false">IFERROR(Z25/$AA25,"")</f>
        <v>0.0225491944770969</v>
      </c>
    </row>
    <row r="26" customFormat="false" ht="14.25" hidden="false" customHeight="true" outlineLevel="0" collapsed="false">
      <c r="A26" s="45"/>
      <c r="B26" s="1" t="s">
        <v>32</v>
      </c>
      <c r="C26" s="1" t="n">
        <v>2</v>
      </c>
      <c r="D26" s="1" t="n">
        <v>2.7384</v>
      </c>
      <c r="F26" s="1" t="n">
        <v>3.01</v>
      </c>
      <c r="G26" s="2" t="n">
        <f aca="false">1000-E26</f>
        <v>1000</v>
      </c>
      <c r="H26" s="1" t="n">
        <v>3.4564</v>
      </c>
      <c r="I26" s="1" t="n">
        <f aca="false">F26-D26</f>
        <v>0.2716</v>
      </c>
      <c r="J26" s="1" t="n">
        <f aca="false">H26-F26</f>
        <v>0.4464</v>
      </c>
      <c r="K26" s="1" t="n">
        <f aca="false">J26+I26</f>
        <v>0.718</v>
      </c>
      <c r="M26" s="1" t="n">
        <v>3139.22</v>
      </c>
      <c r="N26" s="1" t="n">
        <v>3152.14</v>
      </c>
      <c r="P26" s="1" t="n">
        <f aca="false">(M26/$G$2)^(1/$G$3)</f>
        <v>17.6688774694716</v>
      </c>
      <c r="Q26" s="1" t="n">
        <f aca="false">(N26/$H$2)^(1/$H$3)</f>
        <v>18.8035355531748</v>
      </c>
      <c r="S26" s="1" t="n">
        <f aca="false">P26*$K26/$I26</f>
        <v>46.7093299818873</v>
      </c>
      <c r="T26" s="1" t="n">
        <f aca="false">Q26*$K26/$I26</f>
        <v>49.7089047392471</v>
      </c>
      <c r="U26" s="1" t="n">
        <v>2.2258</v>
      </c>
    </row>
    <row r="27" customFormat="false" ht="14.25" hidden="false" customHeight="true" outlineLevel="0" collapsed="false">
      <c r="A27" s="45"/>
      <c r="B27" s="1" t="s">
        <v>33</v>
      </c>
      <c r="C27" s="1" t="n">
        <v>3</v>
      </c>
      <c r="D27" s="1" t="n">
        <v>2.7726</v>
      </c>
      <c r="F27" s="1" t="n">
        <v>3.1952</v>
      </c>
      <c r="G27" s="2" t="n">
        <f aca="false">1000-E27</f>
        <v>1000</v>
      </c>
      <c r="H27" s="1" t="n">
        <v>3.6785</v>
      </c>
      <c r="I27" s="1" t="n">
        <f aca="false">F27-D27</f>
        <v>0.4226</v>
      </c>
      <c r="J27" s="1" t="n">
        <f aca="false">H27-F27</f>
        <v>0.4833</v>
      </c>
      <c r="K27" s="1" t="n">
        <f aca="false">J27+I27</f>
        <v>0.9059</v>
      </c>
      <c r="M27" s="1" t="n">
        <v>6.34</v>
      </c>
      <c r="N27" s="1" t="n">
        <v>2.99</v>
      </c>
      <c r="P27" s="1" t="n">
        <f aca="false">(M27/$G$2)^(1/$G$3)</f>
        <v>0.0469595572572974</v>
      </c>
      <c r="Q27" s="1" t="n">
        <f aca="false">(N27/$H$2)^(1/$H$3)</f>
        <v>0.0244044767074111</v>
      </c>
      <c r="S27" s="1" t="n">
        <f aca="false">P27*$K27/$I27</f>
        <v>0.100664133742039</v>
      </c>
      <c r="T27" s="1" t="n">
        <f aca="false">Q27*$K27/$I27</f>
        <v>0.0523142817066818</v>
      </c>
      <c r="X27" s="1" t="n">
        <f aca="false">AVERAGE(S27:S28)/100</f>
        <v>0.00362468765950455</v>
      </c>
      <c r="Y27" s="1" t="n">
        <f aca="false">AVERAGE(T27:T28)/100</f>
        <v>0.00300111521001261</v>
      </c>
      <c r="Z27" s="1" t="e">
        <f aca="false">AVERAGE(U27:V28)/100</f>
        <v>#DIV/0!</v>
      </c>
      <c r="AA27" s="1" t="e">
        <f aca="false">SUM(W27:Z27)</f>
        <v>#DIV/0!</v>
      </c>
      <c r="AE27" s="1" t="str">
        <f aca="false">IFERROR(X27/$AA27,"")</f>
        <v/>
      </c>
      <c r="AF27" s="1" t="str">
        <f aca="false">IFERROR(Y27/$AA27,"")</f>
        <v/>
      </c>
      <c r="AG27" s="1" t="str">
        <f aca="false">IFERROR(Z27/$AA27,"")</f>
        <v/>
      </c>
    </row>
    <row r="28" customFormat="false" ht="14.25" hidden="false" customHeight="true" outlineLevel="0" collapsed="false">
      <c r="A28" s="45"/>
      <c r="B28" s="1" t="s">
        <v>33</v>
      </c>
      <c r="C28" s="1" t="n">
        <v>4</v>
      </c>
      <c r="D28" s="1" t="n">
        <v>2.7355</v>
      </c>
      <c r="F28" s="1" t="n">
        <v>2.974</v>
      </c>
      <c r="G28" s="2" t="n">
        <f aca="false">1000-E28</f>
        <v>1000</v>
      </c>
      <c r="H28" s="1" t="n">
        <v>3.4239</v>
      </c>
      <c r="I28" s="1" t="n">
        <f aca="false">F28-D28</f>
        <v>0.2385</v>
      </c>
      <c r="J28" s="1" t="n">
        <f aca="false">H28-F28</f>
        <v>0.4499</v>
      </c>
      <c r="K28" s="1" t="n">
        <f aca="false">J28+I28</f>
        <v>0.6884</v>
      </c>
      <c r="M28" s="1" t="n">
        <v>31.34</v>
      </c>
      <c r="N28" s="1" t="n">
        <v>25.62</v>
      </c>
      <c r="P28" s="1" t="n">
        <f aca="false">(M28/$G$2)^(1/$G$3)</f>
        <v>0.216282982947256</v>
      </c>
      <c r="Q28" s="1" t="n">
        <f aca="false">(N28/$H$2)^(1/$H$3)</f>
        <v>0.189826030404646</v>
      </c>
      <c r="S28" s="1" t="n">
        <f aca="false">P28*$K28/$I28</f>
        <v>0.624273398158871</v>
      </c>
      <c r="T28" s="1" t="n">
        <f aca="false">Q28*$K28/$I28</f>
        <v>0.547908760295841</v>
      </c>
    </row>
  </sheetData>
  <mergeCells count="9">
    <mergeCell ref="O3:Q3"/>
    <mergeCell ref="R3:T3"/>
    <mergeCell ref="U3:V3"/>
    <mergeCell ref="A5:A8"/>
    <mergeCell ref="A9:A12"/>
    <mergeCell ref="A13:A16"/>
    <mergeCell ref="A17:A20"/>
    <mergeCell ref="A21:A24"/>
    <mergeCell ref="A25:A2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AG28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U27" activeCellId="0" sqref="U27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4" min="4" style="1" width="8.34"/>
    <col collapsed="false" customWidth="true" hidden="false" outlineLevel="0" max="5" min="5" style="1" width="10.53"/>
    <col collapsed="false" customWidth="true" hidden="false" outlineLevel="0" max="6" min="6" style="1" width="13.6"/>
    <col collapsed="false" customWidth="true" hidden="false" outlineLevel="0" max="7" min="7" style="2" width="10.66"/>
    <col collapsed="false" customWidth="true" hidden="false" outlineLevel="0" max="8" min="8" style="1" width="12.73"/>
    <col collapsed="false" customWidth="true" hidden="false" outlineLevel="0" max="13" min="12" style="1" width="10.47"/>
    <col collapsed="false" customWidth="true" hidden="false" outlineLevel="0" max="14" min="14" style="1" width="12.61"/>
    <col collapsed="false" customWidth="true" hidden="false" outlineLevel="0" max="16" min="15" style="1" width="11.12"/>
    <col collapsed="false" customWidth="true" hidden="false" outlineLevel="0" max="17" min="17" style="1" width="13.67"/>
    <col collapsed="false" customWidth="true" hidden="false" outlineLevel="0" max="19" min="18" style="1" width="11.12"/>
    <col collapsed="false" customWidth="true" hidden="false" outlineLevel="0" max="20" min="20" style="1" width="13.67"/>
    <col collapsed="false" customWidth="true" hidden="false" outlineLevel="0" max="22" min="21" style="1" width="9.53"/>
  </cols>
  <sheetData>
    <row r="1" customFormat="false" ht="26.25" hidden="false" customHeight="true" outlineLevel="0" collapsed="false">
      <c r="F1" s="3" t="s">
        <v>0</v>
      </c>
      <c r="G1" s="3" t="s">
        <v>47</v>
      </c>
    </row>
    <row r="2" customFormat="false" ht="14.25" hidden="false" customHeight="true" outlineLevel="0" collapsed="false">
      <c r="E2" s="1" t="s">
        <v>2</v>
      </c>
      <c r="F2" s="1" t="n">
        <v>154.574631</v>
      </c>
      <c r="G2" s="2" t="n">
        <v>155.54848</v>
      </c>
      <c r="H2" s="4" t="n">
        <v>162.845817</v>
      </c>
    </row>
    <row r="3" customFormat="false" ht="14.25" hidden="false" customHeight="true" outlineLevel="0" collapsed="false">
      <c r="E3" s="1" t="s">
        <v>3</v>
      </c>
      <c r="F3" s="1" t="n">
        <v>1.05174512</v>
      </c>
      <c r="G3" s="2" t="n">
        <v>1.046301</v>
      </c>
      <c r="H3" s="1" t="n">
        <v>1.02796306</v>
      </c>
      <c r="M3" s="1" t="s">
        <v>4</v>
      </c>
      <c r="N3" s="1" t="s">
        <v>48</v>
      </c>
      <c r="O3" s="5" t="s">
        <v>6</v>
      </c>
      <c r="P3" s="5"/>
      <c r="Q3" s="5"/>
      <c r="R3" s="6" t="s">
        <v>7</v>
      </c>
      <c r="S3" s="6"/>
      <c r="T3" s="6"/>
      <c r="U3" s="7" t="s">
        <v>8</v>
      </c>
      <c r="V3" s="7"/>
    </row>
    <row r="4" customFormat="false" ht="14.25" hidden="false" customHeight="true" outlineLevel="0" collapsed="false">
      <c r="A4" s="8" t="s">
        <v>9</v>
      </c>
      <c r="B4" s="8" t="s">
        <v>10</v>
      </c>
      <c r="C4" s="8" t="s">
        <v>11</v>
      </c>
      <c r="D4" s="8" t="s">
        <v>12</v>
      </c>
      <c r="E4" s="8" t="s">
        <v>13</v>
      </c>
      <c r="F4" s="8" t="s">
        <v>14</v>
      </c>
      <c r="G4" s="8" t="s">
        <v>15</v>
      </c>
      <c r="H4" s="8" t="s">
        <v>16</v>
      </c>
      <c r="I4" s="9" t="s">
        <v>17</v>
      </c>
      <c r="J4" s="9" t="s">
        <v>18</v>
      </c>
      <c r="K4" s="9" t="s">
        <v>19</v>
      </c>
      <c r="L4" s="9" t="s">
        <v>20</v>
      </c>
      <c r="M4" s="10" t="s">
        <v>41</v>
      </c>
      <c r="N4" s="11" t="s">
        <v>22</v>
      </c>
      <c r="O4" s="12" t="s">
        <v>23</v>
      </c>
      <c r="P4" s="13" t="s">
        <v>24</v>
      </c>
      <c r="Q4" s="14" t="s">
        <v>25</v>
      </c>
      <c r="R4" s="12" t="s">
        <v>23</v>
      </c>
      <c r="S4" s="13" t="s">
        <v>24</v>
      </c>
      <c r="T4" s="14" t="s">
        <v>25</v>
      </c>
      <c r="U4" s="15" t="n">
        <v>1</v>
      </c>
      <c r="V4" s="15" t="n">
        <v>2</v>
      </c>
      <c r="W4" s="16" t="s">
        <v>26</v>
      </c>
      <c r="X4" s="15" t="s">
        <v>27</v>
      </c>
      <c r="Y4" s="15" t="s">
        <v>28</v>
      </c>
      <c r="Z4" s="17" t="s">
        <v>29</v>
      </c>
    </row>
    <row r="5" customFormat="false" ht="14.25" hidden="false" customHeight="true" outlineLevel="0" collapsed="false">
      <c r="A5" s="18" t="s">
        <v>49</v>
      </c>
      <c r="B5" s="19" t="s">
        <v>32</v>
      </c>
      <c r="C5" s="20" t="n">
        <v>1</v>
      </c>
      <c r="D5" s="21" t="n">
        <v>2.7013</v>
      </c>
      <c r="E5" s="19" t="n">
        <v>300</v>
      </c>
      <c r="F5" s="20" t="n">
        <v>2.8199</v>
      </c>
      <c r="G5" s="19" t="n">
        <f aca="false">1000-E5</f>
        <v>700</v>
      </c>
      <c r="H5" s="20" t="n">
        <v>3.3726</v>
      </c>
      <c r="I5" s="22" t="n">
        <f aca="false">F5-D5</f>
        <v>0.1186</v>
      </c>
      <c r="J5" s="22" t="n">
        <f aca="false">H5-F5</f>
        <v>0.5527</v>
      </c>
      <c r="K5" s="22" t="n">
        <f aca="false">J5+I5</f>
        <v>0.6713</v>
      </c>
      <c r="L5" s="23" t="n">
        <v>55.5399</v>
      </c>
      <c r="M5" s="23" t="n">
        <v>0.0396</v>
      </c>
      <c r="N5" s="23" t="n">
        <v>0.0372</v>
      </c>
      <c r="O5" s="24" t="n">
        <f aca="false">(L5/$F$2)^(1/$F$3)</f>
        <v>0.377865804895652</v>
      </c>
      <c r="P5" s="47" t="n">
        <f aca="false">(M5/$G$2)^(1/$G$3)</f>
        <v>0.000367179946216064</v>
      </c>
      <c r="Q5" s="26" t="n">
        <f aca="false">(N5/$H$2)^(1/$H$3)</f>
        <v>0.000286956864926806</v>
      </c>
      <c r="R5" s="25" t="n">
        <f aca="false">O5*$K5/$I5</f>
        <v>2.13879692096501</v>
      </c>
      <c r="S5" s="47" t="n">
        <f aca="false">P5*$K5/$I5</f>
        <v>0.00207831279843882</v>
      </c>
      <c r="T5" s="26" t="n">
        <f aca="false">Q5*$K5/$I5</f>
        <v>0.00162423392432854</v>
      </c>
      <c r="U5" s="27" t="n">
        <v>94.8602</v>
      </c>
      <c r="V5" s="27"/>
      <c r="W5" s="48" t="n">
        <f aca="false">AVERAGE(R5:R6)/100</f>
        <v>0.0217205401206323</v>
      </c>
      <c r="X5" s="49" t="n">
        <f aca="false">AVERAGE(S5:S6)/100</f>
        <v>2.11310192269882E-005</v>
      </c>
      <c r="Y5" s="49" t="n">
        <f aca="false">AVERAGE(T5:T6)/100</f>
        <v>1.63511826991334E-005</v>
      </c>
      <c r="Z5" s="50" t="n">
        <f aca="false">AVERAGE(U5:V6)/100</f>
        <v>0.975035</v>
      </c>
      <c r="AA5" s="2" t="n">
        <f aca="false">SUM(W5:Z5)</f>
        <v>0.996793022322558</v>
      </c>
      <c r="AD5" s="0" t="n">
        <v>0.0235153495087636</v>
      </c>
      <c r="AE5" s="0" t="n">
        <v>2.28771153866024E-005</v>
      </c>
      <c r="AF5" s="0" t="n">
        <v>1.77023119092022E-005</v>
      </c>
      <c r="AG5" s="0" t="n">
        <v>0.976444071063941</v>
      </c>
    </row>
    <row r="6" customFormat="false" ht="14.25" hidden="false" customHeight="true" outlineLevel="0" collapsed="false">
      <c r="A6" s="18"/>
      <c r="B6" s="20" t="s">
        <v>32</v>
      </c>
      <c r="C6" s="20" t="n">
        <v>2</v>
      </c>
      <c r="D6" s="20" t="n">
        <v>2.7072</v>
      </c>
      <c r="E6" s="20" t="n">
        <v>300</v>
      </c>
      <c r="F6" s="20" t="n">
        <v>2.8274</v>
      </c>
      <c r="G6" s="19" t="n">
        <f aca="false">1000-E6</f>
        <v>700</v>
      </c>
      <c r="H6" s="20" t="n">
        <v>3.4003</v>
      </c>
      <c r="I6" s="22" t="n">
        <f aca="false">F6-D6</f>
        <v>0.1202</v>
      </c>
      <c r="J6" s="22" t="n">
        <f aca="false">H6-F6</f>
        <v>0.5729</v>
      </c>
      <c r="K6" s="22" t="n">
        <f aca="false">J6+I6</f>
        <v>0.6931</v>
      </c>
      <c r="L6" s="23" t="n">
        <v>56.2493</v>
      </c>
      <c r="M6" s="23" t="n">
        <v>0.0402</v>
      </c>
      <c r="N6" s="23" t="n">
        <v>0.037</v>
      </c>
      <c r="O6" s="24" t="n">
        <f aca="false">(L6/$F$2)^(1/$F$3)</f>
        <v>0.38245331784736</v>
      </c>
      <c r="P6" s="47" t="n">
        <f aca="false">(M6/$G$2)^(1/$G$3)</f>
        <v>0.000372495316468693</v>
      </c>
      <c r="Q6" s="26" t="n">
        <f aca="false">(N6/$H$2)^(1/$H$3)</f>
        <v>0.000285455943417801</v>
      </c>
      <c r="R6" s="25" t="n">
        <f aca="false">O6*$K6/$I6</f>
        <v>2.20531110316144</v>
      </c>
      <c r="S6" s="47" t="n">
        <f aca="false">P6*$K6/$I6</f>
        <v>0.00214789104695883</v>
      </c>
      <c r="T6" s="26" t="n">
        <f aca="false">Q6*$K6/$I6</f>
        <v>0.00164600261549815</v>
      </c>
      <c r="U6" s="27" t="n">
        <v>97.836</v>
      </c>
      <c r="V6" s="27" t="n">
        <v>99.8143</v>
      </c>
      <c r="W6" s="51"/>
      <c r="Z6" s="33"/>
      <c r="AA6" s="2"/>
    </row>
    <row r="7" customFormat="false" ht="14.25" hidden="false" customHeight="true" outlineLevel="0" collapsed="false">
      <c r="A7" s="18"/>
      <c r="B7" s="34" t="s">
        <v>33</v>
      </c>
      <c r="C7" s="34" t="n">
        <v>3</v>
      </c>
      <c r="D7" s="34" t="n">
        <v>2.7708</v>
      </c>
      <c r="E7" s="34" t="n">
        <v>100</v>
      </c>
      <c r="F7" s="34" t="n">
        <v>2.892</v>
      </c>
      <c r="G7" s="30" t="n">
        <f aca="false">1000-E7</f>
        <v>900</v>
      </c>
      <c r="H7" s="34" t="n">
        <v>3.4467</v>
      </c>
      <c r="I7" s="35" t="n">
        <f aca="false">F7-D7</f>
        <v>0.1212</v>
      </c>
      <c r="J7" s="35" t="n">
        <f aca="false">H7-F7</f>
        <v>0.5547</v>
      </c>
      <c r="K7" s="35" t="n">
        <f aca="false">J7+I7</f>
        <v>0.6759</v>
      </c>
      <c r="L7" s="1" t="n">
        <v>2545.2794</v>
      </c>
      <c r="M7" s="1" t="n">
        <v>56.8928</v>
      </c>
      <c r="N7" s="36" t="n">
        <v>57.1111</v>
      </c>
      <c r="O7" s="52" t="n">
        <f aca="false">(L7/$F$2)^(1/$F$3)</f>
        <v>14.3463530972446</v>
      </c>
      <c r="P7" s="53" t="n">
        <f aca="false">(M7/$G$2)^(1/$G$3)</f>
        <v>0.382402939128063</v>
      </c>
      <c r="Q7" s="54" t="n">
        <f aca="false">(N7/$H$2)^(1/$H$3)</f>
        <v>0.360846530718288</v>
      </c>
      <c r="R7" s="55" t="n">
        <f aca="false">O7*$K7/$I7</f>
        <v>80.0057760596339</v>
      </c>
      <c r="S7" s="53" t="n">
        <f aca="false">P7*$K7/$I7</f>
        <v>2.13255896498893</v>
      </c>
      <c r="T7" s="54" t="n">
        <f aca="false">Q7*$K7/$I7</f>
        <v>2.01234463789184</v>
      </c>
      <c r="U7" s="2" t="n">
        <v>8.024</v>
      </c>
      <c r="V7" s="2"/>
      <c r="W7" s="51" t="n">
        <f aca="false">AVERAGE(R7:R8)/100</f>
        <v>0.807803528951634</v>
      </c>
      <c r="X7" s="0" t="n">
        <f aca="false">AVERAGE(S7:S8)/100</f>
        <v>0.0215601205502776</v>
      </c>
      <c r="Y7" s="1" t="n">
        <f aca="false">AVERAGE(T7:T8)/100</f>
        <v>0.0203489853694609</v>
      </c>
      <c r="Z7" s="33" t="n">
        <f aca="false">AVERAGE(U7:V8)/100</f>
        <v>0.080074</v>
      </c>
      <c r="AA7" s="2" t="n">
        <f aca="false">SUM(W7:Z7)</f>
        <v>0.929786634871372</v>
      </c>
      <c r="AD7" s="0" t="n">
        <v>0.874553865245104</v>
      </c>
      <c r="AE7" s="0" t="n">
        <v>0.0233416741653337</v>
      </c>
      <c r="AF7" s="0" t="n">
        <v>0.022030460589562</v>
      </c>
      <c r="AG7" s="0" t="n">
        <v>0.080074</v>
      </c>
    </row>
    <row r="8" customFormat="false" ht="14.25" hidden="false" customHeight="true" outlineLevel="0" collapsed="false">
      <c r="A8" s="18"/>
      <c r="B8" s="34" t="s">
        <v>33</v>
      </c>
      <c r="C8" s="34" t="n">
        <v>4</v>
      </c>
      <c r="D8" s="34" t="n">
        <v>2.6999</v>
      </c>
      <c r="E8" s="34" t="n">
        <v>100</v>
      </c>
      <c r="F8" s="34" t="n">
        <v>2.8161</v>
      </c>
      <c r="G8" s="30" t="n">
        <f aca="false">1000-E8</f>
        <v>900</v>
      </c>
      <c r="H8" s="34" t="n">
        <v>3.3773</v>
      </c>
      <c r="I8" s="35" t="n">
        <f aca="false">F8-D8</f>
        <v>0.1162</v>
      </c>
      <c r="J8" s="35" t="n">
        <f aca="false">H8-F8</f>
        <v>0.5612</v>
      </c>
      <c r="K8" s="35" t="n">
        <f aca="false">J8+I8</f>
        <v>0.6774</v>
      </c>
      <c r="L8" s="36" t="n">
        <v>2478.7887</v>
      </c>
      <c r="M8" s="36" t="n">
        <v>55.5639</v>
      </c>
      <c r="N8" s="36" t="n">
        <v>55.8238</v>
      </c>
      <c r="O8" s="52" t="n">
        <f aca="false">(L8/$F$2)^(1/$F$3)</f>
        <v>13.9897886547188</v>
      </c>
      <c r="P8" s="53" t="n">
        <f aca="false">(M8/$G$2)^(1/$G$3)</f>
        <v>0.373861602977176</v>
      </c>
      <c r="Q8" s="54" t="n">
        <f aca="false">(N8/$H$2)^(1/$H$3)</f>
        <v>0.352931758286447</v>
      </c>
      <c r="R8" s="55" t="n">
        <f aca="false">O8*$K8/$I8</f>
        <v>81.5549297306929</v>
      </c>
      <c r="S8" s="53" t="n">
        <f aca="false">P8*$K8/$I8</f>
        <v>2.1794651450666</v>
      </c>
      <c r="T8" s="54" t="n">
        <f aca="false">Q8*$K8/$I8</f>
        <v>2.05745243600033</v>
      </c>
      <c r="U8" s="2" t="n">
        <v>7.9908</v>
      </c>
      <c r="V8" s="2"/>
      <c r="W8" s="51"/>
      <c r="Z8" s="33"/>
      <c r="AA8" s="2"/>
    </row>
    <row r="9" customFormat="false" ht="14.25" hidden="false" customHeight="true" outlineLevel="0" collapsed="false">
      <c r="A9" s="18" t="s">
        <v>50</v>
      </c>
      <c r="B9" s="19" t="s">
        <v>32</v>
      </c>
      <c r="C9" s="20" t="n">
        <v>5</v>
      </c>
      <c r="D9" s="19" t="n">
        <v>2.7245</v>
      </c>
      <c r="E9" s="19" t="n">
        <v>300</v>
      </c>
      <c r="F9" s="20" t="n">
        <v>2.8419</v>
      </c>
      <c r="G9" s="19" t="n">
        <f aca="false">1000-E9</f>
        <v>700</v>
      </c>
      <c r="H9" s="20" t="n">
        <v>3.4066</v>
      </c>
      <c r="I9" s="22" t="n">
        <f aca="false">F9-D9</f>
        <v>0.1174</v>
      </c>
      <c r="J9" s="22" t="n">
        <f aca="false">H9-F9</f>
        <v>0.5647</v>
      </c>
      <c r="K9" s="22" t="n">
        <f aca="false">J9+I9</f>
        <v>0.6821</v>
      </c>
      <c r="L9" s="23" t="n">
        <v>108.408</v>
      </c>
      <c r="M9" s="23" t="n">
        <v>1377.7625</v>
      </c>
      <c r="N9" s="23" t="n">
        <v>1105.9791</v>
      </c>
      <c r="O9" s="24" t="n">
        <f aca="false">(L9/$F$2)^(1/$F$3)</f>
        <v>0.713680101706344</v>
      </c>
      <c r="P9" s="47" t="n">
        <f aca="false">(M9/$G$2)^(1/$G$3)</f>
        <v>8.04244702423472</v>
      </c>
      <c r="Q9" s="26" t="n">
        <f aca="false">(N9/$H$2)^(1/$H$3)</f>
        <v>6.44671877405501</v>
      </c>
      <c r="R9" s="25" t="n">
        <f aca="false">O9*$K9/$I9</f>
        <v>4.14651786519504</v>
      </c>
      <c r="S9" s="47" t="n">
        <f aca="false">P9*$K9/$I9</f>
        <v>46.7270282387607</v>
      </c>
      <c r="T9" s="26" t="n">
        <f aca="false">Q9*$K9/$I9</f>
        <v>37.4557655518137</v>
      </c>
      <c r="U9" s="27" t="n">
        <v>3.2518</v>
      </c>
      <c r="V9" s="27"/>
      <c r="W9" s="56" t="n">
        <f aca="false">AVERAGE(R9:R10)/100</f>
        <v>0.0399347436548235</v>
      </c>
      <c r="X9" s="57" t="n">
        <f aca="false">AVERAGE(S9:S10)/100</f>
        <v>0.450669053077152</v>
      </c>
      <c r="Y9" s="57" t="n">
        <f aca="false">AVERAGE(T9:T10)/100</f>
        <v>0.370763991916084</v>
      </c>
      <c r="Z9" s="29" t="n">
        <f aca="false">AVERAGE(U9:V10)/100</f>
        <v>0.0324405</v>
      </c>
      <c r="AA9" s="2" t="n">
        <f aca="false">SUM(W9:Z9)</f>
        <v>0.89380828864806</v>
      </c>
      <c r="AD9" s="0" t="n">
        <v>0.0448580050386312</v>
      </c>
      <c r="AE9" s="0" t="n">
        <v>0.506228732264523</v>
      </c>
      <c r="AF9" s="0" t="n">
        <v>0.416472762696846</v>
      </c>
      <c r="AG9" s="0" t="n">
        <v>0.0324405</v>
      </c>
    </row>
    <row r="10" customFormat="false" ht="14.25" hidden="false" customHeight="true" outlineLevel="0" collapsed="false">
      <c r="A10" s="18"/>
      <c r="B10" s="20" t="s">
        <v>32</v>
      </c>
      <c r="C10" s="20" t="n">
        <v>6</v>
      </c>
      <c r="D10" s="20" t="n">
        <v>2.7725</v>
      </c>
      <c r="E10" s="20" t="n">
        <v>300</v>
      </c>
      <c r="F10" s="20" t="n">
        <v>2.8896</v>
      </c>
      <c r="G10" s="19" t="n">
        <f aca="false">1000-E10</f>
        <v>700</v>
      </c>
      <c r="H10" s="20" t="n">
        <v>3.457</v>
      </c>
      <c r="I10" s="22" t="n">
        <f aca="false">F10-D10</f>
        <v>0.1171</v>
      </c>
      <c r="J10" s="22" t="n">
        <f aca="false">H10-F10</f>
        <v>0.5674</v>
      </c>
      <c r="K10" s="22" t="n">
        <f aca="false">J10+I10</f>
        <v>0.6845</v>
      </c>
      <c r="L10" s="23" t="n">
        <v>99.3714</v>
      </c>
      <c r="M10" s="23" t="n">
        <v>1267.4271</v>
      </c>
      <c r="N10" s="23" t="n">
        <v>1076.2182</v>
      </c>
      <c r="O10" s="24" t="n">
        <f aca="false">(L10/$F$2)^(1/$F$3)</f>
        <v>0.656997011514432</v>
      </c>
      <c r="P10" s="47" t="n">
        <f aca="false">(M10/$G$2)^(1/$G$3)</f>
        <v>7.42576218598691</v>
      </c>
      <c r="Q10" s="26" t="n">
        <f aca="false">(N10/$H$2)^(1/$H$3)</f>
        <v>6.27789999204866</v>
      </c>
      <c r="R10" s="25" t="n">
        <f aca="false">O10*$K10/$I10</f>
        <v>3.84043086576967</v>
      </c>
      <c r="S10" s="47" t="n">
        <f aca="false">P10*$K10/$I10</f>
        <v>43.4067823766698</v>
      </c>
      <c r="T10" s="26" t="n">
        <f aca="false">Q10*$K10/$I10</f>
        <v>36.6970328314031</v>
      </c>
      <c r="U10" s="27" t="n">
        <v>3.2363</v>
      </c>
      <c r="V10" s="27"/>
      <c r="W10" s="51"/>
      <c r="Z10" s="33"/>
      <c r="AA10" s="2"/>
    </row>
    <row r="11" customFormat="false" ht="14.25" hidden="false" customHeight="true" outlineLevel="0" collapsed="false">
      <c r="A11" s="18"/>
      <c r="B11" s="34" t="s">
        <v>33</v>
      </c>
      <c r="C11" s="34" t="n">
        <v>7</v>
      </c>
      <c r="D11" s="34" t="n">
        <v>2.7079</v>
      </c>
      <c r="E11" s="34" t="n">
        <v>100</v>
      </c>
      <c r="F11" s="34" t="n">
        <v>2.8283</v>
      </c>
      <c r="G11" s="30" t="n">
        <f aca="false">1000-E11</f>
        <v>900</v>
      </c>
      <c r="H11" s="34" t="n">
        <v>3.3915</v>
      </c>
      <c r="I11" s="35" t="n">
        <f aca="false">F11-D11</f>
        <v>0.1204</v>
      </c>
      <c r="J11" s="35" t="n">
        <f aca="false">H11-F11</f>
        <v>0.5632</v>
      </c>
      <c r="K11" s="35" t="n">
        <f aca="false">J11+I11</f>
        <v>0.6836</v>
      </c>
      <c r="L11" s="40" t="n">
        <v>1.0187</v>
      </c>
      <c r="M11" s="40" t="n">
        <v>1.3953</v>
      </c>
      <c r="N11" s="36" t="n">
        <v>1.2605</v>
      </c>
      <c r="O11" s="52" t="n">
        <f aca="false">(L11/$F$2)^(1/$F$3)</f>
        <v>0.00843754836777535</v>
      </c>
      <c r="P11" s="53" t="n">
        <f aca="false">(M11/$G$2)^(1/$G$3)</f>
        <v>0.0110508226422213</v>
      </c>
      <c r="Q11" s="54" t="n">
        <f aca="false">(N11/$H$2)^(1/$H$3)</f>
        <v>0.00883480285778204</v>
      </c>
      <c r="R11" s="55" t="n">
        <f aca="false">O11*$K11/$I11</f>
        <v>0.0479062131579006</v>
      </c>
      <c r="S11" s="53" t="n">
        <f aca="false">P11*$K11/$I11</f>
        <v>0.0627437072942067</v>
      </c>
      <c r="T11" s="54" t="n">
        <f aca="false">Q11*$K11/$I11</f>
        <v>0.0501617212091346</v>
      </c>
      <c r="U11" s="2" t="n">
        <v>85.2153</v>
      </c>
      <c r="V11" s="2"/>
      <c r="W11" s="51" t="n">
        <f aca="false">AVERAGE(R11:R12)/100</f>
        <v>0.000476326035390112</v>
      </c>
      <c r="X11" s="0" t="n">
        <f aca="false">AVERAGE(S11:S12)/100</f>
        <v>0.000624690978018088</v>
      </c>
      <c r="Y11" s="1" t="n">
        <f aca="false">AVERAGE(T11:T12)/100</f>
        <v>0.000500138906128114</v>
      </c>
      <c r="Z11" s="33" t="n">
        <f aca="false">AVERAGE(U11:V12)/100</f>
        <v>0.844857</v>
      </c>
      <c r="AA11" s="2" t="n">
        <f aca="false">SUM(W11:Z11)</f>
        <v>0.846458155919536</v>
      </c>
      <c r="AD11" s="0" t="n">
        <v>0.000515685758278287</v>
      </c>
      <c r="AE11" s="0" t="n">
        <v>0.000676310377250375</v>
      </c>
      <c r="AF11" s="0" t="n">
        <v>0.000541466331648062</v>
      </c>
      <c r="AG11" s="0" t="n">
        <v>0.998266537532823</v>
      </c>
    </row>
    <row r="12" customFormat="false" ht="14.25" hidden="false" customHeight="true" outlineLevel="0" collapsed="false">
      <c r="A12" s="18"/>
      <c r="B12" s="34" t="s">
        <v>33</v>
      </c>
      <c r="C12" s="34" t="n">
        <v>8</v>
      </c>
      <c r="D12" s="34" t="n">
        <v>2.7899</v>
      </c>
      <c r="E12" s="34" t="n">
        <v>100</v>
      </c>
      <c r="F12" s="34" t="n">
        <v>2.911</v>
      </c>
      <c r="G12" s="30" t="n">
        <f aca="false">1000-E12</f>
        <v>900</v>
      </c>
      <c r="H12" s="34" t="n">
        <v>3.473</v>
      </c>
      <c r="I12" s="35" t="n">
        <f aca="false">F12-D12</f>
        <v>0.1211</v>
      </c>
      <c r="J12" s="35" t="n">
        <f aca="false">H12-F12</f>
        <v>0.562</v>
      </c>
      <c r="K12" s="35" t="n">
        <f aca="false">J12+I12</f>
        <v>0.6831</v>
      </c>
      <c r="L12" s="36" t="n">
        <v>1.0134</v>
      </c>
      <c r="M12" s="36" t="n">
        <v>1.392</v>
      </c>
      <c r="N12" s="36" t="n">
        <v>1.2613</v>
      </c>
      <c r="O12" s="52" t="n">
        <f aca="false">(L12/$F$2)^(1/$F$3)</f>
        <v>0.00839580466070381</v>
      </c>
      <c r="P12" s="53" t="n">
        <f aca="false">(M12/$G$2)^(1/$G$3)</f>
        <v>0.0110258418010096</v>
      </c>
      <c r="Q12" s="54" t="n">
        <f aca="false">(N12/$H$2)^(1/$H$3)</f>
        <v>0.0088402574557118</v>
      </c>
      <c r="R12" s="55" t="n">
        <f aca="false">O12*$K12/$I12</f>
        <v>0.0473589939201219</v>
      </c>
      <c r="S12" s="53" t="n">
        <f aca="false">P12*$K12/$I12</f>
        <v>0.0621944883094109</v>
      </c>
      <c r="T12" s="54" t="n">
        <f aca="false">Q12*$K12/$I12</f>
        <v>0.0498660600164882</v>
      </c>
      <c r="U12" s="2" t="n">
        <v>83.7561</v>
      </c>
      <c r="V12" s="2"/>
      <c r="W12" s="51"/>
      <c r="Z12" s="33"/>
      <c r="AA12" s="2"/>
    </row>
    <row r="13" customFormat="false" ht="14.25" hidden="false" customHeight="true" outlineLevel="0" collapsed="false">
      <c r="A13" s="18" t="s">
        <v>51</v>
      </c>
      <c r="B13" s="19" t="s">
        <v>32</v>
      </c>
      <c r="C13" s="20" t="n">
        <v>9</v>
      </c>
      <c r="D13" s="19" t="n">
        <v>2.699</v>
      </c>
      <c r="E13" s="19" t="n">
        <v>300</v>
      </c>
      <c r="F13" s="20" t="n">
        <v>2.8788</v>
      </c>
      <c r="G13" s="19" t="n">
        <f aca="false">1000-E13</f>
        <v>700</v>
      </c>
      <c r="H13" s="20" t="n">
        <v>3.4598</v>
      </c>
      <c r="I13" s="22" t="n">
        <f aca="false">F13-D13</f>
        <v>0.1798</v>
      </c>
      <c r="J13" s="22" t="n">
        <f aca="false">H13-F13</f>
        <v>0.581</v>
      </c>
      <c r="K13" s="22" t="n">
        <f aca="false">J13+I13</f>
        <v>0.7608</v>
      </c>
      <c r="L13" s="23" t="n">
        <v>1730.8582</v>
      </c>
      <c r="M13" s="23" t="n">
        <v>970.019</v>
      </c>
      <c r="N13" s="23" t="n">
        <v>930.6113</v>
      </c>
      <c r="O13" s="24" t="n">
        <f aca="false">(L13/$F$2)^(1/$F$3)</f>
        <v>9.94276430650812</v>
      </c>
      <c r="P13" s="47" t="n">
        <f aca="false">(M13/$G$2)^(1/$G$3)</f>
        <v>5.75092690000535</v>
      </c>
      <c r="Q13" s="26" t="n">
        <f aca="false">(N13/$H$2)^(1/$H$3)</f>
        <v>5.45004043755441</v>
      </c>
      <c r="R13" s="25" t="n">
        <f aca="false">O13*$K13/$I13</f>
        <v>42.0714965761478</v>
      </c>
      <c r="S13" s="47" t="n">
        <f aca="false">P13*$K13/$I13</f>
        <v>24.3342891297223</v>
      </c>
      <c r="T13" s="26" t="n">
        <f aca="false">Q13*$K13/$I13</f>
        <v>23.0611277246462</v>
      </c>
      <c r="U13" s="27" t="n">
        <v>4.6408</v>
      </c>
      <c r="V13" s="27"/>
      <c r="W13" s="56" t="n">
        <f aca="false">AVERAGE(R13:R14)/100</f>
        <v>0.455281368967412</v>
      </c>
      <c r="X13" s="57" t="n">
        <f aca="false">AVERAGE(S13:S14)/100</f>
        <v>0.261936042113037</v>
      </c>
      <c r="Y13" s="57" t="n">
        <f aca="false">AVERAGE(T13:T14)/100</f>
        <v>0.235486099024823</v>
      </c>
      <c r="Z13" s="29" t="n">
        <f aca="false">AVERAGE(U13:V14)/100</f>
        <v>0.0429306666666667</v>
      </c>
      <c r="AA13" s="2" t="n">
        <f aca="false">SUM(W13:Z13)</f>
        <v>0.995634176771939</v>
      </c>
      <c r="AD13" s="0" t="n">
        <v>0.457367724223647</v>
      </c>
      <c r="AE13" s="0" t="n">
        <v>0.263136380355516</v>
      </c>
      <c r="AF13" s="0" t="n">
        <v>0.23656522875417</v>
      </c>
      <c r="AG13" s="0" t="n">
        <v>0.0429306666666667</v>
      </c>
    </row>
    <row r="14" customFormat="false" ht="14.25" hidden="false" customHeight="true" outlineLevel="0" collapsed="false">
      <c r="A14" s="18"/>
      <c r="B14" s="19" t="s">
        <v>32</v>
      </c>
      <c r="C14" s="20" t="n">
        <v>10</v>
      </c>
      <c r="D14" s="20" t="n">
        <v>2.7274</v>
      </c>
      <c r="E14" s="20" t="n">
        <v>300</v>
      </c>
      <c r="F14" s="20" t="n">
        <v>2.9304</v>
      </c>
      <c r="G14" s="19" t="n">
        <f aca="false">1000-E14</f>
        <v>700</v>
      </c>
      <c r="H14" s="20" t="n">
        <v>3.4872</v>
      </c>
      <c r="I14" s="22" t="n">
        <f aca="false">F14-D14</f>
        <v>0.203</v>
      </c>
      <c r="J14" s="22" t="n">
        <f aca="false">H14-F14</f>
        <v>0.5568</v>
      </c>
      <c r="K14" s="22" t="n">
        <f aca="false">J14+I14</f>
        <v>0.7598</v>
      </c>
      <c r="L14" s="23" t="n">
        <v>2310.9367</v>
      </c>
      <c r="M14" s="23" t="n">
        <v>1279.8042</v>
      </c>
      <c r="N14" s="23" t="n">
        <v>1101.5948</v>
      </c>
      <c r="O14" s="24" t="n">
        <f aca="false">(L14/$F$2)^(1/$F$3)</f>
        <v>13.0875358977612</v>
      </c>
      <c r="P14" s="47" t="n">
        <f aca="false">(M14/$G$2)^(1/$G$3)</f>
        <v>7.49505477290824</v>
      </c>
      <c r="Q14" s="26" t="n">
        <f aca="false">(N14/$H$2)^(1/$H$3)</f>
        <v>6.42185666268047</v>
      </c>
      <c r="R14" s="25" t="n">
        <f aca="false">O14*$K14/$I14</f>
        <v>48.9847772173347</v>
      </c>
      <c r="S14" s="47" t="n">
        <f aca="false">P14*$K14/$I14</f>
        <v>28.0529192928851</v>
      </c>
      <c r="T14" s="26" t="n">
        <f aca="false">Q14*$K14/$I14</f>
        <v>24.0360920803183</v>
      </c>
      <c r="U14" s="27" t="n">
        <v>4.1703</v>
      </c>
      <c r="V14" s="27" t="n">
        <v>4.0681</v>
      </c>
      <c r="W14" s="51"/>
      <c r="Z14" s="33"/>
      <c r="AA14" s="2"/>
    </row>
    <row r="15" customFormat="false" ht="14.25" hidden="false" customHeight="true" outlineLevel="0" collapsed="false">
      <c r="A15" s="18"/>
      <c r="B15" s="34" t="s">
        <v>33</v>
      </c>
      <c r="C15" s="34" t="n">
        <v>11</v>
      </c>
      <c r="D15" s="34" t="n">
        <v>2.6932</v>
      </c>
      <c r="E15" s="34" t="n">
        <v>100</v>
      </c>
      <c r="F15" s="34" t="n">
        <v>2.8994</v>
      </c>
      <c r="G15" s="30" t="n">
        <f aca="false">1000-E15</f>
        <v>900</v>
      </c>
      <c r="H15" s="34" t="n">
        <v>3.4787</v>
      </c>
      <c r="I15" s="35" t="n">
        <f aca="false">F15-D15</f>
        <v>0.2062</v>
      </c>
      <c r="J15" s="35" t="n">
        <f aca="false">H15-F15</f>
        <v>0.5793</v>
      </c>
      <c r="K15" s="35" t="n">
        <f aca="false">J15+I15</f>
        <v>0.7855</v>
      </c>
      <c r="L15" s="36" t="n">
        <v>37.8412</v>
      </c>
      <c r="M15" s="36" t="n">
        <v>1.0273</v>
      </c>
      <c r="N15" s="41" t="n">
        <v>0.5447</v>
      </c>
      <c r="O15" s="52" t="n">
        <f aca="false">(L15/$F$2)^(1/$F$3)</f>
        <v>0.262359007280137</v>
      </c>
      <c r="P15" s="53" t="n">
        <f aca="false">(M15/$G$2)^(1/$G$3)</f>
        <v>0.00824723777678869</v>
      </c>
      <c r="Q15" s="54" t="n">
        <f aca="false">(N15/$H$2)^(1/$H$3)</f>
        <v>0.00390592182493379</v>
      </c>
      <c r="R15" s="55" t="n">
        <f aca="false">O15*$K15/$I15</f>
        <v>0.9994325907786</v>
      </c>
      <c r="S15" s="53" t="n">
        <f aca="false">P15*$K15/$I15</f>
        <v>0.0314170963805408</v>
      </c>
      <c r="T15" s="54" t="n">
        <f aca="false">Q15*$K15/$I15</f>
        <v>0.014879251180822</v>
      </c>
      <c r="U15" s="2" t="n">
        <v>99.3191</v>
      </c>
      <c r="V15" s="2"/>
      <c r="W15" s="51" t="n">
        <f aca="false">AVERAGE(R15:R16)/100</f>
        <v>0.004997162953893</v>
      </c>
      <c r="X15" s="0" t="n">
        <f aca="false">AVERAGE(S15:S16)/100</f>
        <v>0.000157085481902704</v>
      </c>
      <c r="Y15" s="1" t="n">
        <f aca="false">AVERAGE(T15:T16)/100</f>
        <v>7.43962559041098E-005</v>
      </c>
      <c r="Z15" s="33" t="n">
        <f aca="false">AVERAGE(U15:V16)/100</f>
        <v>0.9965775</v>
      </c>
      <c r="AA15" s="2" t="n">
        <f aca="false">SUM(W15:Z15)</f>
        <v>1.0018061446917</v>
      </c>
      <c r="AD15" s="0" t="n">
        <v>0.010820175995662</v>
      </c>
      <c r="AE15" s="0" t="n">
        <v>0.000340131505863043</v>
      </c>
      <c r="AF15" s="0" t="n">
        <v>0.000161087519003891</v>
      </c>
      <c r="AG15" s="0" t="n">
        <v>0.988678604979471</v>
      </c>
    </row>
    <row r="16" customFormat="false" ht="14.25" hidden="false" customHeight="true" outlineLevel="0" collapsed="false">
      <c r="A16" s="18"/>
      <c r="B16" s="34" t="s">
        <v>33</v>
      </c>
      <c r="C16" s="34" t="n">
        <v>12</v>
      </c>
      <c r="D16" s="34" t="n">
        <v>2.7189</v>
      </c>
      <c r="E16" s="34" t="n">
        <v>100</v>
      </c>
      <c r="F16" s="34" t="n">
        <v>2.9127</v>
      </c>
      <c r="G16" s="30" t="n">
        <f aca="false">1000-E16</f>
        <v>900</v>
      </c>
      <c r="H16" s="34" t="n">
        <v>3.4667</v>
      </c>
      <c r="I16" s="35" t="n">
        <f aca="false">F16-D16</f>
        <v>0.1938</v>
      </c>
      <c r="J16" s="35" t="n">
        <f aca="false">H16-F16</f>
        <v>0.554</v>
      </c>
      <c r="K16" s="35" t="n">
        <f aca="false">J16+I16</f>
        <v>0.7478</v>
      </c>
      <c r="L16" s="36"/>
      <c r="M16" s="36"/>
      <c r="N16" s="36"/>
      <c r="O16" s="52" t="n">
        <f aca="false">(L16/$F$2)^(1/$F$3)</f>
        <v>0</v>
      </c>
      <c r="P16" s="53" t="n">
        <f aca="false">(M16/$G$2)^(1/$G$3)</f>
        <v>0</v>
      </c>
      <c r="Q16" s="54" t="n">
        <f aca="false">(N16/$H$2)^(1/$H$3)</f>
        <v>0</v>
      </c>
      <c r="R16" s="55" t="n">
        <f aca="false">O16*$K16/$I16</f>
        <v>0</v>
      </c>
      <c r="S16" s="53" t="n">
        <f aca="false">P16*$K16/$I16</f>
        <v>0</v>
      </c>
      <c r="T16" s="54" t="n">
        <f aca="false">Q16*$K16/$I16</f>
        <v>0</v>
      </c>
      <c r="U16" s="2" t="n">
        <v>99.9964</v>
      </c>
      <c r="V16" s="2"/>
      <c r="W16" s="51"/>
      <c r="Z16" s="33"/>
      <c r="AA16" s="2"/>
    </row>
    <row r="17" customFormat="false" ht="14.25" hidden="false" customHeight="true" outlineLevel="0" collapsed="false">
      <c r="A17" s="18" t="s">
        <v>52</v>
      </c>
      <c r="B17" s="19" t="s">
        <v>32</v>
      </c>
      <c r="C17" s="20" t="n">
        <v>13</v>
      </c>
      <c r="D17" s="19" t="n">
        <v>2.7179</v>
      </c>
      <c r="E17" s="19" t="n">
        <v>300</v>
      </c>
      <c r="F17" s="20" t="n">
        <v>2.9029</v>
      </c>
      <c r="G17" s="19" t="n">
        <f aca="false">1000-E17</f>
        <v>700</v>
      </c>
      <c r="H17" s="20" t="n">
        <v>3.453</v>
      </c>
      <c r="I17" s="22" t="n">
        <f aca="false">F17-D17</f>
        <v>0.185</v>
      </c>
      <c r="J17" s="22" t="n">
        <f aca="false">H17-F17</f>
        <v>0.5501</v>
      </c>
      <c r="K17" s="22" t="n">
        <f aca="false">J17+I17</f>
        <v>0.7351</v>
      </c>
      <c r="L17" s="23"/>
      <c r="M17" s="23"/>
      <c r="N17" s="23"/>
      <c r="O17" s="24" t="n">
        <f aca="false">(L17/$F$2)^(1/$F$3)</f>
        <v>0</v>
      </c>
      <c r="P17" s="47" t="n">
        <f aca="false">(M17/$G$2)^(1/$G$3)</f>
        <v>0</v>
      </c>
      <c r="Q17" s="26" t="n">
        <f aca="false">(N17/$H$2)^(1/$H$3)</f>
        <v>0</v>
      </c>
      <c r="R17" s="25" t="n">
        <f aca="false">O17*$K17/$I17</f>
        <v>0</v>
      </c>
      <c r="S17" s="47" t="n">
        <f aca="false">P17*$K17/$I17</f>
        <v>0</v>
      </c>
      <c r="T17" s="26" t="n">
        <f aca="false">Q17*$K17/$I17</f>
        <v>0</v>
      </c>
      <c r="U17" s="27" t="n">
        <v>3.5476</v>
      </c>
      <c r="V17" s="27"/>
      <c r="W17" s="56" t="n">
        <f aca="false">AVERAGE(R17:R18)/100</f>
        <v>0</v>
      </c>
      <c r="X17" s="57" t="n">
        <f aca="false">AVERAGE(S17:S18)/100</f>
        <v>0</v>
      </c>
      <c r="Y17" s="57" t="n">
        <f aca="false">AVERAGE(T17:T18)/100</f>
        <v>0</v>
      </c>
      <c r="Z17" s="29" t="n">
        <f aca="false">AVERAGE(U17:V18)/100</f>
        <v>0.0357665</v>
      </c>
      <c r="AA17" s="2" t="n">
        <f aca="false">SUM(W17:Z17)</f>
        <v>0.0357665</v>
      </c>
    </row>
    <row r="18" customFormat="false" ht="14.25" hidden="false" customHeight="true" outlineLevel="0" collapsed="false">
      <c r="A18" s="18"/>
      <c r="B18" s="20" t="s">
        <v>32</v>
      </c>
      <c r="C18" s="20" t="n">
        <v>14</v>
      </c>
      <c r="D18" s="20" t="n">
        <v>2.754</v>
      </c>
      <c r="E18" s="20" t="n">
        <v>300</v>
      </c>
      <c r="F18" s="20" t="n">
        <v>2.9499</v>
      </c>
      <c r="G18" s="19" t="n">
        <f aca="false">1000-E18</f>
        <v>700</v>
      </c>
      <c r="H18" s="20" t="n">
        <v>3.516</v>
      </c>
      <c r="I18" s="22" t="n">
        <f aca="false">F18-D18</f>
        <v>0.1959</v>
      </c>
      <c r="J18" s="22" t="n">
        <f aca="false">H18-F18</f>
        <v>0.5661</v>
      </c>
      <c r="K18" s="22" t="n">
        <f aca="false">J18+I18</f>
        <v>0.762</v>
      </c>
      <c r="L18" s="23"/>
      <c r="M18" s="23"/>
      <c r="N18" s="23"/>
      <c r="O18" s="24" t="n">
        <f aca="false">(L18/$F$2)^(1/$F$3)</f>
        <v>0</v>
      </c>
      <c r="P18" s="47" t="n">
        <f aca="false">(M18/$G$2)^(1/$G$3)</f>
        <v>0</v>
      </c>
      <c r="Q18" s="26" t="n">
        <f aca="false">(N18/$H$2)^(1/$H$3)</f>
        <v>0</v>
      </c>
      <c r="R18" s="25" t="n">
        <f aca="false">O18*$K18/$I18</f>
        <v>0</v>
      </c>
      <c r="S18" s="47" t="n">
        <f aca="false">P18*$K18/$I18</f>
        <v>0</v>
      </c>
      <c r="T18" s="26" t="n">
        <f aca="false">Q18*$K18/$I18</f>
        <v>0</v>
      </c>
      <c r="U18" s="27" t="n">
        <v>3.6057</v>
      </c>
      <c r="V18" s="27"/>
      <c r="W18" s="51"/>
      <c r="Z18" s="33"/>
      <c r="AA18" s="2"/>
    </row>
    <row r="19" customFormat="false" ht="14.25" hidden="false" customHeight="true" outlineLevel="0" collapsed="false">
      <c r="A19" s="18"/>
      <c r="B19" s="34" t="s">
        <v>33</v>
      </c>
      <c r="C19" s="34" t="n">
        <v>15</v>
      </c>
      <c r="D19" s="34" t="n">
        <v>2.8124</v>
      </c>
      <c r="E19" s="34" t="n">
        <v>100</v>
      </c>
      <c r="F19" s="34" t="n">
        <v>3.0131</v>
      </c>
      <c r="G19" s="30" t="n">
        <f aca="false">1000-E19</f>
        <v>900</v>
      </c>
      <c r="H19" s="34" t="n">
        <v>3.5794</v>
      </c>
      <c r="I19" s="35" t="n">
        <f aca="false">F19-D19</f>
        <v>0.2007</v>
      </c>
      <c r="J19" s="35" t="n">
        <f aca="false">H19-F19</f>
        <v>0.5663</v>
      </c>
      <c r="K19" s="35" t="n">
        <f aca="false">J19+I19</f>
        <v>0.767</v>
      </c>
      <c r="L19" s="36"/>
      <c r="M19" s="36"/>
      <c r="N19" s="36"/>
      <c r="O19" s="52" t="n">
        <f aca="false">(L19/$F$2)^(1/$F$3)</f>
        <v>0</v>
      </c>
      <c r="P19" s="53" t="n">
        <f aca="false">(M19/$G$2)^(1/$G$3)</f>
        <v>0</v>
      </c>
      <c r="Q19" s="54" t="n">
        <f aca="false">(N19/$H$2)^(1/$H$3)</f>
        <v>0</v>
      </c>
      <c r="R19" s="55" t="n">
        <f aca="false">O19*$K19/$I19</f>
        <v>0</v>
      </c>
      <c r="S19" s="53" t="n">
        <f aca="false">P19*$K19/$I19</f>
        <v>0</v>
      </c>
      <c r="T19" s="54" t="n">
        <f aca="false">Q19*$K19/$I19</f>
        <v>0</v>
      </c>
      <c r="U19" s="2" t="n">
        <v>101.1918</v>
      </c>
      <c r="V19" s="2" t="n">
        <v>94.5604</v>
      </c>
      <c r="W19" s="51" t="n">
        <f aca="false">AVERAGE(R19:R20)/100</f>
        <v>0</v>
      </c>
      <c r="X19" s="0" t="n">
        <f aca="false">AVERAGE(S19:S20)/100</f>
        <v>0</v>
      </c>
      <c r="Y19" s="1" t="n">
        <f aca="false">AVERAGE(T19:T20)/100</f>
        <v>0</v>
      </c>
      <c r="Z19" s="33" t="n">
        <f aca="false">AVERAGE(U19:V20)/100</f>
        <v>0.984174</v>
      </c>
      <c r="AA19" s="2" t="n">
        <f aca="false">SUM(W19:Z19)</f>
        <v>0.984174</v>
      </c>
    </row>
    <row r="20" customFormat="false" ht="14.25" hidden="false" customHeight="true" outlineLevel="0" collapsed="false">
      <c r="A20" s="18"/>
      <c r="B20" s="34" t="s">
        <v>33</v>
      </c>
      <c r="C20" s="34" t="n">
        <v>16</v>
      </c>
      <c r="D20" s="34" t="n">
        <v>2.7546</v>
      </c>
      <c r="E20" s="34" t="n">
        <v>100</v>
      </c>
      <c r="F20" s="34" t="n">
        <v>2.9584</v>
      </c>
      <c r="G20" s="30" t="n">
        <f aca="false">1000-E20</f>
        <v>900</v>
      </c>
      <c r="H20" s="34" t="n">
        <v>3.5212</v>
      </c>
      <c r="I20" s="35" t="n">
        <f aca="false">F20-D20</f>
        <v>0.2038</v>
      </c>
      <c r="J20" s="35" t="n">
        <f aca="false">H20-F20</f>
        <v>0.5628</v>
      </c>
      <c r="K20" s="35" t="n">
        <f aca="false">J20+I20</f>
        <v>0.7666</v>
      </c>
      <c r="L20" s="36"/>
      <c r="M20" s="36"/>
      <c r="N20" s="36"/>
      <c r="O20" s="52" t="n">
        <f aca="false">(L20/$F$2)^(1/$F$3)</f>
        <v>0</v>
      </c>
      <c r="P20" s="53" t="n">
        <f aca="false">(M20/$G$2)^(1/$G$3)</f>
        <v>0</v>
      </c>
      <c r="Q20" s="54" t="n">
        <f aca="false">(N20/$H$2)^(1/$H$3)</f>
        <v>0</v>
      </c>
      <c r="R20" s="55" t="n">
        <f aca="false">O20*$K20/$I20</f>
        <v>0</v>
      </c>
      <c r="S20" s="53" t="n">
        <f aca="false">P20*$K20/$I20</f>
        <v>0</v>
      </c>
      <c r="T20" s="54" t="n">
        <f aca="false">Q20*$K20/$I20</f>
        <v>0</v>
      </c>
      <c r="U20" s="2" t="n">
        <v>99.5</v>
      </c>
      <c r="V20" s="2"/>
      <c r="W20" s="51"/>
      <c r="Z20" s="33"/>
      <c r="AA20" s="2"/>
    </row>
    <row r="21" customFormat="false" ht="14.25" hidden="false" customHeight="true" outlineLevel="0" collapsed="false">
      <c r="A21" s="18" t="s">
        <v>53</v>
      </c>
      <c r="B21" s="19" t="s">
        <v>32</v>
      </c>
      <c r="C21" s="20" t="n">
        <v>17</v>
      </c>
      <c r="D21" s="19" t="n">
        <v>2.7277</v>
      </c>
      <c r="E21" s="19" t="n">
        <v>300</v>
      </c>
      <c r="F21" s="20" t="n">
        <v>2.9309</v>
      </c>
      <c r="G21" s="19" t="n">
        <f aca="false">1000-E21</f>
        <v>700</v>
      </c>
      <c r="H21" s="20" t="n">
        <v>3.4876</v>
      </c>
      <c r="I21" s="22" t="n">
        <f aca="false">F21-D21</f>
        <v>0.2032</v>
      </c>
      <c r="J21" s="22" t="n">
        <f aca="false">H21-F21</f>
        <v>0.5567</v>
      </c>
      <c r="K21" s="22" t="n">
        <f aca="false">J21+I21</f>
        <v>0.7599</v>
      </c>
      <c r="L21" s="23"/>
      <c r="M21" s="23"/>
      <c r="N21" s="23"/>
      <c r="O21" s="24" t="n">
        <f aca="false">(L21/$F$2)^(1/$F$3)</f>
        <v>0</v>
      </c>
      <c r="P21" s="47" t="n">
        <f aca="false">(M21/$G$2)^(1/$G$3)</f>
        <v>0</v>
      </c>
      <c r="Q21" s="26" t="n">
        <f aca="false">(N21/$H$2)^(1/$H$3)</f>
        <v>0</v>
      </c>
      <c r="R21" s="25" t="n">
        <f aca="false">O21*$K21/$I21</f>
        <v>0</v>
      </c>
      <c r="S21" s="47" t="n">
        <f aca="false">P21*$K21/$I21</f>
        <v>0</v>
      </c>
      <c r="T21" s="26" t="n">
        <f aca="false">Q21*$K21/$I21</f>
        <v>0</v>
      </c>
      <c r="U21" s="27"/>
      <c r="V21" s="27"/>
      <c r="W21" s="56" t="n">
        <f aca="false">AVERAGE(R21:R22)/100</f>
        <v>0</v>
      </c>
      <c r="X21" s="57" t="n">
        <f aca="false">AVERAGE(S21:S22)/100</f>
        <v>0</v>
      </c>
      <c r="Y21" s="57" t="n">
        <f aca="false">AVERAGE(T21:T22)/100</f>
        <v>0</v>
      </c>
      <c r="Z21" s="29" t="n">
        <f aca="false">AVERAGE(U21:V22)/100</f>
        <v>0.954764</v>
      </c>
      <c r="AA21" s="2" t="n">
        <f aca="false">SUM(W21:Z21)</f>
        <v>0.954764</v>
      </c>
    </row>
    <row r="22" customFormat="false" ht="14.25" hidden="false" customHeight="true" outlineLevel="0" collapsed="false">
      <c r="A22" s="18"/>
      <c r="B22" s="20" t="s">
        <v>32</v>
      </c>
      <c r="C22" s="20" t="n">
        <v>18</v>
      </c>
      <c r="D22" s="20" t="n">
        <v>2.7236</v>
      </c>
      <c r="E22" s="20" t="n">
        <v>300</v>
      </c>
      <c r="F22" s="20" t="n">
        <v>2.9478</v>
      </c>
      <c r="G22" s="19" t="n">
        <f aca="false">1000-E22</f>
        <v>700</v>
      </c>
      <c r="H22" s="20" t="n">
        <v>3.5161</v>
      </c>
      <c r="I22" s="22" t="n">
        <f aca="false">F22-D22</f>
        <v>0.2242</v>
      </c>
      <c r="J22" s="22" t="n">
        <f aca="false">H22-F22</f>
        <v>0.5683</v>
      </c>
      <c r="K22" s="22" t="n">
        <f aca="false">J22+I22</f>
        <v>0.7925</v>
      </c>
      <c r="L22" s="23"/>
      <c r="M22" s="23"/>
      <c r="N22" s="23"/>
      <c r="O22" s="24" t="n">
        <f aca="false">(L22/$F$2)^(1/$F$3)</f>
        <v>0</v>
      </c>
      <c r="P22" s="47" t="n">
        <f aca="false">(M22/$G$2)^(1/$G$3)</f>
        <v>0</v>
      </c>
      <c r="Q22" s="26" t="n">
        <f aca="false">(N22/$H$2)^(1/$H$3)</f>
        <v>0</v>
      </c>
      <c r="R22" s="25" t="n">
        <f aca="false">O22*$K22/$I22</f>
        <v>0</v>
      </c>
      <c r="S22" s="47" t="n">
        <f aca="false">P22*$K22/$I22</f>
        <v>0</v>
      </c>
      <c r="T22" s="26" t="n">
        <f aca="false">Q22*$K22/$I22</f>
        <v>0</v>
      </c>
      <c r="U22" s="27" t="n">
        <v>96.4875</v>
      </c>
      <c r="V22" s="27" t="n">
        <v>94.4653</v>
      </c>
      <c r="W22" s="51"/>
      <c r="Z22" s="33"/>
      <c r="AA22" s="2"/>
    </row>
    <row r="23" customFormat="false" ht="14.25" hidden="false" customHeight="true" outlineLevel="0" collapsed="false">
      <c r="A23" s="18"/>
      <c r="B23" s="34" t="s">
        <v>33</v>
      </c>
      <c r="C23" s="34" t="n">
        <v>19</v>
      </c>
      <c r="D23" s="34" t="n">
        <v>2.7657</v>
      </c>
      <c r="E23" s="34" t="n">
        <v>100</v>
      </c>
      <c r="F23" s="34" t="n">
        <v>2.9728</v>
      </c>
      <c r="G23" s="30" t="n">
        <f aca="false">1000-E23</f>
        <v>900</v>
      </c>
      <c r="H23" s="34" t="n">
        <v>3.682</v>
      </c>
      <c r="I23" s="35" t="n">
        <f aca="false">F23-D23</f>
        <v>0.2071</v>
      </c>
      <c r="J23" s="35" t="n">
        <f aca="false">H23-F23</f>
        <v>0.7092</v>
      </c>
      <c r="K23" s="35" t="n">
        <f aca="false">J23+I23</f>
        <v>0.9163</v>
      </c>
      <c r="L23" s="36"/>
      <c r="M23" s="36"/>
      <c r="N23" s="36"/>
      <c r="O23" s="52" t="n">
        <f aca="false">(L23/$F$2)^(1/$F$3)</f>
        <v>0</v>
      </c>
      <c r="P23" s="53" t="n">
        <f aca="false">(M23/$G$2)^(1/$G$3)</f>
        <v>0</v>
      </c>
      <c r="Q23" s="54" t="n">
        <f aca="false">(N23/$H$2)^(1/$H$3)</f>
        <v>0</v>
      </c>
      <c r="R23" s="55" t="n">
        <f aca="false">O23*$K23/$I23</f>
        <v>0</v>
      </c>
      <c r="S23" s="53" t="n">
        <f aca="false">P23*$K23/$I23</f>
        <v>0</v>
      </c>
      <c r="T23" s="54" t="n">
        <f aca="false">Q23*$K23/$I23</f>
        <v>0</v>
      </c>
      <c r="U23" s="2" t="n">
        <v>5.7</v>
      </c>
      <c r="V23" s="2"/>
      <c r="W23" s="51" t="n">
        <f aca="false">AVERAGE(R23:R24)/100</f>
        <v>0</v>
      </c>
      <c r="X23" s="0" t="n">
        <f aca="false">AVERAGE(S23:S24)/100</f>
        <v>0</v>
      </c>
      <c r="Y23" s="1" t="n">
        <f aca="false">AVERAGE(T23:T24)/100</f>
        <v>0</v>
      </c>
      <c r="Z23" s="33" t="n">
        <f aca="false">AVERAGE(U23:V24)/100</f>
        <v>0.05666</v>
      </c>
      <c r="AA23" s="2" t="n">
        <f aca="false">SUM(W23:Z23)</f>
        <v>0.05666</v>
      </c>
    </row>
    <row r="24" customFormat="false" ht="14.25" hidden="false" customHeight="true" outlineLevel="0" collapsed="false">
      <c r="A24" s="18"/>
      <c r="B24" s="34" t="s">
        <v>33</v>
      </c>
      <c r="C24" s="34" t="n">
        <v>20</v>
      </c>
      <c r="D24" s="34" t="n">
        <v>2.7535</v>
      </c>
      <c r="E24" s="34" t="n">
        <v>100</v>
      </c>
      <c r="F24" s="34" t="n">
        <v>2.9725</v>
      </c>
      <c r="G24" s="30" t="n">
        <f aca="false">1000-E24</f>
        <v>900</v>
      </c>
      <c r="H24" s="34" t="n">
        <v>3.5466</v>
      </c>
      <c r="I24" s="35" t="n">
        <f aca="false">F24-D24</f>
        <v>0.219</v>
      </c>
      <c r="J24" s="35" t="n">
        <f aca="false">H24-F24</f>
        <v>0.5741</v>
      </c>
      <c r="K24" s="35" t="n">
        <f aca="false">J24+I24</f>
        <v>0.7931</v>
      </c>
      <c r="L24" s="36"/>
      <c r="M24" s="36"/>
      <c r="N24" s="36"/>
      <c r="O24" s="58" t="n">
        <f aca="false">(L24/$F$2)^(1/$F$3)</f>
        <v>0</v>
      </c>
      <c r="P24" s="59" t="n">
        <f aca="false">(M24/$G$2)^(1/$G$3)</f>
        <v>0</v>
      </c>
      <c r="Q24" s="60" t="n">
        <f aca="false">(N24/$H$2)^(1/$H$3)</f>
        <v>0</v>
      </c>
      <c r="R24" s="55" t="n">
        <f aca="false">O24*$K24/$I24</f>
        <v>0</v>
      </c>
      <c r="S24" s="53" t="n">
        <f aca="false">P24*$K24/$I24</f>
        <v>0</v>
      </c>
      <c r="T24" s="54" t="n">
        <f aca="false">Q24*$K24/$I24</f>
        <v>0</v>
      </c>
      <c r="U24" s="42" t="n">
        <v>5.632</v>
      </c>
      <c r="V24" s="42"/>
      <c r="W24" s="61"/>
      <c r="X24" s="62"/>
      <c r="Y24" s="62"/>
      <c r="Z24" s="44"/>
      <c r="AA24" s="2"/>
    </row>
    <row r="25" customFormat="false" ht="14.25" hidden="false" customHeight="true" outlineLevel="0" collapsed="false">
      <c r="A25" s="45" t="s">
        <v>38</v>
      </c>
      <c r="B25" s="1" t="s">
        <v>32</v>
      </c>
      <c r="C25" s="1" t="n">
        <v>1</v>
      </c>
      <c r="D25" s="1" t="n">
        <v>2.7507</v>
      </c>
      <c r="F25" s="1" t="n">
        <v>3.0125</v>
      </c>
      <c r="G25" s="2" t="n">
        <f aca="false">1000-E25</f>
        <v>1000</v>
      </c>
      <c r="H25" s="1" t="n">
        <v>3.4537</v>
      </c>
      <c r="I25" s="1" t="n">
        <f aca="false">F25-D25</f>
        <v>0.2618</v>
      </c>
      <c r="J25" s="1" t="n">
        <f aca="false">H25-F25</f>
        <v>0.4412</v>
      </c>
      <c r="K25" s="1" t="n">
        <f aca="false">J25+I25</f>
        <v>0.703</v>
      </c>
      <c r="M25" s="1" t="n">
        <v>3266.95</v>
      </c>
      <c r="N25" s="1" t="n">
        <v>3086.41</v>
      </c>
      <c r="P25" s="1" t="n">
        <f aca="false">(M25/$G$2)^(1/$G$3)</f>
        <v>18.3553730534036</v>
      </c>
      <c r="Q25" s="1" t="n">
        <f aca="false">(N25/$H$2)^(1/$H$3)</f>
        <v>17.4952894425709</v>
      </c>
      <c r="S25" s="1" t="n">
        <f aca="false">P25*$K25/$I25</f>
        <v>49.2888741655566</v>
      </c>
      <c r="T25" s="1" t="n">
        <f aca="false">Q25*$K25/$I25</f>
        <v>46.9793295573999</v>
      </c>
      <c r="U25" s="1" t="n">
        <v>3.2005</v>
      </c>
      <c r="X25" s="1" t="n">
        <f aca="false">AVERAGE(S25:S26)/100</f>
        <v>0.492911363582667</v>
      </c>
      <c r="Y25" s="1" t="n">
        <f aca="false">AVERAGE(T25:T26)/100</f>
        <v>0.47002127271554</v>
      </c>
      <c r="Z25" s="1" t="n">
        <f aca="false">AVERAGE(U25:V26)/100</f>
        <v>0.0319855</v>
      </c>
      <c r="AA25" s="1" t="n">
        <f aca="false">SUM(W25:Z25)</f>
        <v>0.994918136298207</v>
      </c>
      <c r="AE25" s="1" t="n">
        <f aca="false">IFERROR(X25/$AA25,"")</f>
        <v>0.495429066572897</v>
      </c>
      <c r="AF25" s="1" t="n">
        <f aca="false">IFERROR(Y25/$AA25,"")</f>
        <v>0.472422057220053</v>
      </c>
      <c r="AG25" s="1" t="n">
        <f aca="false">IFERROR(Z25/$AA25,"")</f>
        <v>0.0321488762070501</v>
      </c>
    </row>
    <row r="26" customFormat="false" ht="14.25" hidden="false" customHeight="true" outlineLevel="0" collapsed="false">
      <c r="A26" s="45"/>
      <c r="B26" s="1" t="s">
        <v>32</v>
      </c>
      <c r="C26" s="1" t="n">
        <v>2</v>
      </c>
      <c r="D26" s="1" t="n">
        <v>2.7564</v>
      </c>
      <c r="F26" s="1" t="n">
        <v>3.04</v>
      </c>
      <c r="G26" s="2" t="n">
        <f aca="false">1000-E26</f>
        <v>1000</v>
      </c>
      <c r="H26" s="1" t="n">
        <v>3.5266</v>
      </c>
      <c r="I26" s="1" t="n">
        <f aca="false">F26-D26</f>
        <v>0.2836</v>
      </c>
      <c r="J26" s="1" t="n">
        <f aca="false">H26-F26</f>
        <v>0.4866</v>
      </c>
      <c r="K26" s="1" t="n">
        <f aca="false">J26+I26</f>
        <v>0.7702</v>
      </c>
      <c r="M26" s="1" t="n">
        <v>3228.83</v>
      </c>
      <c r="N26" s="1" t="n">
        <v>3053.78</v>
      </c>
      <c r="P26" s="1" t="n">
        <f aca="false">(M26/$G$2)^(1/$G$3)</f>
        <v>18.150620396075</v>
      </c>
      <c r="Q26" s="1" t="n">
        <f aca="false">(N26/$H$2)^(1/$H$3)</f>
        <v>17.3153320253789</v>
      </c>
      <c r="S26" s="1" t="n">
        <f aca="false">P26*$K26/$I26</f>
        <v>49.2933985509767</v>
      </c>
      <c r="T26" s="1" t="n">
        <f aca="false">Q26*$K26/$I26</f>
        <v>47.0249249857081</v>
      </c>
      <c r="U26" s="1" t="n">
        <v>3.1966</v>
      </c>
    </row>
    <row r="27" customFormat="false" ht="14.25" hidden="false" customHeight="true" outlineLevel="0" collapsed="false">
      <c r="A27" s="45"/>
      <c r="B27" s="1" t="s">
        <v>33</v>
      </c>
      <c r="C27" s="1" t="n">
        <v>3</v>
      </c>
      <c r="D27" s="1" t="n">
        <v>2.7665</v>
      </c>
      <c r="F27" s="1" t="n">
        <v>3.0608</v>
      </c>
      <c r="G27" s="2" t="n">
        <f aca="false">1000-E27</f>
        <v>1000</v>
      </c>
      <c r="H27" s="1" t="n">
        <v>3.4632</v>
      </c>
      <c r="I27" s="1" t="n">
        <f aca="false">F27-D27</f>
        <v>0.2943</v>
      </c>
      <c r="J27" s="1" t="n">
        <f aca="false">H27-F27</f>
        <v>0.4024</v>
      </c>
      <c r="K27" s="1" t="n">
        <f aca="false">J27+I27</f>
        <v>0.6967</v>
      </c>
      <c r="M27" s="1" t="n">
        <v>10.53</v>
      </c>
      <c r="N27" s="1" t="n">
        <v>9.44</v>
      </c>
      <c r="P27" s="1" t="n">
        <f aca="false">(M27/$G$2)^(1/$G$3)</f>
        <v>0.0762627816564464</v>
      </c>
      <c r="Q27" s="1" t="n">
        <f aca="false">(N27/$H$2)^(1/$H$3)</f>
        <v>0.0626382243409277</v>
      </c>
      <c r="S27" s="1" t="n">
        <f aca="false">P27*$K27/$I27</f>
        <v>0.180537818484697</v>
      </c>
      <c r="T27" s="1" t="n">
        <f aca="false">Q27*$K27/$I27</f>
        <v>0.14828423682747</v>
      </c>
      <c r="X27" s="1" t="n">
        <f aca="false">AVERAGE(S27:S28)/100</f>
        <v>0.00212867119015662</v>
      </c>
      <c r="Y27" s="1" t="n">
        <f aca="false">AVERAGE(T27:T28)/100</f>
        <v>0.00176567362735554</v>
      </c>
      <c r="Z27" s="1" t="e">
        <f aca="false">AVERAGE(U27:V28)/100</f>
        <v>#DIV/0!</v>
      </c>
      <c r="AA27" s="1" t="e">
        <f aca="false">SUM(W27:Z27)</f>
        <v>#DIV/0!</v>
      </c>
      <c r="AE27" s="1" t="str">
        <f aca="false">IFERROR(X27/$AA27,"")</f>
        <v/>
      </c>
      <c r="AF27" s="1" t="str">
        <f aca="false">IFERROR(Y27/$AA27,"")</f>
        <v/>
      </c>
      <c r="AG27" s="1" t="str">
        <f aca="false">IFERROR(Z27/$AA27,"")</f>
        <v/>
      </c>
    </row>
    <row r="28" customFormat="false" ht="14.25" hidden="false" customHeight="true" outlineLevel="0" collapsed="false">
      <c r="A28" s="45"/>
      <c r="B28" s="1" t="s">
        <v>33</v>
      </c>
      <c r="C28" s="1" t="n">
        <v>4</v>
      </c>
      <c r="D28" s="1" t="n">
        <v>2.7466</v>
      </c>
      <c r="F28" s="1" t="n">
        <v>3.0467</v>
      </c>
      <c r="G28" s="2" t="n">
        <f aca="false">1000-E28</f>
        <v>1000</v>
      </c>
      <c r="H28" s="1" t="n">
        <v>3.532</v>
      </c>
      <c r="I28" s="1" t="n">
        <f aca="false">F28-D28</f>
        <v>0.3001</v>
      </c>
      <c r="J28" s="1" t="n">
        <f aca="false">H28-F28</f>
        <v>0.4853</v>
      </c>
      <c r="K28" s="1" t="n">
        <f aca="false">J28+I28</f>
        <v>0.7854</v>
      </c>
      <c r="M28" s="1" t="n">
        <v>13.06</v>
      </c>
      <c r="N28" s="1" t="n">
        <v>11.87</v>
      </c>
      <c r="P28" s="1" t="n">
        <f aca="false">(M28/$G$2)^(1/$G$3)</f>
        <v>0.0936891335700825</v>
      </c>
      <c r="Q28" s="1" t="n">
        <f aca="false">(N28/$H$2)^(1/$H$3)</f>
        <v>0.0782730222077361</v>
      </c>
      <c r="S28" s="1" t="n">
        <f aca="false">P28*$K28/$I28</f>
        <v>0.245196419546627</v>
      </c>
      <c r="T28" s="1" t="n">
        <f aca="false">Q28*$K28/$I28</f>
        <v>0.204850488643639</v>
      </c>
    </row>
  </sheetData>
  <mergeCells count="9">
    <mergeCell ref="O3:Q3"/>
    <mergeCell ref="R3:T3"/>
    <mergeCell ref="U3:V3"/>
    <mergeCell ref="A5:A8"/>
    <mergeCell ref="A9:A12"/>
    <mergeCell ref="A13:A16"/>
    <mergeCell ref="A17:A20"/>
    <mergeCell ref="A21:A24"/>
    <mergeCell ref="A25:A2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AG28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U29" activeCellId="0" sqref="U29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4" min="4" style="1" width="8.34"/>
    <col collapsed="false" customWidth="true" hidden="false" outlineLevel="0" max="5" min="5" style="1" width="10.53"/>
    <col collapsed="false" customWidth="true" hidden="false" outlineLevel="0" max="6" min="6" style="1" width="13.6"/>
    <col collapsed="false" customWidth="true" hidden="false" outlineLevel="0" max="7" min="7" style="2" width="10.66"/>
    <col collapsed="false" customWidth="true" hidden="false" outlineLevel="0" max="8" min="8" style="1" width="13.81"/>
    <col collapsed="false" customWidth="true" hidden="false" outlineLevel="0" max="9" min="9" style="1" width="10.76"/>
    <col collapsed="false" customWidth="true" hidden="false" outlineLevel="0" max="10" min="10" style="1" width="11.17"/>
    <col collapsed="false" customWidth="true" hidden="false" outlineLevel="0" max="11" min="11" style="1" width="11.03"/>
    <col collapsed="false" customWidth="true" hidden="false" outlineLevel="0" max="13" min="12" style="1" width="10.47"/>
    <col collapsed="false" customWidth="true" hidden="false" outlineLevel="0" max="14" min="14" style="1" width="12.61"/>
    <col collapsed="false" customWidth="true" hidden="false" outlineLevel="0" max="16" min="15" style="1" width="11.12"/>
    <col collapsed="false" customWidth="true" hidden="false" outlineLevel="0" max="17" min="17" style="1" width="13.67"/>
    <col collapsed="false" customWidth="true" hidden="false" outlineLevel="0" max="19" min="18" style="1" width="11.12"/>
    <col collapsed="false" customWidth="true" hidden="false" outlineLevel="0" max="20" min="20" style="1" width="13.67"/>
    <col collapsed="false" customWidth="true" hidden="false" outlineLevel="0" max="22" min="21" style="1" width="9.53"/>
  </cols>
  <sheetData>
    <row r="1" customFormat="false" ht="26.25" hidden="false" customHeight="true" outlineLevel="0" collapsed="false">
      <c r="F1" s="3" t="s">
        <v>0</v>
      </c>
      <c r="G1" s="3" t="s">
        <v>54</v>
      </c>
    </row>
    <row r="2" customFormat="false" ht="14.25" hidden="false" customHeight="true" outlineLevel="0" collapsed="false">
      <c r="E2" s="1" t="s">
        <v>2</v>
      </c>
      <c r="F2" s="1" t="n">
        <v>154.574631</v>
      </c>
      <c r="G2" s="2" t="n">
        <v>155.54848</v>
      </c>
      <c r="H2" s="4" t="n">
        <v>128.508587</v>
      </c>
    </row>
    <row r="3" customFormat="false" ht="14.25" hidden="false" customHeight="true" outlineLevel="0" collapsed="false">
      <c r="E3" s="1" t="s">
        <v>3</v>
      </c>
      <c r="F3" s="1" t="n">
        <v>1.05174512</v>
      </c>
      <c r="G3" s="2" t="n">
        <v>1.046301</v>
      </c>
      <c r="H3" s="1" t="n">
        <v>1.0374418</v>
      </c>
      <c r="M3" s="1" t="s">
        <v>4</v>
      </c>
      <c r="N3" s="1" t="s">
        <v>55</v>
      </c>
      <c r="O3" s="5" t="s">
        <v>6</v>
      </c>
      <c r="P3" s="5"/>
      <c r="Q3" s="5"/>
      <c r="R3" s="6" t="s">
        <v>7</v>
      </c>
      <c r="S3" s="6"/>
      <c r="T3" s="6"/>
      <c r="U3" s="7" t="s">
        <v>8</v>
      </c>
      <c r="V3" s="7"/>
    </row>
    <row r="4" customFormat="false" ht="14.25" hidden="false" customHeight="true" outlineLevel="0" collapsed="false">
      <c r="A4" s="8" t="s">
        <v>9</v>
      </c>
      <c r="B4" s="8" t="s">
        <v>10</v>
      </c>
      <c r="C4" s="8" t="s">
        <v>11</v>
      </c>
      <c r="D4" s="8" t="s">
        <v>12</v>
      </c>
      <c r="E4" s="8" t="s">
        <v>13</v>
      </c>
      <c r="F4" s="8" t="s">
        <v>14</v>
      </c>
      <c r="G4" s="8" t="s">
        <v>15</v>
      </c>
      <c r="H4" s="8" t="s">
        <v>16</v>
      </c>
      <c r="I4" s="9" t="s">
        <v>17</v>
      </c>
      <c r="J4" s="9" t="s">
        <v>18</v>
      </c>
      <c r="K4" s="9" t="s">
        <v>19</v>
      </c>
      <c r="L4" s="9" t="s">
        <v>20</v>
      </c>
      <c r="M4" s="10" t="s">
        <v>41</v>
      </c>
      <c r="N4" s="11" t="s">
        <v>22</v>
      </c>
      <c r="O4" s="12" t="s">
        <v>23</v>
      </c>
      <c r="P4" s="13" t="s">
        <v>24</v>
      </c>
      <c r="Q4" s="14" t="s">
        <v>25</v>
      </c>
      <c r="R4" s="12" t="s">
        <v>23</v>
      </c>
      <c r="S4" s="13" t="s">
        <v>24</v>
      </c>
      <c r="T4" s="14" t="s">
        <v>25</v>
      </c>
      <c r="U4" s="15" t="n">
        <v>1</v>
      </c>
      <c r="V4" s="15" t="n">
        <v>2</v>
      </c>
      <c r="W4" s="16" t="s">
        <v>26</v>
      </c>
      <c r="X4" s="15" t="s">
        <v>27</v>
      </c>
      <c r="Y4" s="15" t="s">
        <v>28</v>
      </c>
      <c r="Z4" s="17" t="s">
        <v>29</v>
      </c>
    </row>
    <row r="5" customFormat="false" ht="14.25" hidden="false" customHeight="true" outlineLevel="0" collapsed="false">
      <c r="A5" s="18" t="s">
        <v>56</v>
      </c>
      <c r="B5" s="19" t="s">
        <v>32</v>
      </c>
      <c r="C5" s="20" t="n">
        <v>1</v>
      </c>
      <c r="D5" s="21" t="n">
        <v>2.8196</v>
      </c>
      <c r="E5" s="19" t="n">
        <v>300</v>
      </c>
      <c r="F5" s="20" t="n">
        <v>3.0137</v>
      </c>
      <c r="G5" s="19" t="n">
        <f aca="false">1000-E5</f>
        <v>700</v>
      </c>
      <c r="H5" s="20" t="n">
        <v>3.5711</v>
      </c>
      <c r="I5" s="22" t="n">
        <f aca="false">F5-D5</f>
        <v>0.1941</v>
      </c>
      <c r="J5" s="22" t="n">
        <f aca="false">H5-F5</f>
        <v>0.5574</v>
      </c>
      <c r="K5" s="22" t="n">
        <f aca="false">J5+I5</f>
        <v>0.7515</v>
      </c>
      <c r="L5" s="23" t="n">
        <v>44.3399</v>
      </c>
      <c r="M5" s="23" t="n">
        <v>0.0206</v>
      </c>
      <c r="N5" s="23" t="n">
        <v>0.0466</v>
      </c>
      <c r="O5" s="24" t="n">
        <f aca="false">(L5/$F$2)^(1/$F$3)</f>
        <v>0.305027791276203</v>
      </c>
      <c r="P5" s="47" t="n">
        <f aca="false">(M5/$G$2)^(1/$G$3)</f>
        <v>0.000196612428440131</v>
      </c>
      <c r="Q5" s="26" t="n">
        <f aca="false">(N5/$H$2)^(1/$H$3)</f>
        <v>0.000482641680372561</v>
      </c>
      <c r="R5" s="25" t="n">
        <f aca="false">O5*$K5/$I5</f>
        <v>1.18098086112347</v>
      </c>
      <c r="S5" s="47" t="n">
        <f aca="false">P5*$K5/$I5</f>
        <v>0.000761227408411944</v>
      </c>
      <c r="T5" s="26" t="n">
        <f aca="false">Q5*$K5/$I5</f>
        <v>0.00186865132818124</v>
      </c>
      <c r="U5" s="27" t="n">
        <v>96.2569</v>
      </c>
      <c r="V5" s="27"/>
      <c r="W5" s="48" t="n">
        <f aca="false">AVERAGE(R5:R6)/100</f>
        <v>0.00752789377984753</v>
      </c>
      <c r="X5" s="49" t="n">
        <f aca="false">AVERAGE(S5:S6)/100</f>
        <v>5.3731402517012E-006</v>
      </c>
      <c r="Y5" s="49" t="n">
        <f aca="false">AVERAGE(T5:T6)/100</f>
        <v>1.19014219052806E-005</v>
      </c>
      <c r="Z5" s="50" t="n">
        <f aca="false">AVERAGE(U5:V6)/100</f>
        <v>0.97173</v>
      </c>
      <c r="AA5" s="2" t="n">
        <f aca="false">SUM(W5:Z5)</f>
        <v>0.979275168342005</v>
      </c>
      <c r="AD5" s="0" t="n">
        <v>0.00816941356095746</v>
      </c>
      <c r="AE5" s="0" t="n">
        <v>5.83103403433824E-006</v>
      </c>
      <c r="AF5" s="0" t="n">
        <v>1.29156494965375E-005</v>
      </c>
      <c r="AG5" s="0" t="n">
        <v>0.991811839755512</v>
      </c>
    </row>
    <row r="6" customFormat="false" ht="14.25" hidden="false" customHeight="true" outlineLevel="0" collapsed="false">
      <c r="A6" s="18"/>
      <c r="B6" s="20" t="s">
        <v>32</v>
      </c>
      <c r="C6" s="20" t="n">
        <v>2</v>
      </c>
      <c r="D6" s="20" t="n">
        <v>2.8655</v>
      </c>
      <c r="E6" s="20" t="n">
        <v>300</v>
      </c>
      <c r="F6" s="20" t="n">
        <v>3.0706</v>
      </c>
      <c r="G6" s="19" t="n">
        <f aca="false">1000-E6</f>
        <v>700</v>
      </c>
      <c r="H6" s="20" t="n">
        <v>3.6826</v>
      </c>
      <c r="I6" s="22" t="n">
        <f aca="false">F6-D6</f>
        <v>0.2051</v>
      </c>
      <c r="J6" s="22" t="n">
        <f aca="false">H6-F6</f>
        <v>0.612</v>
      </c>
      <c r="K6" s="22" t="n">
        <f aca="false">J6+I6</f>
        <v>0.8171</v>
      </c>
      <c r="L6" s="23" t="n">
        <v>11.0618</v>
      </c>
      <c r="M6" s="23" t="n">
        <v>0.0079</v>
      </c>
      <c r="N6" s="23" t="n">
        <v>0.0118</v>
      </c>
      <c r="O6" s="24" t="n">
        <f aca="false">(L6/$F$2)^(1/$F$3)</f>
        <v>0.0814772099289211</v>
      </c>
      <c r="P6" s="47" t="n">
        <f aca="false">(M6/$G$2)^(1/$G$3)</f>
        <v>7.86665911877293E-005</v>
      </c>
      <c r="Q6" s="26" t="n">
        <f aca="false">(N6/$H$2)^(1/$H$3)</f>
        <v>0.000128424842913521</v>
      </c>
      <c r="R6" s="25" t="n">
        <f aca="false">O6*$K6/$I6</f>
        <v>0.324597894846033</v>
      </c>
      <c r="S6" s="47" t="n">
        <f aca="false">P6*$K6/$I6</f>
        <v>0.000313400641928296</v>
      </c>
      <c r="T6" s="26" t="n">
        <f aca="false">Q6*$K6/$I6</f>
        <v>0.000511633052874878</v>
      </c>
      <c r="U6" s="27" t="n">
        <v>98.0891</v>
      </c>
      <c r="V6" s="27"/>
      <c r="W6" s="51"/>
      <c r="Z6" s="33"/>
      <c r="AA6" s="2"/>
    </row>
    <row r="7" customFormat="false" ht="14.25" hidden="false" customHeight="true" outlineLevel="0" collapsed="false">
      <c r="A7" s="18"/>
      <c r="B7" s="34" t="s">
        <v>33</v>
      </c>
      <c r="C7" s="34" t="n">
        <v>3</v>
      </c>
      <c r="D7" s="34" t="n">
        <v>2.7973</v>
      </c>
      <c r="E7" s="34" t="n">
        <v>100</v>
      </c>
      <c r="F7" s="34" t="n">
        <v>2.9822</v>
      </c>
      <c r="G7" s="30" t="n">
        <f aca="false">1000-E7</f>
        <v>900</v>
      </c>
      <c r="H7" s="34" t="n">
        <v>3.5877</v>
      </c>
      <c r="I7" s="35" t="n">
        <f aca="false">F7-D7</f>
        <v>0.1849</v>
      </c>
      <c r="J7" s="35" t="n">
        <f aca="false">H7-F7</f>
        <v>0.6055</v>
      </c>
      <c r="K7" s="35" t="n">
        <f aca="false">J7+I7</f>
        <v>0.7904</v>
      </c>
      <c r="L7" s="1" t="n">
        <v>356.0803</v>
      </c>
      <c r="M7" s="1" t="n">
        <v>6.3681</v>
      </c>
      <c r="N7" s="36" t="n">
        <v>5.6482</v>
      </c>
      <c r="O7" s="52" t="n">
        <f aca="false">(L7/$F$2)^(1/$F$3)</f>
        <v>2.21095256480462</v>
      </c>
      <c r="P7" s="53" t="n">
        <f aca="false">(M7/$G$2)^(1/$G$3)</f>
        <v>0.0471584605117064</v>
      </c>
      <c r="Q7" s="54" t="n">
        <f aca="false">(N7/$H$2)^(1/$H$3)</f>
        <v>0.0491986892341035</v>
      </c>
      <c r="R7" s="55" t="n">
        <f aca="false">O7*$K7/$I7</f>
        <v>9.45125423051147</v>
      </c>
      <c r="S7" s="53" t="n">
        <f aca="false">P7*$K7/$I7</f>
        <v>0.201590303885628</v>
      </c>
      <c r="T7" s="54" t="n">
        <f aca="false">Q7*$K7/$I7</f>
        <v>0.210311757548055</v>
      </c>
      <c r="U7" s="2" t="n">
        <v>7.7273</v>
      </c>
      <c r="V7" s="2"/>
      <c r="W7" s="51" t="n">
        <f aca="false">AVERAGE(R7:R8)/100</f>
        <v>0.271507764212663</v>
      </c>
      <c r="X7" s="0" t="n">
        <f aca="false">AVERAGE(S7:S8)/100</f>
        <v>0.00581137134247358</v>
      </c>
      <c r="Y7" s="1" t="n">
        <f aca="false">AVERAGE(T7:T8)/100</f>
        <v>0.0061617126775017</v>
      </c>
      <c r="Z7" s="33" t="n">
        <f aca="false">AVERAGE(U7:V8)/100</f>
        <v>0.0787575</v>
      </c>
      <c r="AA7" s="2" t="n">
        <f aca="false">SUM(W7:Z7)</f>
        <v>0.362238348232638</v>
      </c>
      <c r="AD7" s="0" t="n">
        <v>0.882332944296187</v>
      </c>
      <c r="AE7" s="0" t="n">
        <v>0.0188855165960814</v>
      </c>
      <c r="AF7" s="0" t="n">
        <v>0.0200240391077319</v>
      </c>
      <c r="AG7" s="0" t="n">
        <v>0.0787575</v>
      </c>
    </row>
    <row r="8" customFormat="false" ht="14.25" hidden="false" customHeight="true" outlineLevel="0" collapsed="false">
      <c r="A8" s="18"/>
      <c r="B8" s="34" t="s">
        <v>33</v>
      </c>
      <c r="C8" s="34" t="n">
        <v>4</v>
      </c>
      <c r="D8" s="34" t="n">
        <v>2.7953</v>
      </c>
      <c r="E8" s="34" t="n">
        <v>100</v>
      </c>
      <c r="F8" s="34" t="n">
        <v>3.0093</v>
      </c>
      <c r="G8" s="30" t="n">
        <f aca="false">1000-E8</f>
        <v>900</v>
      </c>
      <c r="H8" s="34" t="n">
        <v>3.5658</v>
      </c>
      <c r="I8" s="35" t="n">
        <f aca="false">F8-D8</f>
        <v>0.214</v>
      </c>
      <c r="J8" s="35" t="n">
        <f aca="false">H8-F8</f>
        <v>0.5565</v>
      </c>
      <c r="K8" s="35" t="n">
        <f aca="false">J8+I8</f>
        <v>0.7705</v>
      </c>
      <c r="L8" s="36" t="n">
        <v>2193.9495</v>
      </c>
      <c r="M8" s="36" t="n">
        <v>39.041</v>
      </c>
      <c r="N8" s="36" t="n">
        <v>34.7985</v>
      </c>
      <c r="O8" s="52" t="n">
        <f aca="false">(L8/$F$2)^(1/$F$3)</f>
        <v>12.4567993549287</v>
      </c>
      <c r="P8" s="53" t="n">
        <f aca="false">(M8/$G$2)^(1/$G$3)</f>
        <v>0.26682202261693</v>
      </c>
      <c r="Q8" s="54" t="n">
        <f aca="false">(N8/$H$2)^(1/$H$3)</f>
        <v>0.283860592448785</v>
      </c>
      <c r="R8" s="55" t="n">
        <f aca="false">O8*$K8/$I8</f>
        <v>44.8502986120211</v>
      </c>
      <c r="S8" s="53" t="n">
        <f aca="false">P8*$K8/$I8</f>
        <v>0.960683964609087</v>
      </c>
      <c r="T8" s="54" t="n">
        <f aca="false">Q8*$K8/$I8</f>
        <v>1.02203077795228</v>
      </c>
      <c r="U8" s="2" t="n">
        <v>8.0242</v>
      </c>
      <c r="V8" s="2"/>
      <c r="W8" s="51"/>
      <c r="Z8" s="33"/>
      <c r="AA8" s="2"/>
    </row>
    <row r="9" customFormat="false" ht="14.25" hidden="false" customHeight="true" outlineLevel="0" collapsed="false">
      <c r="A9" s="18" t="s">
        <v>57</v>
      </c>
      <c r="B9" s="19" t="s">
        <v>32</v>
      </c>
      <c r="C9" s="20" t="n">
        <v>5</v>
      </c>
      <c r="D9" s="19" t="n">
        <v>2.7911</v>
      </c>
      <c r="E9" s="19" t="n">
        <v>300</v>
      </c>
      <c r="F9" s="20" t="n">
        <v>2.9917</v>
      </c>
      <c r="G9" s="19" t="n">
        <f aca="false">1000-E9</f>
        <v>700</v>
      </c>
      <c r="H9" s="20" t="n">
        <v>3.6113</v>
      </c>
      <c r="I9" s="22" t="n">
        <f aca="false">F9-D9</f>
        <v>0.2006</v>
      </c>
      <c r="J9" s="22" t="n">
        <f aca="false">H9-F9</f>
        <v>0.6196</v>
      </c>
      <c r="K9" s="22" t="n">
        <f aca="false">J9+I9</f>
        <v>0.8202</v>
      </c>
      <c r="L9" s="23" t="n">
        <v>2.5679</v>
      </c>
      <c r="M9" s="23" t="n">
        <v>3.8544</v>
      </c>
      <c r="N9" s="23" t="n">
        <v>4.1471</v>
      </c>
      <c r="O9" s="24" t="n">
        <f aca="false">(L9/$F$2)^(1/$F$3)</f>
        <v>0.0203232422730676</v>
      </c>
      <c r="P9" s="47" t="n">
        <f aca="false">(M9/$G$2)^(1/$G$3)</f>
        <v>0.029184740154266</v>
      </c>
      <c r="Q9" s="26" t="n">
        <f aca="false">(N9/$H$2)^(1/$H$3)</f>
        <v>0.0365283517788744</v>
      </c>
      <c r="R9" s="25" t="n">
        <f aca="false">O9*$K9/$I9</f>
        <v>0.0830963275791131</v>
      </c>
      <c r="S9" s="47" t="n">
        <f aca="false">P9*$K9/$I9</f>
        <v>0.119328633472228</v>
      </c>
      <c r="T9" s="26" t="n">
        <f aca="false">Q9*$K9/$I9</f>
        <v>0.149354706525587</v>
      </c>
      <c r="U9" s="27" t="n">
        <v>98.7791</v>
      </c>
      <c r="V9" s="27"/>
      <c r="W9" s="56" t="n">
        <f aca="false">AVERAGE(R9:R10)/100</f>
        <v>0.000871601588979647</v>
      </c>
      <c r="X9" s="57" t="n">
        <f aca="false">AVERAGE(S9:S10)/100</f>
        <v>0.0026371141521429</v>
      </c>
      <c r="Y9" s="57" t="n">
        <f aca="false">AVERAGE(T9:T10)/100</f>
        <v>0.00298827464397429</v>
      </c>
      <c r="Z9" s="29" t="n">
        <f aca="false">AVERAGE(U9:V10)/100</f>
        <v>0.9803175</v>
      </c>
      <c r="AA9" s="2" t="n">
        <f aca="false">SUM(W9:Z9)</f>
        <v>0.986814490385097</v>
      </c>
      <c r="AD9" s="0" t="n">
        <v>0.000901777157387466</v>
      </c>
      <c r="AE9" s="0" t="n">
        <v>0.00129497703475605</v>
      </c>
      <c r="AF9" s="0" t="n">
        <v>0.00162082569250554</v>
      </c>
      <c r="AG9" s="0" t="n">
        <v>0.996182420115351</v>
      </c>
    </row>
    <row r="10" customFormat="false" ht="14.25" hidden="false" customHeight="true" outlineLevel="0" collapsed="false">
      <c r="A10" s="18"/>
      <c r="B10" s="20" t="s">
        <v>32</v>
      </c>
      <c r="C10" s="20" t="n">
        <v>6</v>
      </c>
      <c r="D10" s="20" t="n">
        <v>2.8057</v>
      </c>
      <c r="E10" s="20" t="n">
        <v>300</v>
      </c>
      <c r="F10" s="20" t="n">
        <v>3.0124</v>
      </c>
      <c r="G10" s="19" t="n">
        <f aca="false">1000-E10</f>
        <v>700</v>
      </c>
      <c r="H10" s="20" t="n">
        <v>3.6202</v>
      </c>
      <c r="I10" s="22" t="n">
        <f aca="false">F10-D10</f>
        <v>0.2067</v>
      </c>
      <c r="J10" s="22" t="n">
        <f aca="false">H10-F10</f>
        <v>0.6078</v>
      </c>
      <c r="K10" s="22" t="n">
        <f aca="false">J10+I10</f>
        <v>0.8145</v>
      </c>
      <c r="L10" s="23" t="n">
        <v>2.9449</v>
      </c>
      <c r="M10" s="23" t="n">
        <v>14.5037</v>
      </c>
      <c r="N10" s="23" t="n">
        <v>13.4774</v>
      </c>
      <c r="O10" s="24" t="n">
        <f aca="false">(L10/$F$2)^(1/$F$3)</f>
        <v>0.0231503975172694</v>
      </c>
      <c r="P10" s="47" t="n">
        <f aca="false">(M10/$G$2)^(1/$G$3)</f>
        <v>0.103564236354669</v>
      </c>
      <c r="Q10" s="26" t="n">
        <f aca="false">(N10/$H$2)^(1/$H$3)</f>
        <v>0.113767533386198</v>
      </c>
      <c r="R10" s="25" t="n">
        <f aca="false">O10*$K10/$I10</f>
        <v>0.0912239902168164</v>
      </c>
      <c r="S10" s="47" t="n">
        <f aca="false">P10*$K10/$I10</f>
        <v>0.408094196956351</v>
      </c>
      <c r="T10" s="26" t="n">
        <f aca="false">Q10*$K10/$I10</f>
        <v>0.44830022226927</v>
      </c>
      <c r="U10" s="27" t="n">
        <v>97.2844</v>
      </c>
      <c r="V10" s="27"/>
      <c r="W10" s="51"/>
      <c r="Z10" s="33"/>
      <c r="AA10" s="2"/>
    </row>
    <row r="11" customFormat="false" ht="14.25" hidden="false" customHeight="true" outlineLevel="0" collapsed="false">
      <c r="A11" s="18"/>
      <c r="B11" s="34" t="s">
        <v>33</v>
      </c>
      <c r="C11" s="34" t="n">
        <v>7</v>
      </c>
      <c r="D11" s="34" t="n">
        <v>2.8658</v>
      </c>
      <c r="E11" s="34" t="n">
        <v>100</v>
      </c>
      <c r="F11" s="34" t="n">
        <v>3.053</v>
      </c>
      <c r="G11" s="30" t="n">
        <f aca="false">1000-E11</f>
        <v>900</v>
      </c>
      <c r="H11" s="34" t="n">
        <v>3.678</v>
      </c>
      <c r="I11" s="35" t="n">
        <f aca="false">F11-D11</f>
        <v>0.1872</v>
      </c>
      <c r="J11" s="35" t="n">
        <f aca="false">H11-F11</f>
        <v>0.625</v>
      </c>
      <c r="K11" s="35" t="n">
        <f aca="false">J11+I11</f>
        <v>0.8122</v>
      </c>
      <c r="L11" s="40" t="n">
        <v>84.6803</v>
      </c>
      <c r="M11" s="40" t="n">
        <v>880.5096</v>
      </c>
      <c r="N11" s="36" t="n">
        <v>786.4432</v>
      </c>
      <c r="O11" s="52" t="n">
        <f aca="false">(L11/$F$2)^(1/$F$3)</f>
        <v>0.564290439785625</v>
      </c>
      <c r="P11" s="53" t="n">
        <f aca="false">(M11/$G$2)^(1/$G$3)</f>
        <v>5.24266769870039</v>
      </c>
      <c r="Q11" s="54" t="n">
        <f aca="false">(N11/$H$2)^(1/$H$3)</f>
        <v>5.73246670489223</v>
      </c>
      <c r="R11" s="55" t="n">
        <f aca="false">O11*$K11/$I11</f>
        <v>2.44827294441178</v>
      </c>
      <c r="S11" s="53" t="n">
        <f aca="false">P11*$K11/$I11</f>
        <v>22.7462323978871</v>
      </c>
      <c r="T11" s="54" t="n">
        <f aca="false">Q11*$K11/$I11</f>
        <v>24.8713112057344</v>
      </c>
      <c r="U11" s="2" t="n">
        <v>2.9293</v>
      </c>
      <c r="V11" s="2"/>
      <c r="W11" s="51" t="n">
        <f aca="false">AVERAGE(R11:R12)/100</f>
        <v>0.0353347444141482</v>
      </c>
      <c r="X11" s="0" t="n">
        <f aca="false">AVERAGE(S11:S12)/100</f>
        <v>0.327793753060823</v>
      </c>
      <c r="Y11" s="1" t="n">
        <f aca="false">AVERAGE(T11:T12)/100</f>
        <v>0.359299654922772</v>
      </c>
      <c r="Z11" s="33" t="n">
        <f aca="false">AVERAGE(U11:V12)/100</f>
        <v>0.02924</v>
      </c>
      <c r="AA11" s="2" t="n">
        <f aca="false">SUM(W11:Z11)</f>
        <v>0.751668152397743</v>
      </c>
      <c r="AD11" s="0" t="n">
        <v>0.0474809243986844</v>
      </c>
      <c r="AE11" s="0" t="n">
        <v>0.440471571692197</v>
      </c>
      <c r="AF11" s="0" t="n">
        <v>0.482807503909118</v>
      </c>
      <c r="AG11" s="0" t="n">
        <v>0.02924</v>
      </c>
    </row>
    <row r="12" customFormat="false" ht="14.25" hidden="false" customHeight="true" outlineLevel="0" collapsed="false">
      <c r="A12" s="18"/>
      <c r="B12" s="34" t="s">
        <v>33</v>
      </c>
      <c r="C12" s="34" t="n">
        <v>8</v>
      </c>
      <c r="D12" s="34" t="n">
        <v>2.8543</v>
      </c>
      <c r="E12" s="34" t="n">
        <v>100</v>
      </c>
      <c r="F12" s="34" t="n">
        <v>3.0652</v>
      </c>
      <c r="G12" s="30" t="n">
        <f aca="false">1000-E12</f>
        <v>900</v>
      </c>
      <c r="H12" s="34" t="n">
        <v>3.6767</v>
      </c>
      <c r="I12" s="35" t="n">
        <f aca="false">F12-D12</f>
        <v>0.2109</v>
      </c>
      <c r="J12" s="35" t="n">
        <f aca="false">H12-F12</f>
        <v>0.6115</v>
      </c>
      <c r="K12" s="35" t="n">
        <f aca="false">J12+I12</f>
        <v>0.8224</v>
      </c>
      <c r="L12" s="36" t="n">
        <v>184.6941</v>
      </c>
      <c r="M12" s="36" t="n">
        <v>1908.1354</v>
      </c>
      <c r="N12" s="36" t="n">
        <v>1699.7787</v>
      </c>
      <c r="O12" s="52" t="n">
        <f aca="false">(L12/$F$2)^(1/$F$3)</f>
        <v>1.18443428430487</v>
      </c>
      <c r="P12" s="53" t="n">
        <f aca="false">(M12/$G$2)^(1/$G$3)</f>
        <v>10.9790370761079</v>
      </c>
      <c r="Q12" s="54" t="n">
        <f aca="false">(N12/$H$2)^(1/$H$3)</f>
        <v>12.0499755731434</v>
      </c>
      <c r="R12" s="55" t="n">
        <f aca="false">O12*$K12/$I12</f>
        <v>4.61867593841786</v>
      </c>
      <c r="S12" s="53" t="n">
        <f aca="false">P12*$K12/$I12</f>
        <v>42.8125182142774</v>
      </c>
      <c r="T12" s="54" t="n">
        <f aca="false">Q12*$K12/$I12</f>
        <v>46.9886197788201</v>
      </c>
      <c r="U12" s="2" t="n">
        <v>2.9187</v>
      </c>
      <c r="V12" s="2"/>
      <c r="W12" s="51"/>
      <c r="Z12" s="33"/>
      <c r="AA12" s="2"/>
    </row>
    <row r="13" customFormat="false" ht="14.25" hidden="false" customHeight="true" outlineLevel="0" collapsed="false">
      <c r="A13" s="18" t="s">
        <v>58</v>
      </c>
      <c r="B13" s="19" t="s">
        <v>32</v>
      </c>
      <c r="C13" s="20" t="n">
        <v>9</v>
      </c>
      <c r="D13" s="19" t="n">
        <v>2.8603</v>
      </c>
      <c r="E13" s="19" t="n">
        <v>300</v>
      </c>
      <c r="F13" s="20" t="n">
        <v>3.0593</v>
      </c>
      <c r="G13" s="19" t="n">
        <f aca="false">1000-E13</f>
        <v>700</v>
      </c>
      <c r="H13" s="20" t="n">
        <v>3.6801</v>
      </c>
      <c r="I13" s="22" t="n">
        <f aca="false">F13-D13</f>
        <v>0.199</v>
      </c>
      <c r="J13" s="22" t="n">
        <f aca="false">H13-F13</f>
        <v>0.6208</v>
      </c>
      <c r="K13" s="22" t="n">
        <f aca="false">J13+I13</f>
        <v>0.8198</v>
      </c>
      <c r="L13" s="23" t="n">
        <v>67.8512</v>
      </c>
      <c r="M13" s="23" t="n">
        <v>13.7089</v>
      </c>
      <c r="N13" s="23" t="n">
        <v>13.5458</v>
      </c>
      <c r="O13" s="24" t="n">
        <f aca="false">(L13/$F$2)^(1/$F$3)</f>
        <v>0.457100853951892</v>
      </c>
      <c r="P13" s="47" t="n">
        <f aca="false">(M13/$G$2)^(1/$G$3)</f>
        <v>0.0981333738908238</v>
      </c>
      <c r="Q13" s="26" t="n">
        <f aca="false">(N13/$H$2)^(1/$H$3)</f>
        <v>0.11432403301287</v>
      </c>
      <c r="R13" s="25" t="n">
        <f aca="false">O13*$K13/$I13</f>
        <v>1.88307175914453</v>
      </c>
      <c r="S13" s="47" t="n">
        <f aca="false">P13*$K13/$I13</f>
        <v>0.404270049827625</v>
      </c>
      <c r="T13" s="26" t="n">
        <f aca="false">Q13*$K13/$I13</f>
        <v>0.470969056602769</v>
      </c>
      <c r="U13" s="27" t="n">
        <v>97.4976</v>
      </c>
      <c r="V13" s="27"/>
      <c r="W13" s="56" t="n">
        <f aca="false">AVERAGE(R13:R14)/100</f>
        <v>0.0177055813738214</v>
      </c>
      <c r="X13" s="57" t="n">
        <f aca="false">AVERAGE(S13:S14)/100</f>
        <v>0.00368221093439793</v>
      </c>
      <c r="Y13" s="57" t="n">
        <f aca="false">AVERAGE(T13:T14)/100</f>
        <v>0.00425987736330177</v>
      </c>
      <c r="Z13" s="29" t="n">
        <f aca="false">AVERAGE(U13:V14)/100</f>
        <v>0.9728655</v>
      </c>
      <c r="AA13" s="2" t="n">
        <f aca="false">SUM(W13:Z13)</f>
        <v>0.998513169671521</v>
      </c>
      <c r="AD13" s="0" t="n">
        <v>0.0192144337858686</v>
      </c>
      <c r="AE13" s="0" t="n">
        <v>0.00399600536637561</v>
      </c>
      <c r="AF13" s="0" t="n">
        <v>0.00462289996611482</v>
      </c>
      <c r="AG13" s="0" t="n">
        <v>0.972166660881641</v>
      </c>
    </row>
    <row r="14" customFormat="false" ht="14.25" hidden="false" customHeight="true" outlineLevel="0" collapsed="false">
      <c r="A14" s="18"/>
      <c r="B14" s="19" t="s">
        <v>32</v>
      </c>
      <c r="C14" s="20" t="n">
        <v>10</v>
      </c>
      <c r="D14" s="20" t="n">
        <v>2.8429</v>
      </c>
      <c r="E14" s="20" t="n">
        <v>300</v>
      </c>
      <c r="F14" s="20" t="n">
        <v>3.046</v>
      </c>
      <c r="G14" s="19" t="n">
        <f aca="false">1000-E14</f>
        <v>700</v>
      </c>
      <c r="H14" s="20" t="n">
        <v>3.6531</v>
      </c>
      <c r="I14" s="22" t="n">
        <f aca="false">F14-D14</f>
        <v>0.2031</v>
      </c>
      <c r="J14" s="22" t="n">
        <f aca="false">H14-F14</f>
        <v>0.6071</v>
      </c>
      <c r="K14" s="22" t="n">
        <f aca="false">J14+I14</f>
        <v>0.8102</v>
      </c>
      <c r="L14" s="23" t="n">
        <v>61.3935</v>
      </c>
      <c r="M14" s="23" t="n">
        <v>11.5442</v>
      </c>
      <c r="N14" s="23" t="n">
        <v>11.2407</v>
      </c>
      <c r="O14" s="24" t="n">
        <f aca="false">(L14/$F$2)^(1/$F$3)</f>
        <v>0.415636683685968</v>
      </c>
      <c r="P14" s="47" t="n">
        <f aca="false">(M14/$G$2)^(1/$G$3)</f>
        <v>0.0832685275675798</v>
      </c>
      <c r="Q14" s="26" t="n">
        <f aca="false">(N14/$H$2)^(1/$H$3)</f>
        <v>0.0955102482119172</v>
      </c>
      <c r="R14" s="25" t="n">
        <f aca="false">O14*$K14/$I14</f>
        <v>1.65804451561975</v>
      </c>
      <c r="S14" s="47" t="n">
        <f aca="false">P14*$K14/$I14</f>
        <v>0.332172137051961</v>
      </c>
      <c r="T14" s="26" t="n">
        <f aca="false">Q14*$K14/$I14</f>
        <v>0.381006416057585</v>
      </c>
      <c r="U14" s="27" t="n">
        <v>97.0755</v>
      </c>
      <c r="V14" s="27"/>
      <c r="W14" s="51"/>
      <c r="Z14" s="33"/>
      <c r="AA14" s="2"/>
    </row>
    <row r="15" customFormat="false" ht="14.25" hidden="false" customHeight="true" outlineLevel="0" collapsed="false">
      <c r="A15" s="18"/>
      <c r="B15" s="34" t="s">
        <v>33</v>
      </c>
      <c r="C15" s="34" t="n">
        <v>11</v>
      </c>
      <c r="D15" s="34" t="n">
        <v>2.8676</v>
      </c>
      <c r="E15" s="34" t="n">
        <v>100</v>
      </c>
      <c r="F15" s="34" t="n">
        <v>3.0561</v>
      </c>
      <c r="G15" s="30" t="n">
        <f aca="false">1000-E15</f>
        <v>900</v>
      </c>
      <c r="H15" s="34" t="n">
        <v>3.6339</v>
      </c>
      <c r="I15" s="35" t="n">
        <f aca="false">F15-D15</f>
        <v>0.1885</v>
      </c>
      <c r="J15" s="35" t="n">
        <f aca="false">H15-F15</f>
        <v>0.5778</v>
      </c>
      <c r="K15" s="35" t="n">
        <f aca="false">J15+I15</f>
        <v>0.7663</v>
      </c>
      <c r="L15" s="36" t="n">
        <v>1883.4151</v>
      </c>
      <c r="M15" s="36" t="n">
        <v>957.9184</v>
      </c>
      <c r="N15" s="41" t="n">
        <v>857.5647</v>
      </c>
      <c r="O15" s="52" t="n">
        <f aca="false">(L15/$F$2)^(1/$F$3)</f>
        <v>10.7742450320564</v>
      </c>
      <c r="P15" s="53" t="n">
        <f aca="false">(M15/$G$2)^(1/$G$3)</f>
        <v>5.6823420411346</v>
      </c>
      <c r="Q15" s="54" t="n">
        <f aca="false">(N15/$H$2)^(1/$H$3)</f>
        <v>6.23137788834257</v>
      </c>
      <c r="R15" s="55" t="n">
        <f aca="false">O15*$K15/$I15</f>
        <v>43.8000210507418</v>
      </c>
      <c r="S15" s="53" t="n">
        <f aca="false">P15*$K15/$I15</f>
        <v>23.1001522871164</v>
      </c>
      <c r="T15" s="54" t="n">
        <f aca="false">Q15*$K15/$I15</f>
        <v>25.332121357225</v>
      </c>
      <c r="U15" s="2" t="n">
        <v>4.1294</v>
      </c>
      <c r="V15" s="2"/>
      <c r="W15" s="51" t="n">
        <f aca="false">AVERAGE(R15:R16)/100</f>
        <v>0.419823233822702</v>
      </c>
      <c r="X15" s="0" t="n">
        <f aca="false">AVERAGE(S15:S16)/100</f>
        <v>0.221498250562085</v>
      </c>
      <c r="Y15" s="1" t="n">
        <f aca="false">AVERAGE(T15:T16)/100</f>
        <v>0.241523339026386</v>
      </c>
      <c r="Z15" s="33" t="n">
        <f aca="false">AVERAGE(U15:V16)/100</f>
        <v>0.04192</v>
      </c>
      <c r="AA15" s="2" t="n">
        <f aca="false">SUM(W15:Z15)</f>
        <v>0.924764823411173</v>
      </c>
      <c r="AD15" s="0" t="n">
        <v>0.455600161200157</v>
      </c>
      <c r="AE15" s="0" t="n">
        <v>0.240374115893397</v>
      </c>
      <c r="AF15" s="0" t="n">
        <v>0.262105722906447</v>
      </c>
      <c r="AG15" s="0" t="n">
        <v>0.04192</v>
      </c>
    </row>
    <row r="16" customFormat="false" ht="14.25" hidden="false" customHeight="true" outlineLevel="0" collapsed="false">
      <c r="A16" s="18"/>
      <c r="B16" s="34" t="s">
        <v>33</v>
      </c>
      <c r="C16" s="34" t="n">
        <v>12</v>
      </c>
      <c r="D16" s="34" t="n">
        <v>2.8544</v>
      </c>
      <c r="E16" s="34" t="n">
        <v>100</v>
      </c>
      <c r="F16" s="34" t="n">
        <v>3.0582</v>
      </c>
      <c r="G16" s="30" t="n">
        <f aca="false">1000-E16</f>
        <v>900</v>
      </c>
      <c r="H16" s="34" t="n">
        <v>3.6349</v>
      </c>
      <c r="I16" s="35" t="n">
        <f aca="false">F16-D16</f>
        <v>0.2038</v>
      </c>
      <c r="J16" s="35" t="n">
        <f aca="false">H16-F16</f>
        <v>0.5767</v>
      </c>
      <c r="K16" s="35" t="n">
        <f aca="false">J16+I16</f>
        <v>0.7805</v>
      </c>
      <c r="L16" s="36" t="n">
        <v>1830.7463</v>
      </c>
      <c r="M16" s="36" t="n">
        <v>932.0335</v>
      </c>
      <c r="N16" s="36" t="n">
        <v>824.3351</v>
      </c>
      <c r="O16" s="52" t="n">
        <f aca="false">(L16/$F$2)^(1/$F$3)</f>
        <v>10.4875729922769</v>
      </c>
      <c r="P16" s="53" t="n">
        <f aca="false">(M16/$G$2)^(1/$G$3)</f>
        <v>5.53549988058456</v>
      </c>
      <c r="Q16" s="54" t="n">
        <f aca="false">(N16/$H$2)^(1/$H$3)</f>
        <v>5.99846888675597</v>
      </c>
      <c r="R16" s="55" t="n">
        <f aca="false">O16*$K16/$I16</f>
        <v>40.1646257137985</v>
      </c>
      <c r="S16" s="53" t="n">
        <f aca="false">P16*$K16/$I16</f>
        <v>21.1994978253006</v>
      </c>
      <c r="T16" s="54" t="n">
        <f aca="false">Q16*$K16/$I16</f>
        <v>22.9725464480522</v>
      </c>
      <c r="U16" s="2" t="n">
        <v>4.2546</v>
      </c>
      <c r="V16" s="2"/>
      <c r="W16" s="51"/>
      <c r="Z16" s="33"/>
      <c r="AA16" s="2"/>
    </row>
    <row r="17" customFormat="false" ht="14.25" hidden="false" customHeight="true" outlineLevel="0" collapsed="false">
      <c r="A17" s="18" t="s">
        <v>59</v>
      </c>
      <c r="B17" s="19" t="s">
        <v>32</v>
      </c>
      <c r="C17" s="20" t="n">
        <v>13</v>
      </c>
      <c r="D17" s="19" t="n">
        <v>2.7934</v>
      </c>
      <c r="E17" s="19" t="n">
        <v>300</v>
      </c>
      <c r="F17" s="20" t="n">
        <v>2.9943</v>
      </c>
      <c r="G17" s="19" t="n">
        <f aca="false">1000-E17</f>
        <v>700</v>
      </c>
      <c r="H17" s="20" t="n">
        <v>3.616</v>
      </c>
      <c r="I17" s="22" t="n">
        <f aca="false">F17-D17</f>
        <v>0.2009</v>
      </c>
      <c r="J17" s="22" t="n">
        <f aca="false">H17-F17</f>
        <v>0.6217</v>
      </c>
      <c r="K17" s="22" t="n">
        <f aca="false">J17+I17</f>
        <v>0.8226</v>
      </c>
      <c r="L17" s="23" t="n">
        <v>57.1915</v>
      </c>
      <c r="M17" s="23" t="n">
        <v>0.3476</v>
      </c>
      <c r="N17" s="23" t="n">
        <v>0.7863</v>
      </c>
      <c r="O17" s="24" t="n">
        <f aca="false">(L17/$F$2)^(1/$F$3)</f>
        <v>0.38854189697943</v>
      </c>
      <c r="P17" s="47" t="n">
        <f aca="false">(M17/$G$2)^(1/$G$3)</f>
        <v>0.00292763413186487</v>
      </c>
      <c r="Q17" s="26" t="n">
        <f aca="false">(N17/$H$2)^(1/$H$3)</f>
        <v>0.00735422357458272</v>
      </c>
      <c r="R17" s="25" t="n">
        <f aca="false">O17*$K17/$I17</f>
        <v>1.59091371057879</v>
      </c>
      <c r="S17" s="47" t="n">
        <f aca="false">P17*$K17/$I17</f>
        <v>0.0119874158132008</v>
      </c>
      <c r="T17" s="26" t="n">
        <f aca="false">Q17*$K17/$I17</f>
        <v>0.0301124156916463</v>
      </c>
      <c r="U17" s="27" t="n">
        <v>98.3636</v>
      </c>
      <c r="V17" s="27"/>
      <c r="W17" s="56" t="n">
        <f aca="false">AVERAGE(R17:R18)/100</f>
        <v>0.015748546470514</v>
      </c>
      <c r="X17" s="57" t="n">
        <f aca="false">AVERAGE(S17:S18)/100</f>
        <v>0.000116599609525434</v>
      </c>
      <c r="Y17" s="57" t="n">
        <f aca="false">AVERAGE(T17:T18)/100</f>
        <v>0.000293669893355705</v>
      </c>
      <c r="Z17" s="29" t="n">
        <f aca="false">AVERAGE(U17:V18)/100</f>
        <v>0.9848205</v>
      </c>
      <c r="AA17" s="2" t="n">
        <f aca="false">SUM(W17:Z17)</f>
        <v>1.0009793159734</v>
      </c>
      <c r="AD17" s="0" t="n">
        <v>0.0170906222728599</v>
      </c>
      <c r="AE17" s="0" t="n">
        <v>0.000126536114764191</v>
      </c>
      <c r="AF17" s="0" t="n">
        <v>0.000318696155842095</v>
      </c>
      <c r="AG17" s="0" t="n">
        <v>0.982464145456534</v>
      </c>
    </row>
    <row r="18" customFormat="false" ht="14.25" hidden="false" customHeight="true" outlineLevel="0" collapsed="false">
      <c r="A18" s="18"/>
      <c r="B18" s="20" t="s">
        <v>32</v>
      </c>
      <c r="C18" s="20" t="n">
        <v>14</v>
      </c>
      <c r="D18" s="20" t="n">
        <v>2.8597</v>
      </c>
      <c r="E18" s="20" t="n">
        <v>300</v>
      </c>
      <c r="F18" s="20" t="n">
        <v>3.0662</v>
      </c>
      <c r="G18" s="19" t="n">
        <f aca="false">1000-E18</f>
        <v>700</v>
      </c>
      <c r="H18" s="20" t="n">
        <v>3.6961</v>
      </c>
      <c r="I18" s="22" t="n">
        <f aca="false">F18-D18</f>
        <v>0.2065</v>
      </c>
      <c r="J18" s="22" t="n">
        <f aca="false">H18-F18</f>
        <v>0.6299</v>
      </c>
      <c r="K18" s="22" t="n">
        <f aca="false">J18+I18</f>
        <v>0.8364</v>
      </c>
      <c r="L18" s="23" t="n">
        <v>56.6206</v>
      </c>
      <c r="M18" s="23" t="n">
        <v>0.3315</v>
      </c>
      <c r="N18" s="23" t="n">
        <v>0.7544</v>
      </c>
      <c r="O18" s="24" t="n">
        <f aca="false">(L18/$F$2)^(1/$F$3)</f>
        <v>0.384853285506583</v>
      </c>
      <c r="P18" s="47" t="n">
        <f aca="false">(M18/$G$2)^(1/$G$3)</f>
        <v>0.00279789874219807</v>
      </c>
      <c r="Q18" s="26" t="n">
        <f aca="false">(N18/$H$2)^(1/$H$3)</f>
        <v>0.00706641888482262</v>
      </c>
      <c r="R18" s="25" t="n">
        <f aca="false">O18*$K18/$I18</f>
        <v>1.558795583524</v>
      </c>
      <c r="S18" s="47" t="n">
        <f aca="false">P18*$K18/$I18</f>
        <v>0.0113325060918861</v>
      </c>
      <c r="T18" s="26" t="n">
        <f aca="false">Q18*$K18/$I18</f>
        <v>0.0286215629794947</v>
      </c>
      <c r="U18" s="27" t="n">
        <v>98.6005</v>
      </c>
      <c r="V18" s="27"/>
      <c r="W18" s="51"/>
      <c r="Z18" s="33"/>
      <c r="AA18" s="2"/>
    </row>
    <row r="19" customFormat="false" ht="14.25" hidden="false" customHeight="true" outlineLevel="0" collapsed="false">
      <c r="A19" s="18"/>
      <c r="B19" s="34" t="s">
        <v>33</v>
      </c>
      <c r="C19" s="34" t="n">
        <v>15</v>
      </c>
      <c r="D19" s="34" t="n">
        <v>2.797</v>
      </c>
      <c r="E19" s="34" t="n">
        <v>100</v>
      </c>
      <c r="F19" s="34" t="n">
        <v>2.9859</v>
      </c>
      <c r="G19" s="30" t="n">
        <f aca="false">1000-E19</f>
        <v>900</v>
      </c>
      <c r="H19" s="34" t="n">
        <v>3.5978</v>
      </c>
      <c r="I19" s="35" t="n">
        <f aca="false">F19-D19</f>
        <v>0.1889</v>
      </c>
      <c r="J19" s="35" t="n">
        <f aca="false">H19-F19</f>
        <v>0.6119</v>
      </c>
      <c r="K19" s="35" t="n">
        <f aca="false">J19+I19</f>
        <v>0.8008</v>
      </c>
      <c r="L19" s="36" t="n">
        <v>2552.0538</v>
      </c>
      <c r="M19" s="36" t="n">
        <v>489.9162</v>
      </c>
      <c r="N19" s="36" t="n">
        <v>436.5485</v>
      </c>
      <c r="O19" s="52" t="n">
        <f aca="false">(L19/$F$2)^(1/$F$3)</f>
        <v>14.3826557176542</v>
      </c>
      <c r="P19" s="53" t="n">
        <f aca="false">(M19/$G$2)^(1/$G$3)</f>
        <v>2.99369230542574</v>
      </c>
      <c r="Q19" s="54" t="n">
        <f aca="false">(N19/$H$2)^(1/$H$3)</f>
        <v>3.25036902935619</v>
      </c>
      <c r="R19" s="55" t="n">
        <f aca="false">O19*$K19/$I19</f>
        <v>60.9721053398491</v>
      </c>
      <c r="S19" s="53" t="n">
        <f aca="false">P19*$K19/$I19</f>
        <v>12.6911000433294</v>
      </c>
      <c r="T19" s="54" t="n">
        <f aca="false">Q19*$K19/$I19</f>
        <v>13.7792245564237</v>
      </c>
      <c r="U19" s="2" t="n">
        <v>5.4714</v>
      </c>
      <c r="V19" s="2"/>
      <c r="W19" s="51" t="n">
        <f aca="false">AVERAGE(R19:R20)/100</f>
        <v>0.608251024820617</v>
      </c>
      <c r="X19" s="0" t="n">
        <f aca="false">AVERAGE(S19:S20)/100</f>
        <v>0.127007288007324</v>
      </c>
      <c r="Y19" s="1" t="n">
        <f aca="false">AVERAGE(T19:T20)/100</f>
        <v>0.138148504027565</v>
      </c>
      <c r="Z19" s="33" t="n">
        <f aca="false">AVERAGE(U19:V20)/100</f>
        <v>0.0557895</v>
      </c>
      <c r="AA19" s="2" t="n">
        <f aca="false">SUM(W19:Z19)</f>
        <v>0.929196316855506</v>
      </c>
      <c r="AD19" s="0" t="n">
        <v>0.657559562380197</v>
      </c>
      <c r="AE19" s="0" t="n">
        <v>0.137303273341498</v>
      </c>
      <c r="AF19" s="0" t="n">
        <v>0.149347664278305</v>
      </c>
      <c r="AG19" s="0" t="n">
        <v>0.0557895</v>
      </c>
    </row>
    <row r="20" customFormat="false" ht="14.25" hidden="false" customHeight="true" outlineLevel="0" collapsed="false">
      <c r="A20" s="18"/>
      <c r="B20" s="34" t="s">
        <v>33</v>
      </c>
      <c r="C20" s="34" t="n">
        <v>16</v>
      </c>
      <c r="D20" s="34" t="n">
        <v>2.844</v>
      </c>
      <c r="E20" s="34" t="n">
        <v>100</v>
      </c>
      <c r="F20" s="34" t="n">
        <v>3.0682</v>
      </c>
      <c r="G20" s="30" t="n">
        <f aca="false">1000-E20</f>
        <v>900</v>
      </c>
      <c r="H20" s="34" t="n">
        <v>3.6788</v>
      </c>
      <c r="I20" s="35" t="n">
        <f aca="false">F20-D20</f>
        <v>0.2242</v>
      </c>
      <c r="J20" s="35" t="n">
        <f aca="false">H20-F20</f>
        <v>0.6106</v>
      </c>
      <c r="K20" s="35" t="n">
        <f aca="false">J20+I20</f>
        <v>0.8348</v>
      </c>
      <c r="L20" s="36" t="n">
        <v>2910.3341</v>
      </c>
      <c r="M20" s="36" t="n">
        <v>562.037</v>
      </c>
      <c r="N20" s="36" t="n">
        <v>502.1243</v>
      </c>
      <c r="O20" s="52" t="n">
        <f aca="false">(L20/$F$2)^(1/$F$3)</f>
        <v>16.2961546906592</v>
      </c>
      <c r="P20" s="53" t="n">
        <f aca="false">(M20/$G$2)^(1/$G$3)</f>
        <v>3.41358668487537</v>
      </c>
      <c r="Q20" s="54" t="n">
        <f aca="false">(N20/$H$2)^(1/$H$3)</f>
        <v>3.71978530791304</v>
      </c>
      <c r="R20" s="55" t="n">
        <f aca="false">O20*$K20/$I20</f>
        <v>60.6780996242743</v>
      </c>
      <c r="S20" s="53" t="n">
        <f aca="false">P20*$K20/$I20</f>
        <v>12.7103575581354</v>
      </c>
      <c r="T20" s="54" t="n">
        <f aca="false">Q20*$K20/$I20</f>
        <v>13.8504762490892</v>
      </c>
      <c r="U20" s="2" t="n">
        <v>5.6865</v>
      </c>
      <c r="V20" s="2"/>
      <c r="W20" s="51"/>
      <c r="Z20" s="33"/>
      <c r="AA20" s="2"/>
    </row>
    <row r="21" customFormat="false" ht="14.25" hidden="false" customHeight="true" outlineLevel="0" collapsed="false">
      <c r="A21" s="18" t="s">
        <v>60</v>
      </c>
      <c r="B21" s="19" t="s">
        <v>32</v>
      </c>
      <c r="C21" s="20" t="n">
        <v>17</v>
      </c>
      <c r="D21" s="19" t="n">
        <v>2.8171</v>
      </c>
      <c r="E21" s="19" t="n">
        <v>300</v>
      </c>
      <c r="F21" s="20" t="n">
        <v>3.0182</v>
      </c>
      <c r="G21" s="19" t="n">
        <f aca="false">1000-E21</f>
        <v>700</v>
      </c>
      <c r="H21" s="20" t="n">
        <v>3.6413</v>
      </c>
      <c r="I21" s="22" t="n">
        <f aca="false">F21-D21</f>
        <v>0.2011</v>
      </c>
      <c r="J21" s="22" t="n">
        <f aca="false">H21-F21</f>
        <v>0.6231</v>
      </c>
      <c r="K21" s="22" t="n">
        <f aca="false">J21+I21</f>
        <v>0.8242</v>
      </c>
      <c r="L21" s="23" t="n">
        <v>28.4676</v>
      </c>
      <c r="M21" s="23" t="n">
        <v>15.6783</v>
      </c>
      <c r="N21" s="23" t="n">
        <v>14.9531</v>
      </c>
      <c r="O21" s="24" t="n">
        <f aca="false">(L21/$F$2)^(1/$F$3)</f>
        <v>0.20015371614961</v>
      </c>
      <c r="P21" s="47" t="n">
        <f aca="false">(M21/$G$2)^(1/$G$3)</f>
        <v>0.111566383858277</v>
      </c>
      <c r="Q21" s="26" t="n">
        <f aca="false">(N21/$H$2)^(1/$H$3)</f>
        <v>0.125751992005274</v>
      </c>
      <c r="R21" s="25" t="n">
        <f aca="false">O21*$K21/$I21</f>
        <v>0.820321694930424</v>
      </c>
      <c r="S21" s="47" t="n">
        <f aca="false">P21*$K21/$I21</f>
        <v>0.45725019182492</v>
      </c>
      <c r="T21" s="26" t="n">
        <f aca="false">Q21*$K21/$I21</f>
        <v>0.515389317805803</v>
      </c>
      <c r="U21" s="27" t="n">
        <v>99.6359</v>
      </c>
      <c r="V21" s="27"/>
      <c r="W21" s="56" t="n">
        <f aca="false">AVERAGE(R21:R22)/100</f>
        <v>0.00744754305251486</v>
      </c>
      <c r="X21" s="57" t="n">
        <f aca="false">AVERAGE(S21:S22)/100</f>
        <v>0.00362206061128188</v>
      </c>
      <c r="Y21" s="57" t="n">
        <f aca="false">AVERAGE(T21:T22)/100</f>
        <v>0.00415842993128495</v>
      </c>
      <c r="Z21" s="29" t="n">
        <f aca="false">AVERAGE(U21:V22)/100</f>
        <v>0.9930095</v>
      </c>
      <c r="AA21" s="2" t="n">
        <f aca="false">SUM(W21:Z21)</f>
        <v>1.00823753359508</v>
      </c>
      <c r="AD21" s="0" t="n">
        <v>0.00726214373206045</v>
      </c>
      <c r="AE21" s="0" t="n">
        <v>0.00289929210117323</v>
      </c>
      <c r="AF21" s="0" t="n">
        <v>0.00343251162688846</v>
      </c>
      <c r="AG21" s="0" t="n">
        <v>0.986406052539878</v>
      </c>
    </row>
    <row r="22" customFormat="false" ht="14.25" hidden="false" customHeight="true" outlineLevel="0" collapsed="false">
      <c r="A22" s="18"/>
      <c r="B22" s="20" t="s">
        <v>32</v>
      </c>
      <c r="C22" s="20" t="n">
        <v>18</v>
      </c>
      <c r="D22" s="20" t="n">
        <v>2.8546</v>
      </c>
      <c r="E22" s="20" t="n">
        <v>300</v>
      </c>
      <c r="F22" s="20" t="n">
        <v>3.0634</v>
      </c>
      <c r="G22" s="19" t="n">
        <f aca="false">1000-E22</f>
        <v>700</v>
      </c>
      <c r="H22" s="20" t="n">
        <v>3.6714</v>
      </c>
      <c r="I22" s="22" t="n">
        <f aca="false">F22-D22</f>
        <v>0.2088</v>
      </c>
      <c r="J22" s="22" t="n">
        <f aca="false">H22-F22</f>
        <v>0.608</v>
      </c>
      <c r="K22" s="22" t="n">
        <f aca="false">J22+I22</f>
        <v>0.8168</v>
      </c>
      <c r="L22" s="23" t="n">
        <v>24.1335</v>
      </c>
      <c r="M22" s="23" t="n">
        <v>9.3818</v>
      </c>
      <c r="N22" s="23" t="n">
        <v>9.4568</v>
      </c>
      <c r="O22" s="24" t="n">
        <f aca="false">(L22/$F$2)^(1/$F$3)</f>
        <v>0.171065411326577</v>
      </c>
      <c r="P22" s="47" t="n">
        <f aca="false">(M22/$G$2)^(1/$G$3)</f>
        <v>0.0682950674266502</v>
      </c>
      <c r="Q22" s="26" t="n">
        <f aca="false">(N22/$H$2)^(1/$H$3)</f>
        <v>0.0808554656863467</v>
      </c>
      <c r="R22" s="25" t="n">
        <f aca="false">O22*$K22/$I22</f>
        <v>0.669186915572547</v>
      </c>
      <c r="S22" s="47" t="n">
        <f aca="false">P22*$K22/$I22</f>
        <v>0.267161930431455</v>
      </c>
      <c r="T22" s="26" t="n">
        <f aca="false">Q22*$K22/$I22</f>
        <v>0.316296668451188</v>
      </c>
      <c r="U22" s="27" t="n">
        <v>98.966</v>
      </c>
      <c r="V22" s="27"/>
      <c r="W22" s="51"/>
      <c r="Z22" s="33"/>
      <c r="AA22" s="2"/>
    </row>
    <row r="23" customFormat="false" ht="14.25" hidden="false" customHeight="true" outlineLevel="0" collapsed="false">
      <c r="A23" s="18"/>
      <c r="B23" s="34" t="s">
        <v>33</v>
      </c>
      <c r="C23" s="34" t="n">
        <v>19</v>
      </c>
      <c r="D23" s="34" t="n">
        <v>2.8415</v>
      </c>
      <c r="E23" s="34" t="n">
        <v>100</v>
      </c>
      <c r="F23" s="34" t="n">
        <v>3.0318</v>
      </c>
      <c r="G23" s="30" t="n">
        <f aca="false">1000-E23</f>
        <v>900</v>
      </c>
      <c r="H23" s="34" t="n">
        <v>3.6222</v>
      </c>
      <c r="I23" s="35" t="n">
        <f aca="false">F23-D23</f>
        <v>0.1903</v>
      </c>
      <c r="J23" s="35" t="n">
        <f aca="false">H23-F23</f>
        <v>0.5904</v>
      </c>
      <c r="K23" s="35" t="n">
        <f aca="false">J23+I23</f>
        <v>0.7807</v>
      </c>
      <c r="L23" s="36" t="n">
        <v>864.6152</v>
      </c>
      <c r="M23" s="36" t="n">
        <v>1206.4066</v>
      </c>
      <c r="N23" s="36" t="n">
        <v>1065.0018</v>
      </c>
      <c r="O23" s="52" t="n">
        <f aca="false">(L23/$F$2)^(1/$F$3)</f>
        <v>5.13924224359308</v>
      </c>
      <c r="P23" s="53" t="n">
        <f aca="false">(M23/$G$2)^(1/$G$3)</f>
        <v>7.08369808228938</v>
      </c>
      <c r="Q23" s="54" t="n">
        <f aca="false">(N23/$H$2)^(1/$H$3)</f>
        <v>7.67842268483604</v>
      </c>
      <c r="R23" s="55" t="n">
        <f aca="false">O23*$K23/$I23</f>
        <v>21.0835860198272</v>
      </c>
      <c r="S23" s="53" t="n">
        <f aca="false">P23*$K23/$I23</f>
        <v>29.060657345472</v>
      </c>
      <c r="T23" s="54" t="n">
        <f aca="false">Q23*$K23/$I23</f>
        <v>31.5004970575486</v>
      </c>
      <c r="U23" s="2" t="n">
        <v>3.5236</v>
      </c>
      <c r="V23" s="2"/>
      <c r="W23" s="51" t="n">
        <f aca="false">AVERAGE(R23:R24)/100</f>
        <v>0.216297585375874</v>
      </c>
      <c r="X23" s="0" t="n">
        <f aca="false">AVERAGE(S23:S24)/100</f>
        <v>0.297855148748125</v>
      </c>
      <c r="Y23" s="1" t="n">
        <f aca="false">AVERAGE(T23:T24)/100</f>
        <v>0.324055869814382</v>
      </c>
      <c r="Z23" s="33" t="n">
        <f aca="false">AVERAGE(U23:V24)/100</f>
        <v>0.0351605</v>
      </c>
      <c r="AA23" s="2" t="n">
        <f aca="false">SUM(W23:Z23)</f>
        <v>0.873369103938381</v>
      </c>
      <c r="AD23" s="0" t="n">
        <v>0.248974364072034</v>
      </c>
      <c r="AE23" s="0" t="n">
        <v>0.342853093418847</v>
      </c>
      <c r="AF23" s="0" t="n">
        <v>0.37301204250912</v>
      </c>
      <c r="AG23" s="0" t="n">
        <v>0.0351605</v>
      </c>
    </row>
    <row r="24" customFormat="false" ht="14.25" hidden="false" customHeight="true" outlineLevel="0" collapsed="false">
      <c r="A24" s="18"/>
      <c r="B24" s="34" t="s">
        <v>33</v>
      </c>
      <c r="C24" s="34" t="n">
        <v>20</v>
      </c>
      <c r="D24" s="34" t="n">
        <v>2.8375</v>
      </c>
      <c r="E24" s="34" t="n">
        <v>100</v>
      </c>
      <c r="F24" s="34" t="n">
        <v>3.0545</v>
      </c>
      <c r="G24" s="30" t="n">
        <f aca="false">1000-E24</f>
        <v>900</v>
      </c>
      <c r="H24" s="34" t="n">
        <v>3.6628</v>
      </c>
      <c r="I24" s="35" t="n">
        <f aca="false">F24-D24</f>
        <v>0.217</v>
      </c>
      <c r="J24" s="35" t="n">
        <f aca="false">H24-F24</f>
        <v>0.6083</v>
      </c>
      <c r="K24" s="35" t="n">
        <f aca="false">J24+I24</f>
        <v>0.8253</v>
      </c>
      <c r="L24" s="36" t="n">
        <v>987.3946</v>
      </c>
      <c r="M24" s="36" t="n">
        <v>1374.1399</v>
      </c>
      <c r="N24" s="36" t="n">
        <v>1220.8149</v>
      </c>
      <c r="O24" s="58" t="n">
        <f aca="false">(L24/$F$2)^(1/$F$3)</f>
        <v>5.83082156671566</v>
      </c>
      <c r="P24" s="59" t="n">
        <f aca="false">(M24/$G$2)^(1/$G$3)</f>
        <v>8.02223532255085</v>
      </c>
      <c r="Q24" s="60" t="n">
        <f aca="false">(N24/$H$2)^(1/$H$3)</f>
        <v>8.75853251963667</v>
      </c>
      <c r="R24" s="55" t="n">
        <f aca="false">O24*$K24/$I24</f>
        <v>22.1759310553476</v>
      </c>
      <c r="S24" s="53" t="n">
        <f aca="false">P24*$K24/$I24</f>
        <v>30.5103724041531</v>
      </c>
      <c r="T24" s="54" t="n">
        <f aca="false">Q24*$K24/$I24</f>
        <v>33.3106769053278</v>
      </c>
      <c r="U24" s="42" t="n">
        <v>3.5085</v>
      </c>
      <c r="V24" s="42"/>
      <c r="W24" s="61"/>
      <c r="X24" s="62"/>
      <c r="Y24" s="62"/>
      <c r="Z24" s="44"/>
      <c r="AA24" s="2"/>
    </row>
    <row r="25" customFormat="false" ht="14.25" hidden="false" customHeight="true" outlineLevel="0" collapsed="false">
      <c r="A25" s="45" t="s">
        <v>38</v>
      </c>
      <c r="B25" s="1" t="s">
        <v>32</v>
      </c>
      <c r="C25" s="1" t="n">
        <v>1</v>
      </c>
      <c r="D25" s="1" t="n">
        <v>2.7782</v>
      </c>
      <c r="F25" s="1" t="n">
        <v>3.0825</v>
      </c>
      <c r="G25" s="2" t="n">
        <f aca="false">1000-E25</f>
        <v>1000</v>
      </c>
      <c r="H25" s="1" t="n">
        <v>3.5059</v>
      </c>
      <c r="I25" s="1" t="n">
        <f aca="false">F25-D25</f>
        <v>0.3043</v>
      </c>
      <c r="J25" s="1" t="n">
        <f aca="false">H25-F25</f>
        <v>0.4234</v>
      </c>
      <c r="K25" s="1" t="n">
        <f aca="false">J25+I25</f>
        <v>0.7277</v>
      </c>
      <c r="M25" s="1" t="n">
        <v>3.74</v>
      </c>
      <c r="N25" s="1" t="n">
        <v>3.41</v>
      </c>
      <c r="P25" s="1" t="n">
        <f aca="false">(M25/$G$2)^(1/$G$3)</f>
        <v>0.0283563087879794</v>
      </c>
      <c r="Q25" s="1" t="n">
        <f aca="false">(N25/$H$2)^(1/$H$3)</f>
        <v>0.030248739694197</v>
      </c>
      <c r="S25" s="1" t="n">
        <f aca="false">P25*$K25/$I25</f>
        <v>0.0678109954157496</v>
      </c>
      <c r="T25" s="1" t="n">
        <f aca="false">Q25*$K25/$I25</f>
        <v>0.0723365359036056</v>
      </c>
      <c r="X25" s="1" t="n">
        <f aca="false">AVERAGE(S25:S26)/100</f>
        <v>0.000637227199553521</v>
      </c>
      <c r="Y25" s="1" t="n">
        <f aca="false">AVERAGE(T25:T26)/100</f>
        <v>0.00071310693407201</v>
      </c>
      <c r="Z25" s="1" t="e">
        <f aca="false">AVERAGE(U25:V26)/100</f>
        <v>#DIV/0!</v>
      </c>
      <c r="AA25" s="1" t="e">
        <f aca="false">SUM(W25:Z25)</f>
        <v>#DIV/0!</v>
      </c>
      <c r="AE25" s="1" t="str">
        <f aca="false">IFERROR(X25/$AA25,"")</f>
        <v/>
      </c>
      <c r="AF25" s="1" t="str">
        <f aca="false">IFERROR(Y25/$AA25,"")</f>
        <v/>
      </c>
      <c r="AG25" s="1" t="str">
        <f aca="false">IFERROR(Z25/$AA25,"")</f>
        <v/>
      </c>
    </row>
    <row r="26" customFormat="false" ht="14.25" hidden="false" customHeight="true" outlineLevel="0" collapsed="false">
      <c r="A26" s="45"/>
      <c r="B26" s="1" t="s">
        <v>32</v>
      </c>
      <c r="C26" s="1" t="n">
        <v>2</v>
      </c>
      <c r="D26" s="1" t="n">
        <v>2.7759</v>
      </c>
      <c r="F26" s="1" t="n">
        <v>3.0842</v>
      </c>
      <c r="G26" s="2" t="n">
        <f aca="false">1000-E26</f>
        <v>1000</v>
      </c>
      <c r="H26" s="1" t="n">
        <v>3.524</v>
      </c>
      <c r="I26" s="1" t="n">
        <f aca="false">F26-D26</f>
        <v>0.3083</v>
      </c>
      <c r="J26" s="1" t="n">
        <f aca="false">H26-F26</f>
        <v>0.4398</v>
      </c>
      <c r="K26" s="1" t="n">
        <f aca="false">J26+I26</f>
        <v>0.7481</v>
      </c>
      <c r="M26" s="1" t="n">
        <v>3.22</v>
      </c>
      <c r="N26" s="1" t="n">
        <v>3.26</v>
      </c>
      <c r="P26" s="1" t="n">
        <f aca="false">(M26/$G$2)^(1/$G$3)</f>
        <v>0.0245759914955147</v>
      </c>
      <c r="Q26" s="1" t="n">
        <f aca="false">(N26/$H$2)^(1/$H$3)</f>
        <v>0.0289651377299807</v>
      </c>
      <c r="S26" s="1" t="n">
        <f aca="false">P26*$K26/$I26</f>
        <v>0.0596344444949547</v>
      </c>
      <c r="T26" s="1" t="n">
        <f aca="false">Q26*$K26/$I26</f>
        <v>0.0702848509107965</v>
      </c>
    </row>
    <row r="27" customFormat="false" ht="14.25" hidden="false" customHeight="true" outlineLevel="0" collapsed="false">
      <c r="A27" s="45"/>
      <c r="B27" s="1" t="s">
        <v>33</v>
      </c>
      <c r="C27" s="1" t="n">
        <v>3</v>
      </c>
      <c r="D27" s="1" t="n">
        <v>2.7654</v>
      </c>
      <c r="F27" s="1" t="n">
        <v>3.0632</v>
      </c>
      <c r="G27" s="2" t="n">
        <f aca="false">1000-E27</f>
        <v>1000</v>
      </c>
      <c r="H27" s="1" t="n">
        <v>3.544</v>
      </c>
      <c r="I27" s="1" t="n">
        <f aca="false">F27-D27</f>
        <v>0.2978</v>
      </c>
      <c r="J27" s="1" t="n">
        <f aca="false">H27-F27</f>
        <v>0.4808</v>
      </c>
      <c r="K27" s="1" t="n">
        <f aca="false">J27+I27</f>
        <v>0.7786</v>
      </c>
      <c r="M27" s="1" t="n">
        <v>3069.29</v>
      </c>
      <c r="N27" s="1" t="n">
        <v>2601.67</v>
      </c>
      <c r="P27" s="1" t="n">
        <f aca="false">(M27/$G$2)^(1/$G$3)</f>
        <v>17.2925119951485</v>
      </c>
      <c r="Q27" s="1" t="n">
        <f aca="false">(N27/$H$2)^(1/$H$3)</f>
        <v>18.1624448306182</v>
      </c>
      <c r="S27" s="1" t="n">
        <f aca="false">P27*$K27/$I27</f>
        <v>45.2113829396327</v>
      </c>
      <c r="T27" s="1" t="n">
        <f aca="false">Q27*$K27/$I27</f>
        <v>47.4858278882449</v>
      </c>
      <c r="U27" s="1" t="n">
        <v>2.9064</v>
      </c>
      <c r="X27" s="1" t="n">
        <f aca="false">AVERAGE(S27:S28)/100</f>
        <v>0.45324270269083</v>
      </c>
      <c r="Y27" s="1" t="n">
        <f aca="false">AVERAGE(T27:T28)/100</f>
        <v>0.47613854337922</v>
      </c>
      <c r="Z27" s="1" t="n">
        <f aca="false">AVERAGE(U27:V28)/100</f>
        <v>0.029216</v>
      </c>
      <c r="AA27" s="1" t="n">
        <f aca="false">SUM(W27:Z27)</f>
        <v>0.95859724607005</v>
      </c>
      <c r="AE27" s="1" t="n">
        <f aca="false">IFERROR(X27/$AA27,"")</f>
        <v>0.472818698936372</v>
      </c>
      <c r="AF27" s="1" t="n">
        <f aca="false">IFERROR(Y27/$AA27,"")</f>
        <v>0.496703433408806</v>
      </c>
      <c r="AG27" s="1" t="n">
        <f aca="false">IFERROR(Z27/$AA27,"")</f>
        <v>0.0304778676548222</v>
      </c>
    </row>
    <row r="28" customFormat="false" ht="14.25" hidden="false" customHeight="true" outlineLevel="0" collapsed="false">
      <c r="A28" s="45"/>
      <c r="B28" s="1" t="s">
        <v>33</v>
      </c>
      <c r="C28" s="1" t="n">
        <v>4</v>
      </c>
      <c r="D28" s="1" t="n">
        <v>2.7345</v>
      </c>
      <c r="F28" s="1" t="n">
        <v>3.038</v>
      </c>
      <c r="G28" s="2" t="n">
        <f aca="false">1000-E28</f>
        <v>1000</v>
      </c>
      <c r="H28" s="1" t="n">
        <v>3.5149</v>
      </c>
      <c r="I28" s="1" t="n">
        <f aca="false">F28-D28</f>
        <v>0.3035</v>
      </c>
      <c r="J28" s="1" t="n">
        <f aca="false">H28-F28</f>
        <v>0.4769</v>
      </c>
      <c r="K28" s="1" t="n">
        <f aca="false">J28+I28</f>
        <v>0.7804</v>
      </c>
      <c r="M28" s="1" t="n">
        <v>3139.55</v>
      </c>
      <c r="N28" s="1" t="n">
        <v>2661.81</v>
      </c>
      <c r="P28" s="1" t="n">
        <f aca="false">(M28/$G$2)^(1/$G$3)</f>
        <v>17.6706526539657</v>
      </c>
      <c r="Q28" s="1" t="n">
        <f aca="false">(N28/$H$2)^(1/$H$3)</f>
        <v>18.5669667081449</v>
      </c>
      <c r="S28" s="1" t="n">
        <f aca="false">P28*$K28/$I28</f>
        <v>45.4371575985333</v>
      </c>
      <c r="T28" s="1" t="n">
        <f aca="false">Q28*$K28/$I28</f>
        <v>47.741880787599</v>
      </c>
      <c r="U28" s="1" t="n">
        <v>2.9368</v>
      </c>
    </row>
  </sheetData>
  <mergeCells count="9">
    <mergeCell ref="O3:Q3"/>
    <mergeCell ref="R3:T3"/>
    <mergeCell ref="U3:V3"/>
    <mergeCell ref="A5:A8"/>
    <mergeCell ref="A9:A12"/>
    <mergeCell ref="A13:A16"/>
    <mergeCell ref="A17:A20"/>
    <mergeCell ref="A21:A24"/>
    <mergeCell ref="A25:A2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AG28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U27" activeCellId="0" sqref="U27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4" min="4" style="1" width="8.34"/>
    <col collapsed="false" customWidth="true" hidden="false" outlineLevel="0" max="5" min="5" style="1" width="10.53"/>
    <col collapsed="false" customWidth="true" hidden="false" outlineLevel="0" max="6" min="6" style="1" width="13.6"/>
    <col collapsed="false" customWidth="true" hidden="false" outlineLevel="0" max="7" min="7" style="2" width="10.66"/>
    <col collapsed="false" customWidth="true" hidden="false" outlineLevel="0" max="8" min="8" style="1" width="12.73"/>
    <col collapsed="false" customWidth="true" hidden="false" outlineLevel="0" max="13" min="12" style="1" width="10.47"/>
    <col collapsed="false" customWidth="true" hidden="false" outlineLevel="0" max="14" min="14" style="1" width="12.61"/>
    <col collapsed="false" customWidth="true" hidden="false" outlineLevel="0" max="16" min="15" style="1" width="11.12"/>
    <col collapsed="false" customWidth="true" hidden="false" outlineLevel="0" max="17" min="17" style="1" width="13.67"/>
    <col collapsed="false" customWidth="true" hidden="false" outlineLevel="0" max="19" min="18" style="1" width="11.12"/>
    <col collapsed="false" customWidth="true" hidden="false" outlineLevel="0" max="20" min="20" style="1" width="13.67"/>
    <col collapsed="false" customWidth="true" hidden="false" outlineLevel="0" max="22" min="21" style="1" width="9.53"/>
  </cols>
  <sheetData>
    <row r="1" customFormat="false" ht="26.25" hidden="false" customHeight="true" outlineLevel="0" collapsed="false">
      <c r="F1" s="3" t="s">
        <v>0</v>
      </c>
      <c r="G1" s="3" t="s">
        <v>61</v>
      </c>
    </row>
    <row r="2" customFormat="false" ht="14.25" hidden="false" customHeight="true" outlineLevel="0" collapsed="false">
      <c r="E2" s="1" t="s">
        <v>2</v>
      </c>
      <c r="F2" s="1" t="n">
        <v>154.574631</v>
      </c>
      <c r="G2" s="2" t="n">
        <v>155.54848</v>
      </c>
      <c r="H2" s="4" t="n">
        <v>139.485507</v>
      </c>
    </row>
    <row r="3" customFormat="false" ht="14.25" hidden="false" customHeight="true" outlineLevel="0" collapsed="false">
      <c r="E3" s="1" t="s">
        <v>3</v>
      </c>
      <c r="F3" s="1" t="n">
        <v>1.05174512</v>
      </c>
      <c r="G3" s="2" t="n">
        <v>1.046301</v>
      </c>
      <c r="H3" s="1" t="n">
        <v>1.06895477</v>
      </c>
      <c r="M3" s="1" t="s">
        <v>4</v>
      </c>
      <c r="N3" s="1" t="s">
        <v>62</v>
      </c>
      <c r="O3" s="5" t="s">
        <v>6</v>
      </c>
      <c r="P3" s="5"/>
      <c r="Q3" s="5"/>
      <c r="R3" s="6" t="s">
        <v>7</v>
      </c>
      <c r="S3" s="6"/>
      <c r="T3" s="6"/>
      <c r="U3" s="7" t="s">
        <v>8</v>
      </c>
      <c r="V3" s="7"/>
    </row>
    <row r="4" customFormat="false" ht="14.25" hidden="false" customHeight="true" outlineLevel="0" collapsed="false">
      <c r="A4" s="8" t="s">
        <v>9</v>
      </c>
      <c r="B4" s="8" t="s">
        <v>10</v>
      </c>
      <c r="C4" s="8" t="s">
        <v>11</v>
      </c>
      <c r="D4" s="8" t="s">
        <v>12</v>
      </c>
      <c r="E4" s="8" t="s">
        <v>13</v>
      </c>
      <c r="F4" s="8" t="s">
        <v>14</v>
      </c>
      <c r="G4" s="8" t="s">
        <v>15</v>
      </c>
      <c r="H4" s="8" t="s">
        <v>16</v>
      </c>
      <c r="I4" s="9" t="s">
        <v>17</v>
      </c>
      <c r="J4" s="9" t="s">
        <v>18</v>
      </c>
      <c r="K4" s="9" t="s">
        <v>19</v>
      </c>
      <c r="L4" s="9" t="s">
        <v>20</v>
      </c>
      <c r="M4" s="10" t="s">
        <v>41</v>
      </c>
      <c r="N4" s="11" t="s">
        <v>22</v>
      </c>
      <c r="O4" s="12" t="s">
        <v>23</v>
      </c>
      <c r="P4" s="13" t="s">
        <v>24</v>
      </c>
      <c r="Q4" s="14" t="s">
        <v>25</v>
      </c>
      <c r="R4" s="12" t="s">
        <v>23</v>
      </c>
      <c r="S4" s="13" t="s">
        <v>24</v>
      </c>
      <c r="T4" s="14" t="s">
        <v>25</v>
      </c>
      <c r="U4" s="15" t="n">
        <v>1</v>
      </c>
      <c r="V4" s="15" t="n">
        <v>2</v>
      </c>
      <c r="W4" s="16" t="s">
        <v>26</v>
      </c>
      <c r="X4" s="15" t="s">
        <v>27</v>
      </c>
      <c r="Y4" s="15" t="s">
        <v>28</v>
      </c>
      <c r="Z4" s="17" t="s">
        <v>29</v>
      </c>
    </row>
    <row r="5" customFormat="false" ht="14.25" hidden="false" customHeight="true" outlineLevel="0" collapsed="false">
      <c r="A5" s="18" t="s">
        <v>63</v>
      </c>
      <c r="B5" s="19" t="s">
        <v>32</v>
      </c>
      <c r="C5" s="20" t="n">
        <v>1</v>
      </c>
      <c r="D5" s="21" t="n">
        <v>2.8242</v>
      </c>
      <c r="E5" s="19" t="n">
        <v>300</v>
      </c>
      <c r="F5" s="20" t="n">
        <v>2.9878</v>
      </c>
      <c r="G5" s="19" t="n">
        <f aca="false">1000-E5</f>
        <v>700</v>
      </c>
      <c r="H5" s="20" t="n">
        <v>3.6215</v>
      </c>
      <c r="I5" s="22" t="n">
        <f aca="false">F5-D5</f>
        <v>0.1636</v>
      </c>
      <c r="J5" s="22" t="n">
        <f aca="false">H5-F5</f>
        <v>0.6337</v>
      </c>
      <c r="K5" s="22" t="n">
        <f aca="false">J5+I5</f>
        <v>0.7973</v>
      </c>
      <c r="L5" s="23" t="n">
        <v>196.6166</v>
      </c>
      <c r="M5" s="23" t="n">
        <v>2077.8537</v>
      </c>
      <c r="N5" s="23" t="n">
        <v>1940.8217</v>
      </c>
      <c r="O5" s="24" t="n">
        <f aca="false">(L5/$F$2)^(1/$F$3)</f>
        <v>1.25701807989117</v>
      </c>
      <c r="P5" s="47" t="n">
        <f aca="false">(M5/$G$2)^(1/$G$3)</f>
        <v>11.9105672664945</v>
      </c>
      <c r="Q5" s="26" t="n">
        <f aca="false">(N5/$H$2)^(1/$H$3)</f>
        <v>11.7407520931948</v>
      </c>
      <c r="R5" s="25" t="n">
        <f aca="false">O5*$K5/$I5</f>
        <v>6.12604226832046</v>
      </c>
      <c r="S5" s="47" t="n">
        <f aca="false">P5*$K5/$I5</f>
        <v>58.0458146795605</v>
      </c>
      <c r="T5" s="26" t="n">
        <f aca="false">Q5*$K5/$I5</f>
        <v>57.2182252072384</v>
      </c>
      <c r="U5" s="27" t="n">
        <v>1.6603</v>
      </c>
      <c r="V5" s="27" t="n">
        <v>1.7084</v>
      </c>
      <c r="W5" s="48" t="n">
        <f aca="false">AVERAGE(R5:R6)/100</f>
        <v>0.0378641670534031</v>
      </c>
      <c r="X5" s="49" t="n">
        <f aca="false">AVERAGE(S5:S6)/100</f>
        <v>0.290260307098293</v>
      </c>
      <c r="Y5" s="49" t="n">
        <f aca="false">AVERAGE(T5:T6)/100</f>
        <v>0.286134767220147</v>
      </c>
      <c r="Z5" s="50" t="n">
        <f aca="false">AVERAGE(U5:V6)/100</f>
        <v>0.016628</v>
      </c>
      <c r="AA5" s="2" t="n">
        <f aca="false">SUM(W5:Z5)</f>
        <v>0.630887241371843</v>
      </c>
      <c r="AD5" s="0" t="n">
        <v>0.0606170150578151</v>
      </c>
      <c r="AE5" s="0" t="n">
        <v>0.464679795576856</v>
      </c>
      <c r="AF5" s="0" t="n">
        <v>0.458075189365329</v>
      </c>
      <c r="AG5" s="0" t="n">
        <v>0.016628</v>
      </c>
    </row>
    <row r="6" customFormat="false" ht="14.25" hidden="false" customHeight="true" outlineLevel="0" collapsed="false">
      <c r="A6" s="18"/>
      <c r="B6" s="20" t="s">
        <v>32</v>
      </c>
      <c r="C6" s="20" t="n">
        <v>2</v>
      </c>
      <c r="D6" s="20" t="n">
        <v>2.8409</v>
      </c>
      <c r="E6" s="20" t="n">
        <v>300</v>
      </c>
      <c r="F6" s="20" t="n">
        <v>3.0311</v>
      </c>
      <c r="G6" s="19" t="n">
        <f aca="false">1000-E6</f>
        <v>700</v>
      </c>
      <c r="H6" s="20" t="n">
        <v>3.661</v>
      </c>
      <c r="I6" s="22" t="n">
        <f aca="false">F6-D6</f>
        <v>0.1902</v>
      </c>
      <c r="J6" s="22" t="n">
        <f aca="false">H6-F6</f>
        <v>0.6299</v>
      </c>
      <c r="K6" s="22" t="n">
        <f aca="false">J6+I6</f>
        <v>0.8201</v>
      </c>
      <c r="L6" s="23" t="n">
        <v>49.0171</v>
      </c>
      <c r="M6" s="23" t="n">
        <v>0.1665</v>
      </c>
      <c r="N6" s="23" t="n">
        <v>0.1841</v>
      </c>
      <c r="O6" s="24" t="n">
        <f aca="false">(L6/$F$2)^(1/$F$3)</f>
        <v>0.3355440498438</v>
      </c>
      <c r="P6" s="47" t="n">
        <f aca="false">(M6/$G$2)^(1/$G$3)</f>
        <v>0.00144876230540947</v>
      </c>
      <c r="Q6" s="26" t="n">
        <f aca="false">(N6/$H$2)^(1/$H$3)</f>
        <v>0.00202427830464385</v>
      </c>
      <c r="R6" s="25" t="n">
        <f aca="false">O6*$K6/$I6</f>
        <v>1.44679114236015</v>
      </c>
      <c r="S6" s="47" t="n">
        <f aca="false">P6*$K6/$I6</f>
        <v>0.00624674009814041</v>
      </c>
      <c r="T6" s="26" t="n">
        <f aca="false">Q6*$K6/$I6</f>
        <v>0.0087282367909486</v>
      </c>
      <c r="U6" s="27" t="n">
        <v>1.6197</v>
      </c>
      <c r="V6" s="27"/>
      <c r="W6" s="51"/>
      <c r="Z6" s="33"/>
      <c r="AA6" s="2"/>
    </row>
    <row r="7" customFormat="false" ht="14.25" hidden="false" customHeight="true" outlineLevel="0" collapsed="false">
      <c r="A7" s="18"/>
      <c r="B7" s="34" t="s">
        <v>33</v>
      </c>
      <c r="C7" s="34" t="n">
        <v>3</v>
      </c>
      <c r="D7" s="34" t="n">
        <v>2.751</v>
      </c>
      <c r="E7" s="34" t="n">
        <v>100</v>
      </c>
      <c r="F7" s="34" t="n">
        <v>2.9515</v>
      </c>
      <c r="G7" s="30" t="n">
        <f aca="false">1000-E7</f>
        <v>900</v>
      </c>
      <c r="H7" s="34" t="n">
        <v>3.5894</v>
      </c>
      <c r="I7" s="35" t="n">
        <f aca="false">F7-D7</f>
        <v>0.2005</v>
      </c>
      <c r="J7" s="35" t="n">
        <f aca="false">H7-F7</f>
        <v>0.6379</v>
      </c>
      <c r="K7" s="35" t="n">
        <f aca="false">J7+I7</f>
        <v>0.8384</v>
      </c>
      <c r="L7" s="1" t="n">
        <v>5.1491</v>
      </c>
      <c r="M7" s="1" t="n">
        <v>0.7548</v>
      </c>
      <c r="N7" s="36" t="n">
        <v>1.512</v>
      </c>
      <c r="O7" s="52" t="n">
        <f aca="false">(L7/$F$2)^(1/$F$3)</f>
        <v>0.0393804330512682</v>
      </c>
      <c r="P7" s="53" t="n">
        <f aca="false">(M7/$G$2)^(1/$G$3)</f>
        <v>0.0061428080129521</v>
      </c>
      <c r="Q7" s="54" t="n">
        <f aca="false">(N7/$H$2)^(1/$H$3)</f>
        <v>0.0145136602751698</v>
      </c>
      <c r="R7" s="55" t="n">
        <f aca="false">O7*$K7/$I7</f>
        <v>0.164671097606899</v>
      </c>
      <c r="S7" s="53" t="n">
        <f aca="false">P7*$K7/$I7</f>
        <v>0.0256864351025389</v>
      </c>
      <c r="T7" s="54" t="n">
        <f aca="false">Q7*$K7/$I7</f>
        <v>0.0606895400234532</v>
      </c>
      <c r="U7" s="2" t="n">
        <v>98.0875</v>
      </c>
      <c r="V7" s="2"/>
      <c r="W7" s="51" t="n">
        <f aca="false">AVERAGE(R7:R8)/100</f>
        <v>0.00163139153517796</v>
      </c>
      <c r="X7" s="0" t="n">
        <f aca="false">AVERAGE(S7:S8)/100</f>
        <v>0.000258487986468277</v>
      </c>
      <c r="Y7" s="1" t="n">
        <f aca="false">AVERAGE(T7:T8)/100</f>
        <v>0.000607458444121444</v>
      </c>
      <c r="Z7" s="33" t="n">
        <f aca="false">AVERAGE(U7:V8)/100</f>
        <v>0.984287</v>
      </c>
      <c r="AA7" s="2" t="n">
        <f aca="false">SUM(W7:Z7)</f>
        <v>0.986784337965768</v>
      </c>
      <c r="AD7" s="0" t="n">
        <v>0.00164237103978913</v>
      </c>
      <c r="AE7" s="0" t="n">
        <v>0.000260227648577686</v>
      </c>
      <c r="AF7" s="0" t="n">
        <v>0.000611546728659218</v>
      </c>
      <c r="AG7" s="0" t="n">
        <v>0.997485854582974</v>
      </c>
    </row>
    <row r="8" customFormat="false" ht="14.25" hidden="false" customHeight="true" outlineLevel="0" collapsed="false">
      <c r="A8" s="18"/>
      <c r="B8" s="34" t="s">
        <v>33</v>
      </c>
      <c r="C8" s="34" t="n">
        <v>4</v>
      </c>
      <c r="D8" s="34" t="n">
        <v>2.736</v>
      </c>
      <c r="E8" s="34" t="n">
        <v>100</v>
      </c>
      <c r="F8" s="34" t="n">
        <v>2.9446</v>
      </c>
      <c r="G8" s="30" t="n">
        <f aca="false">1000-E8</f>
        <v>900</v>
      </c>
      <c r="H8" s="34" t="n">
        <v>3.5794</v>
      </c>
      <c r="I8" s="35" t="n">
        <f aca="false">F8-D8</f>
        <v>0.2086</v>
      </c>
      <c r="J8" s="35" t="n">
        <f aca="false">H8-F8</f>
        <v>0.6348</v>
      </c>
      <c r="K8" s="35" t="n">
        <f aca="false">J8+I8</f>
        <v>0.8434</v>
      </c>
      <c r="L8" s="36" t="n">
        <v>5.2303</v>
      </c>
      <c r="M8" s="36" t="n">
        <v>0.7922</v>
      </c>
      <c r="N8" s="36" t="n">
        <v>1.5705</v>
      </c>
      <c r="O8" s="52" t="n">
        <f aca="false">(L8/$F$2)^(1/$F$3)</f>
        <v>0.0399706709590058</v>
      </c>
      <c r="P8" s="53" t="n">
        <f aca="false">(M8/$G$2)^(1/$G$3)</f>
        <v>0.00643339866382133</v>
      </c>
      <c r="Q8" s="54" t="n">
        <f aca="false">(N8/$H$2)^(1/$H$3)</f>
        <v>0.0150383308511433</v>
      </c>
      <c r="R8" s="55" t="n">
        <f aca="false">O8*$K8/$I8</f>
        <v>0.161607209428694</v>
      </c>
      <c r="S8" s="53" t="n">
        <f aca="false">P8*$K8/$I8</f>
        <v>0.0260111621911166</v>
      </c>
      <c r="T8" s="54" t="n">
        <f aca="false">Q8*$K8/$I8</f>
        <v>0.0608021488008356</v>
      </c>
      <c r="U8" s="2" t="n">
        <v>98.808</v>
      </c>
      <c r="V8" s="2" t="n">
        <v>98.3906</v>
      </c>
      <c r="W8" s="51"/>
      <c r="Z8" s="33"/>
      <c r="AA8" s="2"/>
    </row>
    <row r="9" customFormat="false" ht="14.25" hidden="false" customHeight="true" outlineLevel="0" collapsed="false">
      <c r="A9" s="18" t="s">
        <v>64</v>
      </c>
      <c r="B9" s="19" t="s">
        <v>32</v>
      </c>
      <c r="C9" s="20" t="n">
        <v>5</v>
      </c>
      <c r="D9" s="19" t="n">
        <v>2.752</v>
      </c>
      <c r="E9" s="19" t="n">
        <v>300</v>
      </c>
      <c r="F9" s="20" t="n">
        <v>2.8709</v>
      </c>
      <c r="G9" s="19" t="n">
        <f aca="false">1000-E9</f>
        <v>700</v>
      </c>
      <c r="H9" s="20" t="n">
        <v>3.5013</v>
      </c>
      <c r="I9" s="22" t="n">
        <f aca="false">F9-D9</f>
        <v>0.1189</v>
      </c>
      <c r="J9" s="22" t="n">
        <f aca="false">H9-F9</f>
        <v>0.6304</v>
      </c>
      <c r="K9" s="22" t="n">
        <f aca="false">J9+I9</f>
        <v>0.7493</v>
      </c>
      <c r="L9" s="23" t="n">
        <v>47.7925</v>
      </c>
      <c r="M9" s="23" t="n">
        <v>0.0294</v>
      </c>
      <c r="N9" s="23" t="n">
        <v>0.0785</v>
      </c>
      <c r="O9" s="24" t="n">
        <f aca="false">(L9/$F$2)^(1/$F$3)</f>
        <v>0.327568605956775</v>
      </c>
      <c r="P9" s="47" t="n">
        <f aca="false">(M9/$G$2)^(1/$G$3)</f>
        <v>0.000276219929810291</v>
      </c>
      <c r="Q9" s="26" t="n">
        <f aca="false">(N9/$H$2)^(1/$H$3)</f>
        <v>0.000911938296869935</v>
      </c>
      <c r="R9" s="25" t="n">
        <f aca="false">O9*$K9/$I9</f>
        <v>2.06431586579824</v>
      </c>
      <c r="S9" s="47" t="n">
        <f aca="false">P9*$K9/$I9</f>
        <v>0.00174071987726536</v>
      </c>
      <c r="T9" s="26" t="n">
        <f aca="false">Q9*$K9/$I9</f>
        <v>0.00574697532249489</v>
      </c>
      <c r="U9" s="27" t="n">
        <v>88.714</v>
      </c>
      <c r="V9" s="27" t="n">
        <v>89.9148</v>
      </c>
      <c r="W9" s="56" t="n">
        <f aca="false">AVERAGE(R9:R10)/100</f>
        <v>0.0558644672205221</v>
      </c>
      <c r="X9" s="57" t="n">
        <f aca="false">AVERAGE(S9:S10)/100</f>
        <v>0.437487937746624</v>
      </c>
      <c r="Y9" s="57" t="n">
        <f aca="false">AVERAGE(T9:T10)/100</f>
        <v>0.427596684873136</v>
      </c>
      <c r="Z9" s="29" t="n">
        <f aca="false">AVERAGE(U9:V10)/100</f>
        <v>0.92712775</v>
      </c>
      <c r="AA9" s="2" t="n">
        <f aca="false">SUM(W9:Z9)</f>
        <v>1.84807683984028</v>
      </c>
      <c r="AD9" s="0" t="n">
        <v>0.0207820901473196</v>
      </c>
      <c r="AE9" s="0" t="n">
        <v>1.75243517767428E-005</v>
      </c>
      <c r="AF9" s="0" t="n">
        <v>5.78565331039233E-005</v>
      </c>
      <c r="AG9" s="0" t="n">
        <v>0.9791425289678</v>
      </c>
    </row>
    <row r="10" customFormat="false" ht="14.25" hidden="false" customHeight="true" outlineLevel="0" collapsed="false">
      <c r="A10" s="18"/>
      <c r="B10" s="20" t="s">
        <v>32</v>
      </c>
      <c r="C10" s="20" t="n">
        <v>6</v>
      </c>
      <c r="D10" s="20" t="n">
        <v>2.8169</v>
      </c>
      <c r="E10" s="20" t="n">
        <v>300</v>
      </c>
      <c r="F10" s="20" t="n">
        <v>2.9387</v>
      </c>
      <c r="G10" s="19" t="n">
        <f aca="false">1000-E10</f>
        <v>700</v>
      </c>
      <c r="H10" s="20" t="n">
        <v>3.5666</v>
      </c>
      <c r="I10" s="22" t="n">
        <f aca="false">F10-D10</f>
        <v>0.1218</v>
      </c>
      <c r="J10" s="22" t="n">
        <f aca="false">H10-F10</f>
        <v>0.6279</v>
      </c>
      <c r="K10" s="22" t="n">
        <f aca="false">J10+I10</f>
        <v>0.7497</v>
      </c>
      <c r="L10" s="23" t="n">
        <v>233.4297</v>
      </c>
      <c r="M10" s="23" t="n">
        <v>2500.2667</v>
      </c>
      <c r="N10" s="23" t="n">
        <v>2323.4063</v>
      </c>
      <c r="O10" s="24" t="n">
        <f aca="false">(L10/$F$2)^(1/$F$3)</f>
        <v>1.4798249286884</v>
      </c>
      <c r="P10" s="47" t="n">
        <f aca="false">(M10/$G$2)^(1/$G$3)</f>
        <v>14.2150115297142</v>
      </c>
      <c r="Q10" s="26" t="n">
        <f aca="false">(N10/$H$2)^(1/$H$3)</f>
        <v>13.8929642015677</v>
      </c>
      <c r="R10" s="25" t="n">
        <f aca="false">O10*$K10/$I10</f>
        <v>9.10857757830618</v>
      </c>
      <c r="S10" s="47" t="n">
        <f aca="false">P10*$K10/$I10</f>
        <v>87.4958468294476</v>
      </c>
      <c r="T10" s="26" t="n">
        <f aca="false">Q10*$K10/$I10</f>
        <v>85.5135899993047</v>
      </c>
      <c r="U10" s="27" t="n">
        <v>99.5197</v>
      </c>
      <c r="V10" s="27" t="n">
        <v>92.7026</v>
      </c>
      <c r="W10" s="51"/>
      <c r="Z10" s="33"/>
      <c r="AA10" s="2"/>
    </row>
    <row r="11" customFormat="false" ht="14.25" hidden="false" customHeight="true" outlineLevel="0" collapsed="false">
      <c r="A11" s="18"/>
      <c r="B11" s="34" t="s">
        <v>33</v>
      </c>
      <c r="C11" s="34" t="n">
        <v>7</v>
      </c>
      <c r="D11" s="34" t="n">
        <v>2.7959</v>
      </c>
      <c r="E11" s="34" t="n">
        <v>100</v>
      </c>
      <c r="F11" s="34" t="n">
        <v>2.9182</v>
      </c>
      <c r="G11" s="30" t="n">
        <f aca="false">1000-E11</f>
        <v>900</v>
      </c>
      <c r="H11" s="34" t="n">
        <v>3.5465</v>
      </c>
      <c r="I11" s="35" t="n">
        <f aca="false">F11-D11</f>
        <v>0.1223</v>
      </c>
      <c r="J11" s="35" t="n">
        <f aca="false">H11-F11</f>
        <v>0.6283</v>
      </c>
      <c r="K11" s="35" t="n">
        <f aca="false">J11+I11</f>
        <v>0.7506</v>
      </c>
      <c r="L11" s="40" t="n">
        <v>2184.6416</v>
      </c>
      <c r="M11" s="40" t="n">
        <v>40.364</v>
      </c>
      <c r="N11" s="36" t="n">
        <v>38.4122</v>
      </c>
      <c r="O11" s="52" t="n">
        <f aca="false">(L11/$F$2)^(1/$F$3)</f>
        <v>12.4065458409033</v>
      </c>
      <c r="P11" s="53" t="n">
        <f aca="false">(M11/$G$2)^(1/$G$3)</f>
        <v>0.275457412832031</v>
      </c>
      <c r="Q11" s="54" t="n">
        <f aca="false">(N11/$H$2)^(1/$H$3)</f>
        <v>0.299273129837932</v>
      </c>
      <c r="R11" s="55" t="n">
        <f aca="false">O11*$K11/$I11</f>
        <v>76.1435266408993</v>
      </c>
      <c r="S11" s="53" t="n">
        <f aca="false">P11*$K11/$I11</f>
        <v>1.6905832712324</v>
      </c>
      <c r="T11" s="54" t="n">
        <f aca="false">Q11*$K11/$I11</f>
        <v>1.83674906996199</v>
      </c>
      <c r="U11" s="2" t="n">
        <v>8.078</v>
      </c>
      <c r="V11" s="2"/>
      <c r="W11" s="51" t="n">
        <f aca="false">AVERAGE(R11:R12)/100</f>
        <v>0.757721315084296</v>
      </c>
      <c r="X11" s="0" t="n">
        <f aca="false">AVERAGE(S11:S12)/100</f>
        <v>0.0168246793815169</v>
      </c>
      <c r="Y11" s="1" t="n">
        <f aca="false">AVERAGE(T11:T12)/100</f>
        <v>0.0182556129021259</v>
      </c>
      <c r="Z11" s="33" t="n">
        <f aca="false">AVERAGE(U11:V12)/100</f>
        <v>0.081533</v>
      </c>
      <c r="AA11" s="2" t="n">
        <f aca="false">SUM(W11:Z11)</f>
        <v>0.874334607367939</v>
      </c>
      <c r="AD11" s="0" t="n">
        <v>0.877826200948331</v>
      </c>
      <c r="AE11" s="0" t="n">
        <v>0.0194915255643925</v>
      </c>
      <c r="AF11" s="0" t="n">
        <v>0.0211492734872764</v>
      </c>
      <c r="AG11" s="0" t="n">
        <v>0.081533</v>
      </c>
    </row>
    <row r="12" customFormat="false" ht="14.25" hidden="false" customHeight="true" outlineLevel="0" collapsed="false">
      <c r="A12" s="18"/>
      <c r="B12" s="34" t="s">
        <v>33</v>
      </c>
      <c r="C12" s="34" t="n">
        <v>8</v>
      </c>
      <c r="D12" s="34" t="n">
        <v>2.8006</v>
      </c>
      <c r="E12" s="34" t="n">
        <v>100</v>
      </c>
      <c r="F12" s="34" t="n">
        <v>2.931</v>
      </c>
      <c r="G12" s="30" t="n">
        <f aca="false">1000-E12</f>
        <v>900</v>
      </c>
      <c r="H12" s="34" t="n">
        <v>3.5408</v>
      </c>
      <c r="I12" s="35" t="n">
        <f aca="false">F12-D12</f>
        <v>0.1304</v>
      </c>
      <c r="J12" s="35" t="n">
        <f aca="false">H12-F12</f>
        <v>0.6098</v>
      </c>
      <c r="K12" s="35" t="n">
        <f aca="false">J12+I12</f>
        <v>0.7402</v>
      </c>
      <c r="L12" s="36" t="n">
        <v>2347.2958</v>
      </c>
      <c r="M12" s="36" t="n">
        <v>43.3602</v>
      </c>
      <c r="N12" s="36" t="n">
        <v>41.2124</v>
      </c>
      <c r="O12" s="52" t="n">
        <f aca="false">(L12/$F$2)^(1/$F$3)</f>
        <v>13.2832423985749</v>
      </c>
      <c r="P12" s="53" t="n">
        <f aca="false">(M12/$G$2)^(1/$G$3)</f>
        <v>0.294968359499128</v>
      </c>
      <c r="Q12" s="54" t="n">
        <f aca="false">(N12/$H$2)^(1/$H$3)</f>
        <v>0.319635646804106</v>
      </c>
      <c r="R12" s="55" t="n">
        <f aca="false">O12*$K12/$I12</f>
        <v>75.40073637596</v>
      </c>
      <c r="S12" s="53" t="n">
        <f aca="false">P12*$K12/$I12</f>
        <v>1.67435260507097</v>
      </c>
      <c r="T12" s="54" t="n">
        <f aca="false">Q12*$K12/$I12</f>
        <v>1.81437351046319</v>
      </c>
      <c r="U12" s="2" t="n">
        <v>8.2286</v>
      </c>
      <c r="V12" s="2"/>
      <c r="W12" s="51"/>
      <c r="Z12" s="33"/>
      <c r="AA12" s="2"/>
    </row>
    <row r="13" customFormat="false" ht="14.25" hidden="false" customHeight="true" outlineLevel="0" collapsed="false">
      <c r="A13" s="18" t="s">
        <v>65</v>
      </c>
      <c r="B13" s="19" t="s">
        <v>32</v>
      </c>
      <c r="C13" s="20" t="n">
        <v>9</v>
      </c>
      <c r="D13" s="19" t="n">
        <v>2.7584</v>
      </c>
      <c r="E13" s="19" t="n">
        <v>300</v>
      </c>
      <c r="F13" s="20" t="n">
        <v>2.9397</v>
      </c>
      <c r="G13" s="19" t="n">
        <f aca="false">1000-E13</f>
        <v>700</v>
      </c>
      <c r="H13" s="20" t="n">
        <v>3.58</v>
      </c>
      <c r="I13" s="22" t="n">
        <f aca="false">F13-D13</f>
        <v>0.1813</v>
      </c>
      <c r="J13" s="22" t="n">
        <f aca="false">H13-F13</f>
        <v>0.6403</v>
      </c>
      <c r="K13" s="22" t="n">
        <f aca="false">J13+I13</f>
        <v>0.8216</v>
      </c>
      <c r="L13" s="23" t="n">
        <v>1568.3479</v>
      </c>
      <c r="M13" s="23" t="n">
        <v>839.7914</v>
      </c>
      <c r="N13" s="23" t="n">
        <v>801.4931</v>
      </c>
      <c r="O13" s="24" t="n">
        <f aca="false">(L13/$F$2)^(1/$F$3)</f>
        <v>9.05304606454047</v>
      </c>
      <c r="P13" s="47" t="n">
        <f aca="false">(M13/$G$2)^(1/$G$3)</f>
        <v>5.01071382670096</v>
      </c>
      <c r="Q13" s="26" t="n">
        <f aca="false">(N13/$H$2)^(1/$H$3)</f>
        <v>5.13317637100666</v>
      </c>
      <c r="R13" s="25" t="n">
        <f aca="false">O13*$K13/$I13</f>
        <v>41.0258281667206</v>
      </c>
      <c r="S13" s="47" t="n">
        <f aca="false">P13*$K13/$I13</f>
        <v>22.7071289576255</v>
      </c>
      <c r="T13" s="26" t="n">
        <f aca="false">Q13*$K13/$I13</f>
        <v>23.2620943542144</v>
      </c>
      <c r="U13" s="27" t="n">
        <v>3.6077</v>
      </c>
      <c r="V13" s="27"/>
      <c r="W13" s="56" t="n">
        <f aca="false">AVERAGE(R13:R14)/100</f>
        <v>0.437176251980643</v>
      </c>
      <c r="X13" s="57" t="n">
        <f aca="false">AVERAGE(S13:S14)/100</f>
        <v>0.243408168926117</v>
      </c>
      <c r="Y13" s="57" t="n">
        <f aca="false">AVERAGE(T13:T14)/100</f>
        <v>0.247166151136155</v>
      </c>
      <c r="Z13" s="29" t="n">
        <f aca="false">AVERAGE(U13:V14)/100</f>
        <v>0.0356555</v>
      </c>
      <c r="AA13" s="2" t="n">
        <f aca="false">SUM(W13:Z13)</f>
        <v>0.963406072042916</v>
      </c>
      <c r="AD13" s="0" t="n">
        <v>0.454420106904171</v>
      </c>
      <c r="AE13" s="0" t="n">
        <v>0.253009091055688</v>
      </c>
      <c r="AF13" s="0" t="n">
        <v>0.256915302040142</v>
      </c>
      <c r="AG13" s="0" t="n">
        <v>0.0356555</v>
      </c>
    </row>
    <row r="14" customFormat="false" ht="14.25" hidden="false" customHeight="true" outlineLevel="0" collapsed="false">
      <c r="A14" s="18"/>
      <c r="B14" s="19" t="s">
        <v>32</v>
      </c>
      <c r="C14" s="20" t="n">
        <v>10</v>
      </c>
      <c r="D14" s="20" t="n">
        <v>2.7291</v>
      </c>
      <c r="E14" s="20" t="n">
        <v>300</v>
      </c>
      <c r="F14" s="20" t="n">
        <v>2.9304</v>
      </c>
      <c r="G14" s="19" t="n">
        <f aca="false">1000-E14</f>
        <v>700</v>
      </c>
      <c r="H14" s="20" t="n">
        <v>3.5726</v>
      </c>
      <c r="I14" s="22" t="n">
        <f aca="false">F14-D14</f>
        <v>0.2013</v>
      </c>
      <c r="J14" s="22" t="n">
        <f aca="false">H14-F14</f>
        <v>0.6422</v>
      </c>
      <c r="K14" s="22" t="n">
        <f aca="false">J14+I14</f>
        <v>0.8435</v>
      </c>
      <c r="L14" s="23" t="n">
        <v>1938.8484</v>
      </c>
      <c r="M14" s="23" t="n">
        <v>1049.1952</v>
      </c>
      <c r="N14" s="23" t="n">
        <v>988.4836</v>
      </c>
      <c r="O14" s="24" t="n">
        <f aca="false">(L14/$F$2)^(1/$F$3)</f>
        <v>11.0755384644693</v>
      </c>
      <c r="P14" s="47" t="n">
        <f aca="false">(M14/$G$2)^(1/$G$3)</f>
        <v>6.19877631511023</v>
      </c>
      <c r="Q14" s="26" t="n">
        <f aca="false">(N14/$H$2)^(1/$H$3)</f>
        <v>6.24570201687997</v>
      </c>
      <c r="R14" s="25" t="n">
        <f aca="false">O14*$K14/$I14</f>
        <v>46.4094222294081</v>
      </c>
      <c r="S14" s="47" t="n">
        <f aca="false">P14*$K14/$I14</f>
        <v>25.974504827598</v>
      </c>
      <c r="T14" s="26" t="n">
        <f aca="false">Q14*$K14/$I14</f>
        <v>26.1711358730166</v>
      </c>
      <c r="U14" s="27" t="n">
        <v>3.5234</v>
      </c>
      <c r="V14" s="27"/>
      <c r="W14" s="51"/>
      <c r="Z14" s="33"/>
      <c r="AA14" s="2"/>
    </row>
    <row r="15" customFormat="false" ht="14.25" hidden="false" customHeight="true" outlineLevel="0" collapsed="false">
      <c r="A15" s="18"/>
      <c r="B15" s="34" t="s">
        <v>33</v>
      </c>
      <c r="C15" s="34" t="n">
        <v>11</v>
      </c>
      <c r="D15" s="34" t="n">
        <v>2.7739</v>
      </c>
      <c r="E15" s="34" t="n">
        <v>100</v>
      </c>
      <c r="F15" s="34" t="n">
        <v>2.9727</v>
      </c>
      <c r="G15" s="30" t="n">
        <f aca="false">1000-E15</f>
        <v>900</v>
      </c>
      <c r="H15" s="34" t="n">
        <v>3.6067</v>
      </c>
      <c r="I15" s="35" t="n">
        <f aca="false">F15-D15</f>
        <v>0.1988</v>
      </c>
      <c r="J15" s="35" t="n">
        <f aca="false">H15-F15</f>
        <v>0.634</v>
      </c>
      <c r="K15" s="35" t="n">
        <f aca="false">J15+I15</f>
        <v>0.8328</v>
      </c>
      <c r="L15" s="36" t="n">
        <v>43.5975</v>
      </c>
      <c r="M15" s="36" t="n">
        <v>0.4508</v>
      </c>
      <c r="N15" s="41" t="n">
        <v>1.1477</v>
      </c>
      <c r="O15" s="52" t="n">
        <f aca="false">(L15/$F$2)^(1/$F$3)</f>
        <v>0.300169852296395</v>
      </c>
      <c r="P15" s="53" t="n">
        <f aca="false">(M15/$G$2)^(1/$G$3)</f>
        <v>0.00375339868791963</v>
      </c>
      <c r="Q15" s="54" t="n">
        <f aca="false">(N15/$H$2)^(1/$H$3)</f>
        <v>0.0112144120321199</v>
      </c>
      <c r="R15" s="55" t="n">
        <f aca="false">O15*$K15/$I15</f>
        <v>1.25745197682313</v>
      </c>
      <c r="S15" s="53" t="n">
        <f aca="false">P15*$K15/$I15</f>
        <v>0.0157234930950677</v>
      </c>
      <c r="T15" s="54" t="n">
        <f aca="false">Q15*$K15/$I15</f>
        <v>0.0469786838045746</v>
      </c>
      <c r="U15" s="2" t="n">
        <v>98.1203</v>
      </c>
      <c r="V15" s="2"/>
      <c r="W15" s="51" t="n">
        <f aca="false">AVERAGE(R15:R16)/100</f>
        <v>0.0125515292950584</v>
      </c>
      <c r="X15" s="0" t="n">
        <f aca="false">AVERAGE(S15:S16)/100</f>
        <v>0.000146268243121633</v>
      </c>
      <c r="Y15" s="1" t="n">
        <f aca="false">AVERAGE(T15:T16)/100</f>
        <v>0.000450496715408967</v>
      </c>
      <c r="Z15" s="33" t="n">
        <f aca="false">AVERAGE(U15:V16)/100</f>
        <v>0.9756095</v>
      </c>
      <c r="AA15" s="2" t="n">
        <f aca="false">SUM(W15:Z15)</f>
        <v>0.988757794253589</v>
      </c>
      <c r="AD15" s="0" t="n">
        <v>0.0126360029304799</v>
      </c>
      <c r="AE15" s="0" t="n">
        <v>0.000147252649878191</v>
      </c>
      <c r="AF15" s="0" t="n">
        <v>0.000453528624461755</v>
      </c>
      <c r="AG15" s="0" t="n">
        <v>0.98676321579518</v>
      </c>
    </row>
    <row r="16" customFormat="false" ht="14.25" hidden="false" customHeight="true" outlineLevel="0" collapsed="false">
      <c r="A16" s="18"/>
      <c r="B16" s="34" t="s">
        <v>33</v>
      </c>
      <c r="C16" s="34" t="n">
        <v>12</v>
      </c>
      <c r="D16" s="34" t="n">
        <v>2.7729</v>
      </c>
      <c r="E16" s="34" t="n">
        <v>100</v>
      </c>
      <c r="F16" s="34" t="n">
        <v>2.9821</v>
      </c>
      <c r="G16" s="30" t="n">
        <f aca="false">1000-E16</f>
        <v>900</v>
      </c>
      <c r="H16" s="34" t="n">
        <v>3.6175</v>
      </c>
      <c r="I16" s="35" t="n">
        <f aca="false">F16-D16</f>
        <v>0.2092</v>
      </c>
      <c r="J16" s="35" t="n">
        <f aca="false">H16-F16</f>
        <v>0.6354</v>
      </c>
      <c r="K16" s="35" t="n">
        <f aca="false">J16+I16</f>
        <v>0.8446</v>
      </c>
      <c r="L16" s="36" t="n">
        <v>45.1495</v>
      </c>
      <c r="M16" s="36" t="n">
        <v>0.4004</v>
      </c>
      <c r="N16" s="36" t="n">
        <v>1.0894</v>
      </c>
      <c r="O16" s="52" t="n">
        <f aca="false">(L16/$F$2)^(1/$F$3)</f>
        <v>0.310320900016394</v>
      </c>
      <c r="P16" s="53" t="n">
        <f aca="false">(M16/$G$2)^(1/$G$3)</f>
        <v>0.00335130065915337</v>
      </c>
      <c r="Q16" s="54" t="n">
        <f aca="false">(N16/$H$2)^(1/$H$3)</f>
        <v>0.010680608478326</v>
      </c>
      <c r="R16" s="55" t="n">
        <f aca="false">O16*$K16/$I16</f>
        <v>1.25285388218856</v>
      </c>
      <c r="S16" s="53" t="n">
        <f aca="false">P16*$K16/$I16</f>
        <v>0.0135301555292588</v>
      </c>
      <c r="T16" s="54" t="n">
        <f aca="false">Q16*$K16/$I16</f>
        <v>0.0431206592772188</v>
      </c>
      <c r="U16" s="2" t="n">
        <v>97.0016</v>
      </c>
      <c r="V16" s="2"/>
      <c r="W16" s="51"/>
      <c r="Z16" s="33"/>
      <c r="AA16" s="2"/>
    </row>
    <row r="17" customFormat="false" ht="14.25" hidden="false" customHeight="true" outlineLevel="0" collapsed="false">
      <c r="A17" s="18" t="s">
        <v>66</v>
      </c>
      <c r="B17" s="19" t="s">
        <v>32</v>
      </c>
      <c r="C17" s="20" t="n">
        <v>13</v>
      </c>
      <c r="D17" s="19" t="n">
        <v>2.7281</v>
      </c>
      <c r="E17" s="19" t="n">
        <v>300</v>
      </c>
      <c r="F17" s="20" t="n">
        <v>2.9042</v>
      </c>
      <c r="G17" s="19" t="n">
        <f aca="false">1000-E17</f>
        <v>700</v>
      </c>
      <c r="H17" s="20" t="n">
        <v>3.543</v>
      </c>
      <c r="I17" s="22" t="n">
        <f aca="false">F17-D17</f>
        <v>0.1761</v>
      </c>
      <c r="J17" s="22" t="n">
        <f aca="false">H17-F17</f>
        <v>0.6388</v>
      </c>
      <c r="K17" s="22" t="n">
        <f aca="false">J17+I17</f>
        <v>0.8149</v>
      </c>
      <c r="L17" s="23" t="n">
        <v>1040.1487</v>
      </c>
      <c r="M17" s="23" t="n">
        <v>1576.3018</v>
      </c>
      <c r="N17" s="23" t="n">
        <v>1453.4128</v>
      </c>
      <c r="O17" s="24" t="n">
        <f aca="false">(L17/$F$2)^(1/$F$3)</f>
        <v>6.12663912235963</v>
      </c>
      <c r="P17" s="47" t="n">
        <f aca="false">(M17/$G$2)^(1/$G$3)</f>
        <v>9.14673341961011</v>
      </c>
      <c r="Q17" s="26" t="n">
        <f aca="false">(N17/$H$2)^(1/$H$3)</f>
        <v>8.95779435892392</v>
      </c>
      <c r="R17" s="25" t="n">
        <f aca="false">O17*$K17/$I17</f>
        <v>28.3509268643434</v>
      </c>
      <c r="S17" s="47" t="n">
        <f aca="false">P17*$K17/$I17</f>
        <v>42.3263660626933</v>
      </c>
      <c r="T17" s="26" t="n">
        <f aca="false">Q17*$K17/$I17</f>
        <v>41.4520535098643</v>
      </c>
      <c r="U17" s="27" t="n">
        <v>2.3119</v>
      </c>
      <c r="V17" s="27"/>
      <c r="W17" s="56" t="n">
        <f aca="false">AVERAGE(R17:R18)/100</f>
        <v>0.281392807006491</v>
      </c>
      <c r="X17" s="57" t="n">
        <f aca="false">AVERAGE(S17:S18)/100</f>
        <v>0.419730505772256</v>
      </c>
      <c r="Y17" s="57" t="n">
        <f aca="false">AVERAGE(T17:T18)/100</f>
        <v>0.411778854153103</v>
      </c>
      <c r="Z17" s="29" t="n">
        <f aca="false">AVERAGE(U17:V18)/100</f>
        <v>0.0234555</v>
      </c>
      <c r="AA17" s="2" t="n">
        <f aca="false">SUM(W17:Z17)</f>
        <v>1.13635766693185</v>
      </c>
      <c r="AD17" s="0" t="n">
        <v>0.246915323005726</v>
      </c>
      <c r="AE17" s="0" t="n">
        <v>0.368303278646788</v>
      </c>
      <c r="AF17" s="0" t="n">
        <v>0.361325898347486</v>
      </c>
      <c r="AG17" s="0" t="n">
        <v>0.0234555</v>
      </c>
    </row>
    <row r="18" customFormat="false" ht="14.25" hidden="false" customHeight="true" outlineLevel="0" collapsed="false">
      <c r="A18" s="18"/>
      <c r="B18" s="20" t="s">
        <v>32</v>
      </c>
      <c r="C18" s="20" t="n">
        <v>14</v>
      </c>
      <c r="D18" s="20" t="n">
        <v>2.7443</v>
      </c>
      <c r="E18" s="20" t="n">
        <v>300</v>
      </c>
      <c r="F18" s="20" t="n">
        <v>2.9446</v>
      </c>
      <c r="G18" s="19" t="n">
        <f aca="false">1000-E18</f>
        <v>700</v>
      </c>
      <c r="H18" s="20" t="n">
        <v>3.5807</v>
      </c>
      <c r="I18" s="22" t="n">
        <f aca="false">F18-D18</f>
        <v>0.2003</v>
      </c>
      <c r="J18" s="22" t="n">
        <f aca="false">H18-F18</f>
        <v>0.6361</v>
      </c>
      <c r="K18" s="22" t="n">
        <f aca="false">J18+I18</f>
        <v>0.8364</v>
      </c>
      <c r="L18" s="23" t="n">
        <v>1140.6295</v>
      </c>
      <c r="M18" s="23" t="n">
        <v>1724.5136</v>
      </c>
      <c r="N18" s="23" t="n">
        <v>1599.1714</v>
      </c>
      <c r="O18" s="24" t="n">
        <f aca="false">(L18/$F$2)^(1/$F$3)</f>
        <v>6.68807412452421</v>
      </c>
      <c r="P18" s="47" t="n">
        <f aca="false">(M18/$G$2)^(1/$G$3)</f>
        <v>9.96704081645041</v>
      </c>
      <c r="Q18" s="26" t="n">
        <f aca="false">(N18/$H$2)^(1/$H$3)</f>
        <v>9.79556979835899</v>
      </c>
      <c r="R18" s="25" t="n">
        <f aca="false">O18*$K18/$I18</f>
        <v>27.9276345369548</v>
      </c>
      <c r="S18" s="47" t="n">
        <f aca="false">P18*$K18/$I18</f>
        <v>41.619735091758</v>
      </c>
      <c r="T18" s="26" t="n">
        <f aca="false">Q18*$K18/$I18</f>
        <v>40.9037173207562</v>
      </c>
      <c r="U18" s="27" t="n">
        <v>2.3792</v>
      </c>
      <c r="V18" s="27"/>
      <c r="W18" s="51"/>
      <c r="Z18" s="33"/>
      <c r="AA18" s="2"/>
    </row>
    <row r="19" customFormat="false" ht="14.25" hidden="false" customHeight="true" outlineLevel="0" collapsed="false">
      <c r="A19" s="18"/>
      <c r="B19" s="34" t="s">
        <v>33</v>
      </c>
      <c r="C19" s="34" t="n">
        <v>15</v>
      </c>
      <c r="D19" s="34" t="n">
        <v>2.8079</v>
      </c>
      <c r="E19" s="34" t="n">
        <v>100</v>
      </c>
      <c r="F19" s="34" t="n">
        <v>3.0084</v>
      </c>
      <c r="G19" s="30" t="n">
        <f aca="false">1000-E19</f>
        <v>900</v>
      </c>
      <c r="H19" s="34" t="n">
        <v>3.6429</v>
      </c>
      <c r="I19" s="35" t="n">
        <f aca="false">F19-D19</f>
        <v>0.2005</v>
      </c>
      <c r="J19" s="35" t="n">
        <f aca="false">H19-F19</f>
        <v>0.6345</v>
      </c>
      <c r="K19" s="35" t="n">
        <f aca="false">J19+I19</f>
        <v>0.835</v>
      </c>
      <c r="L19" s="36" t="n">
        <v>24.2178</v>
      </c>
      <c r="M19" s="36" t="n">
        <v>0.6841</v>
      </c>
      <c r="N19" s="36" t="n">
        <v>1.4122</v>
      </c>
      <c r="O19" s="52" t="n">
        <f aca="false">(L19/$F$2)^(1/$F$3)</f>
        <v>0.171633507272418</v>
      </c>
      <c r="P19" s="53" t="n">
        <f aca="false">(M19/$G$2)^(1/$G$3)</f>
        <v>0.00559171141190829</v>
      </c>
      <c r="Q19" s="54" t="n">
        <f aca="false">(N19/$H$2)^(1/$H$3)</f>
        <v>0.0136155238041727</v>
      </c>
      <c r="R19" s="55" t="n">
        <f aca="false">O19*$K19/$I19</f>
        <v>0.714782935523537</v>
      </c>
      <c r="S19" s="53" t="n">
        <f aca="false">P19*$K19/$I19</f>
        <v>0.0232871772017128</v>
      </c>
      <c r="T19" s="54" t="n">
        <f aca="false">Q19*$K19/$I19</f>
        <v>0.0567030542468038</v>
      </c>
      <c r="U19" s="2" t="n">
        <v>99.6209</v>
      </c>
      <c r="V19" s="2"/>
      <c r="W19" s="51" t="n">
        <f aca="false">AVERAGE(R19:R20)/100</f>
        <v>0.00712153851695347</v>
      </c>
      <c r="X19" s="0" t="n">
        <f aca="false">AVERAGE(S19:S20)/100</f>
        <v>0.000210679215893882</v>
      </c>
      <c r="Y19" s="1" t="n">
        <f aca="false">AVERAGE(T19:T20)/100</f>
        <v>0.000536509075681631</v>
      </c>
      <c r="Z19" s="33" t="n">
        <f aca="false">AVERAGE(U19:V20)/100</f>
        <v>0.998301</v>
      </c>
      <c r="AA19" s="2" t="n">
        <f aca="false">SUM(W19:Z19)</f>
        <v>1.00616972680853</v>
      </c>
      <c r="AD19" s="0" t="n">
        <v>0.00716946751701228</v>
      </c>
      <c r="AE19" s="0" t="n">
        <v>0.000212097117956327</v>
      </c>
      <c r="AF19" s="0" t="n">
        <v>0.000540119860550474</v>
      </c>
      <c r="AG19" s="0" t="n">
        <v>0.992078315504481</v>
      </c>
    </row>
    <row r="20" customFormat="false" ht="14.25" hidden="false" customHeight="true" outlineLevel="0" collapsed="false">
      <c r="A20" s="18"/>
      <c r="B20" s="34" t="s">
        <v>33</v>
      </c>
      <c r="C20" s="34" t="n">
        <v>16</v>
      </c>
      <c r="D20" s="34" t="n">
        <v>2.7555</v>
      </c>
      <c r="E20" s="34" t="n">
        <v>100</v>
      </c>
      <c r="F20" s="34" t="n">
        <v>2.9621</v>
      </c>
      <c r="G20" s="30" t="n">
        <f aca="false">1000-E20</f>
        <v>900</v>
      </c>
      <c r="H20" s="34" t="n">
        <v>3.5963</v>
      </c>
      <c r="I20" s="35" t="n">
        <f aca="false">F20-D20</f>
        <v>0.2066</v>
      </c>
      <c r="J20" s="35" t="n">
        <f aca="false">H20-F20</f>
        <v>0.6342</v>
      </c>
      <c r="K20" s="35" t="n">
        <f aca="false">J20+I20</f>
        <v>0.8408</v>
      </c>
      <c r="L20" s="36" t="n">
        <v>24.6201</v>
      </c>
      <c r="M20" s="36" t="n">
        <v>0.5617</v>
      </c>
      <c r="N20" s="36" t="n">
        <v>1.2815</v>
      </c>
      <c r="O20" s="52" t="n">
        <f aca="false">(L20/$F$2)^(1/$F$3)</f>
        <v>0.174343264797044</v>
      </c>
      <c r="P20" s="53" t="n">
        <f aca="false">(M20/$G$2)^(1/$G$3)</f>
        <v>0.00463146335735174</v>
      </c>
      <c r="Q20" s="54" t="n">
        <f aca="false">(N20/$H$2)^(1/$H$3)</f>
        <v>0.0124330447190477</v>
      </c>
      <c r="R20" s="55" t="n">
        <f aca="false">O20*$K20/$I20</f>
        <v>0.709524767867156</v>
      </c>
      <c r="S20" s="53" t="n">
        <f aca="false">P20*$K20/$I20</f>
        <v>0.0188486659770636</v>
      </c>
      <c r="T20" s="54" t="n">
        <f aca="false">Q20*$K20/$I20</f>
        <v>0.0505987608895223</v>
      </c>
      <c r="U20" s="2" t="n">
        <v>99.2358</v>
      </c>
      <c r="V20" s="2" t="n">
        <v>100.6336</v>
      </c>
      <c r="W20" s="51"/>
      <c r="Z20" s="33"/>
      <c r="AA20" s="2"/>
    </row>
    <row r="21" customFormat="false" ht="14.25" hidden="false" customHeight="true" outlineLevel="0" collapsed="false">
      <c r="A21" s="18" t="s">
        <v>67</v>
      </c>
      <c r="B21" s="19" t="s">
        <v>32</v>
      </c>
      <c r="C21" s="20" t="n">
        <v>17</v>
      </c>
      <c r="D21" s="19" t="n">
        <v>2.7621</v>
      </c>
      <c r="E21" s="19" t="n">
        <v>300</v>
      </c>
      <c r="F21" s="20" t="n">
        <v>2.9638</v>
      </c>
      <c r="G21" s="19" t="n">
        <f aca="false">1000-E21</f>
        <v>700</v>
      </c>
      <c r="H21" s="20" t="n">
        <v>3.5998</v>
      </c>
      <c r="I21" s="22" t="n">
        <f aca="false">F21-D21</f>
        <v>0.2017</v>
      </c>
      <c r="J21" s="22" t="n">
        <f aca="false">H21-F21</f>
        <v>0.636</v>
      </c>
      <c r="K21" s="22" t="n">
        <f aca="false">J21+I21</f>
        <v>0.8377</v>
      </c>
      <c r="L21" s="23" t="n">
        <v>55.8455</v>
      </c>
      <c r="M21" s="23" t="n">
        <v>0.1908</v>
      </c>
      <c r="N21" s="23" t="n">
        <v>0.594</v>
      </c>
      <c r="O21" s="24" t="n">
        <f aca="false">(L21/$F$2)^(1/$F$3)</f>
        <v>0.379842395230488</v>
      </c>
      <c r="P21" s="47" t="n">
        <f aca="false">(M21/$G$2)^(1/$G$3)</f>
        <v>0.00165022489348844</v>
      </c>
      <c r="Q21" s="26" t="n">
        <f aca="false">(N21/$H$2)^(1/$H$3)</f>
        <v>0.0060560046522217</v>
      </c>
      <c r="R21" s="25" t="n">
        <f aca="false">O21*$K21/$I21</f>
        <v>1.57756060726118</v>
      </c>
      <c r="S21" s="47" t="n">
        <f aca="false">P21*$K21/$I21</f>
        <v>0.00685371042774055</v>
      </c>
      <c r="T21" s="26" t="n">
        <f aca="false">Q21*$K21/$I21</f>
        <v>0.0251517853106898</v>
      </c>
      <c r="U21" s="27" t="n">
        <v>97.6309</v>
      </c>
      <c r="V21" s="27"/>
      <c r="W21" s="56" t="n">
        <f aca="false">AVERAGE(R21:R22)/100</f>
        <v>0.0160589950353215</v>
      </c>
      <c r="X21" s="57" t="n">
        <f aca="false">AVERAGE(S21:S22)/100</f>
        <v>7.12162537083959E-005</v>
      </c>
      <c r="Y21" s="57" t="n">
        <f aca="false">AVERAGE(T21:T22)/100</f>
        <v>0.000258119826172835</v>
      </c>
      <c r="Z21" s="29" t="n">
        <f aca="false">AVERAGE(U21:V22)/100</f>
        <v>0.976993</v>
      </c>
      <c r="AA21" s="2" t="n">
        <f aca="false">SUM(W21:Z21)</f>
        <v>0.993381331115203</v>
      </c>
      <c r="AD21" s="0" t="n">
        <v>0.0161670744302668</v>
      </c>
      <c r="AE21" s="0" t="n">
        <v>7.16955495543781E-005</v>
      </c>
      <c r="AF21" s="0" t="n">
        <v>0.00025985701050939</v>
      </c>
      <c r="AG21" s="0" t="n">
        <v>0.983501373009669</v>
      </c>
    </row>
    <row r="22" customFormat="false" ht="14.25" hidden="false" customHeight="true" outlineLevel="0" collapsed="false">
      <c r="A22" s="18"/>
      <c r="B22" s="20" t="s">
        <v>32</v>
      </c>
      <c r="C22" s="20" t="n">
        <v>18</v>
      </c>
      <c r="D22" s="20" t="n">
        <v>2.7709</v>
      </c>
      <c r="E22" s="20" t="n">
        <v>300</v>
      </c>
      <c r="F22" s="20" t="n">
        <v>2.9761</v>
      </c>
      <c r="G22" s="19" t="n">
        <f aca="false">1000-E22</f>
        <v>700</v>
      </c>
      <c r="H22" s="20" t="n">
        <v>3.6116</v>
      </c>
      <c r="I22" s="22" t="n">
        <f aca="false">F22-D22</f>
        <v>0.2052</v>
      </c>
      <c r="J22" s="22" t="n">
        <f aca="false">H22-F22</f>
        <v>0.6355</v>
      </c>
      <c r="K22" s="22" t="n">
        <f aca="false">J22+I22</f>
        <v>0.8407</v>
      </c>
      <c r="L22" s="23" t="n">
        <v>58.7944</v>
      </c>
      <c r="M22" s="23" t="n">
        <v>0.2094</v>
      </c>
      <c r="N22" s="23" t="n">
        <v>0.6366</v>
      </c>
      <c r="O22" s="24" t="n">
        <f aca="false">(L22/$F$2)^(1/$F$3)</f>
        <v>0.398888687569406</v>
      </c>
      <c r="P22" s="47" t="n">
        <f aca="false">(M22/$G$2)^(1/$G$3)</f>
        <v>0.00180365608709433</v>
      </c>
      <c r="Q22" s="26" t="n">
        <f aca="false">(N22/$H$2)^(1/$H$3)</f>
        <v>0.00646139088899682</v>
      </c>
      <c r="R22" s="25" t="n">
        <f aca="false">O22*$K22/$I22</f>
        <v>1.63423839980312</v>
      </c>
      <c r="S22" s="47" t="n">
        <f aca="false">P22*$K22/$I22</f>
        <v>0.00738954031393862</v>
      </c>
      <c r="T22" s="26" t="n">
        <f aca="false">Q22*$K22/$I22</f>
        <v>0.0264721799238773</v>
      </c>
      <c r="U22" s="27" t="n">
        <v>97.7677</v>
      </c>
      <c r="V22" s="27"/>
      <c r="W22" s="51"/>
      <c r="Z22" s="33"/>
      <c r="AA22" s="2"/>
    </row>
    <row r="23" customFormat="false" ht="14.25" hidden="false" customHeight="true" outlineLevel="0" collapsed="false">
      <c r="A23" s="18"/>
      <c r="B23" s="34" t="s">
        <v>33</v>
      </c>
      <c r="C23" s="34" t="n">
        <v>19</v>
      </c>
      <c r="D23" s="34" t="n">
        <v>2.8372</v>
      </c>
      <c r="E23" s="34" t="n">
        <v>100</v>
      </c>
      <c r="F23" s="34" t="n">
        <v>3.0177</v>
      </c>
      <c r="G23" s="30" t="n">
        <f aca="false">1000-E23</f>
        <v>900</v>
      </c>
      <c r="H23" s="34" t="n">
        <v>3.6481</v>
      </c>
      <c r="I23" s="35" t="n">
        <f aca="false">F23-D23</f>
        <v>0.1805</v>
      </c>
      <c r="J23" s="35" t="n">
        <f aca="false">H23-F23</f>
        <v>0.6304</v>
      </c>
      <c r="K23" s="35" t="n">
        <f aca="false">J23+I23</f>
        <v>0.8109</v>
      </c>
      <c r="L23" s="36" t="n">
        <v>2748.1388</v>
      </c>
      <c r="M23" s="36" t="n">
        <v>537.3664</v>
      </c>
      <c r="N23" s="36" t="n">
        <v>489.7975</v>
      </c>
      <c r="O23" s="52" t="n">
        <f aca="false">(L23/$F$2)^(1/$F$3)</f>
        <v>15.4314317640129</v>
      </c>
      <c r="P23" s="53" t="n">
        <f aca="false">(M23/$G$2)^(1/$G$3)</f>
        <v>3.27023682300473</v>
      </c>
      <c r="Q23" s="54" t="n">
        <f aca="false">(N23/$H$2)^(1/$H$3)</f>
        <v>3.23817166814413</v>
      </c>
      <c r="R23" s="55" t="n">
        <f aca="false">O23*$K23/$I23</f>
        <v>69.3260277974407</v>
      </c>
      <c r="S23" s="53" t="n">
        <f aca="false">P23*$K23/$I23</f>
        <v>14.691606868557</v>
      </c>
      <c r="T23" s="54" t="n">
        <f aca="false">Q23*$K23/$I23</f>
        <v>14.5475534941722</v>
      </c>
      <c r="U23" s="2" t="n">
        <v>6.2927</v>
      </c>
      <c r="V23" s="2"/>
      <c r="W23" s="51" t="n">
        <f aca="false">AVERAGE(R23:R24)/100</f>
        <v>0.676890823319061</v>
      </c>
      <c r="X23" s="0" t="n">
        <f aca="false">AVERAGE(S23:S24)/100</f>
        <v>0.14274789699773</v>
      </c>
      <c r="Y23" s="1" t="n">
        <f aca="false">AVERAGE(T23:T24)/100</f>
        <v>0.142462818155592</v>
      </c>
      <c r="Z23" s="33" t="n">
        <f aca="false">AVERAGE(U23:V24)/100</f>
        <v>0.0609765</v>
      </c>
      <c r="AA23" s="2" t="n">
        <f aca="false">SUM(W23:Z23)</f>
        <v>1.02307803847238</v>
      </c>
      <c r="AD23" s="0" t="n">
        <v>0.660654166544804</v>
      </c>
      <c r="AE23" s="0" t="n">
        <v>0.139323787039444</v>
      </c>
      <c r="AF23" s="0" t="n">
        <v>0.139045546415751</v>
      </c>
      <c r="AG23" s="0" t="n">
        <v>0.0609765</v>
      </c>
    </row>
    <row r="24" customFormat="false" ht="14.25" hidden="false" customHeight="true" outlineLevel="0" collapsed="false">
      <c r="A24" s="18"/>
      <c r="B24" s="34" t="s">
        <v>33</v>
      </c>
      <c r="C24" s="34" t="n">
        <v>20</v>
      </c>
      <c r="D24" s="34" t="n">
        <v>2.7103</v>
      </c>
      <c r="E24" s="34" t="n">
        <v>100</v>
      </c>
      <c r="F24" s="34" t="n">
        <v>2.9009</v>
      </c>
      <c r="G24" s="30" t="n">
        <f aca="false">1000-E24</f>
        <v>900</v>
      </c>
      <c r="H24" s="34" t="n">
        <v>3.5359</v>
      </c>
      <c r="I24" s="35" t="n">
        <f aca="false">F24-D24</f>
        <v>0.1906</v>
      </c>
      <c r="J24" s="35" t="n">
        <f aca="false">H24-F24</f>
        <v>0.635</v>
      </c>
      <c r="K24" s="35" t="n">
        <f aca="false">J24+I24</f>
        <v>0.8256</v>
      </c>
      <c r="L24" s="36" t="n">
        <v>2713.971</v>
      </c>
      <c r="M24" s="36" t="n">
        <v>525.1739</v>
      </c>
      <c r="N24" s="36" t="n">
        <v>486.7595</v>
      </c>
      <c r="O24" s="58" t="n">
        <f aca="false">(L24/$F$2)^(1/$F$3)</f>
        <v>15.2489550469118</v>
      </c>
      <c r="P24" s="59" t="n">
        <f aca="false">(M24/$G$2)^(1/$G$3)</f>
        <v>3.19928484060866</v>
      </c>
      <c r="Q24" s="60" t="n">
        <f aca="false">(N24/$H$2)^(1/$H$3)</f>
        <v>3.21937855148007</v>
      </c>
      <c r="R24" s="55" t="n">
        <f aca="false">O24*$K24/$I24</f>
        <v>66.0521368663714</v>
      </c>
      <c r="S24" s="53" t="n">
        <f aca="false">P24*$K24/$I24</f>
        <v>13.857972530989</v>
      </c>
      <c r="T24" s="54" t="n">
        <f aca="false">Q24*$K24/$I24</f>
        <v>13.9450101369462</v>
      </c>
      <c r="U24" s="42" t="n">
        <v>5.9026</v>
      </c>
      <c r="V24" s="42"/>
      <c r="W24" s="61"/>
      <c r="X24" s="62"/>
      <c r="Y24" s="62"/>
      <c r="Z24" s="44"/>
      <c r="AA24" s="2"/>
    </row>
    <row r="25" customFormat="false" ht="14.25" hidden="false" customHeight="true" outlineLevel="0" collapsed="false">
      <c r="A25" s="45" t="s">
        <v>38</v>
      </c>
      <c r="B25" s="1" t="s">
        <v>32</v>
      </c>
      <c r="C25" s="1" t="n">
        <v>1</v>
      </c>
      <c r="D25" s="1" t="n">
        <v>2.744</v>
      </c>
      <c r="F25" s="1" t="n">
        <v>2.9991</v>
      </c>
      <c r="G25" s="2" t="n">
        <f aca="false">1000-E25</f>
        <v>1000</v>
      </c>
      <c r="H25" s="1" t="n">
        <v>3.4818</v>
      </c>
      <c r="I25" s="1" t="n">
        <f aca="false">F25-D25</f>
        <v>0.2551</v>
      </c>
      <c r="J25" s="1" t="n">
        <f aca="false">H25-F25</f>
        <v>0.4827</v>
      </c>
      <c r="K25" s="1" t="n">
        <f aca="false">J25+I25</f>
        <v>0.7378</v>
      </c>
      <c r="M25" s="1" t="n">
        <v>2977.72</v>
      </c>
      <c r="N25" s="1" t="n">
        <v>2807.82</v>
      </c>
      <c r="P25" s="1" t="n">
        <f aca="false">(M25/$G$2)^(1/$G$3)</f>
        <v>16.7991038145623</v>
      </c>
      <c r="Q25" s="1" t="n">
        <f aca="false">(N25/$H$2)^(1/$H$3)</f>
        <v>16.5856967186212</v>
      </c>
      <c r="S25" s="1" t="n">
        <f aca="false">P25*$K25/$I25</f>
        <v>48.586353564814</v>
      </c>
      <c r="T25" s="1" t="n">
        <f aca="false">Q25*$K25/$I25</f>
        <v>47.9691377459769</v>
      </c>
      <c r="U25" s="1" t="n">
        <v>1.5991</v>
      </c>
      <c r="X25" s="1" t="n">
        <f aca="false">AVERAGE(S25:S26)/100</f>
        <v>0.481085102529106</v>
      </c>
      <c r="Y25" s="1" t="n">
        <f aca="false">AVERAGE(T25:T26)/100</f>
        <v>0.475316325823524</v>
      </c>
      <c r="Z25" s="1" t="n">
        <f aca="false">AVERAGE(U25:V26)/100</f>
        <v>0.015937</v>
      </c>
      <c r="AA25" s="1" t="n">
        <f aca="false">SUM(W25:Z25)</f>
        <v>0.97233842835263</v>
      </c>
      <c r="AE25" s="1" t="n">
        <f aca="false">IFERROR(X25/$AA25,"")</f>
        <v>0.494771252992827</v>
      </c>
      <c r="AF25" s="1" t="n">
        <f aca="false">IFERROR(Y25/$AA25,"")</f>
        <v>0.48883836323205</v>
      </c>
      <c r="AG25" s="1" t="n">
        <f aca="false">IFERROR(Z25/$AA25,"")</f>
        <v>0.0163903837751235</v>
      </c>
    </row>
    <row r="26" customFormat="false" ht="14.25" hidden="false" customHeight="true" outlineLevel="0" collapsed="false">
      <c r="A26" s="45"/>
      <c r="B26" s="1" t="s">
        <v>32</v>
      </c>
      <c r="C26" s="1" t="n">
        <v>2</v>
      </c>
      <c r="D26" s="1" t="n">
        <v>2.7519</v>
      </c>
      <c r="F26" s="1" t="n">
        <v>3.0157</v>
      </c>
      <c r="G26" s="2" t="n">
        <f aca="false">1000-E26</f>
        <v>1000</v>
      </c>
      <c r="H26" s="1" t="n">
        <v>3.4988</v>
      </c>
      <c r="I26" s="1" t="n">
        <f aca="false">F26-D26</f>
        <v>0.2638</v>
      </c>
      <c r="J26" s="1" t="n">
        <f aca="false">H26-F26</f>
        <v>0.4831</v>
      </c>
      <c r="K26" s="1" t="n">
        <f aca="false">J26+I26</f>
        <v>0.7469</v>
      </c>
      <c r="M26" s="1" t="n">
        <v>2982.12</v>
      </c>
      <c r="N26" s="1" t="n">
        <v>2816.44</v>
      </c>
      <c r="P26" s="1" t="n">
        <f aca="false">(M26/$G$2)^(1/$G$3)</f>
        <v>16.8228276061557</v>
      </c>
      <c r="Q26" s="1" t="n">
        <f aca="false">(N26/$H$2)^(1/$H$3)</f>
        <v>16.6333254961312</v>
      </c>
      <c r="S26" s="1" t="n">
        <f aca="false">P26*$K26/$I26</f>
        <v>47.6306669410073</v>
      </c>
      <c r="T26" s="1" t="n">
        <f aca="false">Q26*$K26/$I26</f>
        <v>47.0941274187279</v>
      </c>
      <c r="U26" s="1" t="n">
        <v>1.5883</v>
      </c>
    </row>
    <row r="27" customFormat="false" ht="14.25" hidden="false" customHeight="true" outlineLevel="0" collapsed="false">
      <c r="A27" s="45"/>
      <c r="B27" s="1" t="s">
        <v>33</v>
      </c>
      <c r="C27" s="1" t="n">
        <v>3</v>
      </c>
      <c r="D27" s="1" t="n">
        <v>2.7848</v>
      </c>
      <c r="F27" s="1" t="n">
        <v>3.0739</v>
      </c>
      <c r="G27" s="2" t="n">
        <f aca="false">1000-E27</f>
        <v>1000</v>
      </c>
      <c r="H27" s="1" t="n">
        <v>3.5576</v>
      </c>
      <c r="I27" s="1" t="n">
        <f aca="false">F27-D27</f>
        <v>0.2891</v>
      </c>
      <c r="J27" s="1" t="n">
        <f aca="false">H27-F27</f>
        <v>0.4837</v>
      </c>
      <c r="K27" s="1" t="n">
        <f aca="false">J27+I27</f>
        <v>0.7728</v>
      </c>
      <c r="M27" s="1" t="n">
        <v>1.43</v>
      </c>
      <c r="N27" s="1" t="n">
        <v>2.21</v>
      </c>
      <c r="P27" s="1" t="n">
        <f aca="false">(M27/$G$2)^(1/$G$3)</f>
        <v>0.0113133429190523</v>
      </c>
      <c r="Q27" s="1" t="n">
        <f aca="false">(N27/$H$2)^(1/$H$3)</f>
        <v>0.0207006563764354</v>
      </c>
      <c r="S27" s="1" t="n">
        <f aca="false">P27*$K27/$I27</f>
        <v>0.0302419626698153</v>
      </c>
      <c r="T27" s="1" t="n">
        <f aca="false">Q27*$K27/$I27</f>
        <v>0.0553354107495998</v>
      </c>
      <c r="X27" s="1" t="n">
        <f aca="false">AVERAGE(S27:S28)/100</f>
        <v>0.000456937995062183</v>
      </c>
      <c r="Y27" s="1" t="n">
        <f aca="false">AVERAGE(T27:T28)/100</f>
        <v>0.000714989755793403</v>
      </c>
      <c r="Z27" s="1" t="e">
        <f aca="false">AVERAGE(U27:V28)/100</f>
        <v>#DIV/0!</v>
      </c>
      <c r="AA27" s="1" t="e">
        <f aca="false">SUM(W27:Z27)</f>
        <v>#DIV/0!</v>
      </c>
      <c r="AE27" s="1" t="str">
        <f aca="false">IFERROR(X27/$AA27,"")</f>
        <v/>
      </c>
      <c r="AF27" s="1" t="str">
        <f aca="false">IFERROR(Y27/$AA27,"")</f>
        <v/>
      </c>
      <c r="AG27" s="1" t="str">
        <f aca="false">IFERROR(Z27/$AA27,"")</f>
        <v/>
      </c>
    </row>
    <row r="28" customFormat="false" ht="14.25" hidden="false" customHeight="true" outlineLevel="0" collapsed="false">
      <c r="A28" s="45"/>
      <c r="B28" s="1" t="s">
        <v>33</v>
      </c>
      <c r="C28" s="1" t="n">
        <v>4</v>
      </c>
      <c r="D28" s="1" t="n">
        <v>2.7548</v>
      </c>
      <c r="F28" s="1" t="n">
        <v>3.1571</v>
      </c>
      <c r="G28" s="2" t="n">
        <f aca="false">1000-E28</f>
        <v>1000</v>
      </c>
      <c r="H28" s="1" t="n">
        <v>3.6381</v>
      </c>
      <c r="I28" s="1" t="n">
        <f aca="false">F28-D28</f>
        <v>0.4023</v>
      </c>
      <c r="J28" s="1" t="n">
        <f aca="false">H28-F28</f>
        <v>0.481</v>
      </c>
      <c r="K28" s="1" t="n">
        <f aca="false">J28+I28</f>
        <v>0.8833</v>
      </c>
      <c r="M28" s="1" t="n">
        <v>3.67</v>
      </c>
      <c r="N28" s="1" t="n">
        <v>4.46</v>
      </c>
      <c r="P28" s="1" t="n">
        <f aca="false">(M28/$G$2)^(1/$G$3)</f>
        <v>0.0278488503346955</v>
      </c>
      <c r="Q28" s="1" t="n">
        <f aca="false">(N28/$H$2)^(1/$H$3)</f>
        <v>0.039926004762338</v>
      </c>
      <c r="S28" s="1" t="n">
        <f aca="false">P28*$K28/$I28</f>
        <v>0.0611456363426214</v>
      </c>
      <c r="T28" s="1" t="n">
        <f aca="false">Q28*$K28/$I28</f>
        <v>0.0876625404090808</v>
      </c>
    </row>
  </sheetData>
  <mergeCells count="9">
    <mergeCell ref="O3:Q3"/>
    <mergeCell ref="R3:T3"/>
    <mergeCell ref="U3:V3"/>
    <mergeCell ref="A5:A8"/>
    <mergeCell ref="A9:A12"/>
    <mergeCell ref="A13:A16"/>
    <mergeCell ref="A17:A20"/>
    <mergeCell ref="A21:A24"/>
    <mergeCell ref="A25:A2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A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U27" activeCellId="0" sqref="U27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4" min="4" style="1" width="8.34"/>
    <col collapsed="false" customWidth="true" hidden="false" outlineLevel="0" max="5" min="5" style="1" width="10.53"/>
    <col collapsed="false" customWidth="true" hidden="false" outlineLevel="0" max="6" min="6" style="1" width="13.6"/>
    <col collapsed="false" customWidth="true" hidden="false" outlineLevel="0" max="7" min="7" style="2" width="10.66"/>
    <col collapsed="false" customWidth="true" hidden="false" outlineLevel="0" max="8" min="8" style="1" width="12.73"/>
    <col collapsed="false" customWidth="true" hidden="false" outlineLevel="0" max="13" min="12" style="1" width="10.47"/>
    <col collapsed="false" customWidth="true" hidden="false" outlineLevel="0" max="14" min="14" style="1" width="12.61"/>
    <col collapsed="false" customWidth="true" hidden="false" outlineLevel="0" max="16" min="15" style="1" width="11.12"/>
    <col collapsed="false" customWidth="true" hidden="false" outlineLevel="0" max="17" min="17" style="1" width="13.67"/>
    <col collapsed="false" customWidth="true" hidden="false" outlineLevel="0" max="19" min="18" style="1" width="11.12"/>
    <col collapsed="false" customWidth="true" hidden="false" outlineLevel="0" max="20" min="20" style="1" width="13.67"/>
    <col collapsed="false" customWidth="true" hidden="false" outlineLevel="0" max="22" min="21" style="1" width="9.53"/>
  </cols>
  <sheetData>
    <row r="1" customFormat="false" ht="26.25" hidden="false" customHeight="true" outlineLevel="0" collapsed="false">
      <c r="F1" s="3" t="s">
        <v>0</v>
      </c>
      <c r="G1" s="63" t="s">
        <v>68</v>
      </c>
      <c r="H1" s="64"/>
    </row>
    <row r="2" customFormat="false" ht="14.25" hidden="false" customHeight="true" outlineLevel="0" collapsed="false">
      <c r="E2" s="1" t="s">
        <v>2</v>
      </c>
      <c r="F2" s="1" t="n">
        <v>154.574631</v>
      </c>
      <c r="G2" s="2" t="n">
        <v>139.485507</v>
      </c>
      <c r="H2" s="4" t="n">
        <v>139.868341</v>
      </c>
    </row>
    <row r="3" customFormat="false" ht="14.25" hidden="false" customHeight="true" outlineLevel="0" collapsed="false">
      <c r="E3" s="1" t="s">
        <v>3</v>
      </c>
      <c r="F3" s="1" t="n">
        <v>1.05174512</v>
      </c>
      <c r="G3" s="2" t="n">
        <v>1.06895477</v>
      </c>
      <c r="H3" s="1" t="n">
        <v>1.06554432</v>
      </c>
      <c r="M3" s="1" t="s">
        <v>62</v>
      </c>
      <c r="N3" s="1" t="s">
        <v>5</v>
      </c>
      <c r="O3" s="5" t="s">
        <v>6</v>
      </c>
      <c r="P3" s="5"/>
      <c r="Q3" s="5"/>
      <c r="R3" s="6" t="s">
        <v>7</v>
      </c>
      <c r="S3" s="6"/>
      <c r="T3" s="6"/>
      <c r="U3" s="7" t="s">
        <v>8</v>
      </c>
      <c r="V3" s="7"/>
    </row>
    <row r="4" customFormat="false" ht="14.25" hidden="false" customHeight="true" outlineLevel="0" collapsed="false">
      <c r="A4" s="8" t="s">
        <v>9</v>
      </c>
      <c r="B4" s="8" t="s">
        <v>10</v>
      </c>
      <c r="C4" s="8" t="s">
        <v>11</v>
      </c>
      <c r="D4" s="8" t="s">
        <v>12</v>
      </c>
      <c r="E4" s="8" t="s">
        <v>13</v>
      </c>
      <c r="F4" s="8" t="s">
        <v>14</v>
      </c>
      <c r="G4" s="8" t="s">
        <v>15</v>
      </c>
      <c r="H4" s="8" t="s">
        <v>16</v>
      </c>
      <c r="I4" s="9" t="s">
        <v>17</v>
      </c>
      <c r="J4" s="9" t="s">
        <v>18</v>
      </c>
      <c r="K4" s="9" t="s">
        <v>19</v>
      </c>
      <c r="L4" s="9" t="s">
        <v>20</v>
      </c>
      <c r="M4" s="10" t="s">
        <v>41</v>
      </c>
      <c r="N4" s="11" t="s">
        <v>22</v>
      </c>
      <c r="O4" s="12" t="s">
        <v>23</v>
      </c>
      <c r="P4" s="13" t="s">
        <v>24</v>
      </c>
      <c r="Q4" s="14" t="s">
        <v>25</v>
      </c>
      <c r="R4" s="12" t="s">
        <v>23</v>
      </c>
      <c r="S4" s="13" t="s">
        <v>24</v>
      </c>
      <c r="T4" s="14" t="s">
        <v>25</v>
      </c>
      <c r="U4" s="15" t="n">
        <v>1</v>
      </c>
      <c r="V4" s="15" t="n">
        <v>2</v>
      </c>
      <c r="W4" s="16" t="s">
        <v>26</v>
      </c>
      <c r="X4" s="15" t="s">
        <v>27</v>
      </c>
      <c r="Y4" s="15" t="s">
        <v>28</v>
      </c>
      <c r="Z4" s="17" t="s">
        <v>29</v>
      </c>
    </row>
    <row r="5" customFormat="false" ht="14.25" hidden="false" customHeight="true" outlineLevel="0" collapsed="false">
      <c r="A5" s="18" t="s">
        <v>63</v>
      </c>
      <c r="B5" s="19" t="s">
        <v>32</v>
      </c>
      <c r="C5" s="20" t="n">
        <v>1</v>
      </c>
      <c r="D5" s="21" t="n">
        <v>2.8012</v>
      </c>
      <c r="E5" s="19" t="n">
        <v>300</v>
      </c>
      <c r="F5" s="20" t="n">
        <v>2.9715</v>
      </c>
      <c r="G5" s="19" t="n">
        <f aca="false">1000-E5</f>
        <v>700</v>
      </c>
      <c r="H5" s="20" t="n">
        <v>3.612</v>
      </c>
      <c r="I5" s="22" t="n">
        <f aca="false">F5-D5</f>
        <v>0.1703</v>
      </c>
      <c r="J5" s="22" t="n">
        <f aca="false">H5-F5</f>
        <v>0.6405</v>
      </c>
      <c r="K5" s="22" t="n">
        <f aca="false">J5+I5</f>
        <v>0.8108</v>
      </c>
      <c r="L5" s="23" t="n">
        <v>130.0619</v>
      </c>
      <c r="M5" s="23" t="n">
        <v>1383.6623</v>
      </c>
      <c r="N5" s="23" t="n">
        <v>1374.7846</v>
      </c>
      <c r="O5" s="24" t="n">
        <f aca="false">(L5/$F$2)^(1/$F$3)</f>
        <v>0.848596504710413</v>
      </c>
      <c r="P5" s="47" t="n">
        <f aca="false">(M5/$G$2)^(1/$G$3)</f>
        <v>8.55499985663465</v>
      </c>
      <c r="Q5" s="26" t="n">
        <f aca="false">(N5/$H$2)^(1/$H$3)</f>
        <v>8.54010318932517</v>
      </c>
      <c r="R5" s="25" t="n">
        <f aca="false">O5*$K5/$I5</f>
        <v>4.04017642994248</v>
      </c>
      <c r="S5" s="47" t="n">
        <f aca="false">P5*$K5/$I5</f>
        <v>40.7304397167316</v>
      </c>
      <c r="T5" s="26" t="n">
        <f aca="false">Q5*$K5/$I5</f>
        <v>40.6595165349669</v>
      </c>
      <c r="U5" s="27" t="n">
        <v>1.1008</v>
      </c>
      <c r="V5" s="27"/>
      <c r="W5" s="48" t="n">
        <f aca="false">AVERAGE(R5:R6)/100</f>
        <v>0.0599643040898394</v>
      </c>
      <c r="X5" s="49" t="n">
        <f aca="false">AVERAGE(S5:S6)/100</f>
        <v>0.584937467500253</v>
      </c>
      <c r="Y5" s="49" t="n">
        <f aca="false">AVERAGE(T5:T6)/100</f>
        <v>0.582302878643276</v>
      </c>
      <c r="Z5" s="50" t="n">
        <f aca="false">AVERAGE(U5:V6)/100</f>
        <v>0.011057</v>
      </c>
      <c r="AA5" s="2" t="n">
        <f aca="false">SUM(W5:Z5)</f>
        <v>1.23826165023337</v>
      </c>
      <c r="AD5" s="0" t="n">
        <v>0.0483222409304277</v>
      </c>
      <c r="AE5" s="0" t="n">
        <v>0.471371921392328</v>
      </c>
      <c r="AF5" s="0" t="n">
        <v>0.469248837677245</v>
      </c>
      <c r="AG5" s="0" t="n">
        <v>0.011057</v>
      </c>
    </row>
    <row r="6" customFormat="false" ht="14.25" hidden="false" customHeight="true" outlineLevel="0" collapsed="false">
      <c r="A6" s="18"/>
      <c r="B6" s="20" t="s">
        <v>32</v>
      </c>
      <c r="C6" s="20" t="n">
        <v>2</v>
      </c>
      <c r="D6" s="20" t="n">
        <v>2.8703</v>
      </c>
      <c r="E6" s="20" t="n">
        <v>300</v>
      </c>
      <c r="F6" s="20" t="n">
        <v>3.0163</v>
      </c>
      <c r="G6" s="19" t="n">
        <f aca="false">1000-E6</f>
        <v>700</v>
      </c>
      <c r="H6" s="20" t="n">
        <v>3.6549</v>
      </c>
      <c r="I6" s="22" t="n">
        <f aca="false">F6-D6</f>
        <v>0.146</v>
      </c>
      <c r="J6" s="22" t="n">
        <f aca="false">H6-F6</f>
        <v>0.6386</v>
      </c>
      <c r="K6" s="22" t="n">
        <f aca="false">J6+I6</f>
        <v>0.7846</v>
      </c>
      <c r="L6" s="23" t="n">
        <v>233.4342</v>
      </c>
      <c r="M6" s="23" t="n">
        <v>2376.5584</v>
      </c>
      <c r="N6" s="23" t="n">
        <v>2346.5757</v>
      </c>
      <c r="O6" s="24" t="n">
        <f aca="false">(L6/$F$2)^(1/$F$3)</f>
        <v>1.47985205283165</v>
      </c>
      <c r="P6" s="47" t="n">
        <f aca="false">(M6/$G$2)^(1/$G$3)</f>
        <v>14.190071185782</v>
      </c>
      <c r="Q6" s="26" t="n">
        <f aca="false">(N6/$H$2)^(1/$H$3)</f>
        <v>14.1052187640562</v>
      </c>
      <c r="R6" s="25" t="n">
        <f aca="false">O6*$K6/$I6</f>
        <v>7.9526843880254</v>
      </c>
      <c r="S6" s="47" t="n">
        <f aca="false">P6*$K6/$I6</f>
        <v>76.2570537833189</v>
      </c>
      <c r="T6" s="26" t="n">
        <f aca="false">Q6*$K6/$I6</f>
        <v>75.8010591936883</v>
      </c>
      <c r="U6" s="27" t="n">
        <v>1.1106</v>
      </c>
      <c r="V6" s="27"/>
      <c r="W6" s="51"/>
      <c r="Z6" s="33"/>
      <c r="AA6" s="2"/>
    </row>
    <row r="7" customFormat="false" ht="14.25" hidden="false" customHeight="true" outlineLevel="0" collapsed="false">
      <c r="A7" s="18"/>
      <c r="B7" s="34" t="s">
        <v>33</v>
      </c>
      <c r="C7" s="34" t="n">
        <v>3</v>
      </c>
      <c r="D7" s="34" t="n">
        <v>2.7946</v>
      </c>
      <c r="E7" s="34" t="n">
        <v>100</v>
      </c>
      <c r="F7" s="34" t="n">
        <v>3.0147</v>
      </c>
      <c r="G7" s="30" t="n">
        <f aca="false">1000-E7</f>
        <v>900</v>
      </c>
      <c r="H7" s="34" t="n">
        <v>3.6552</v>
      </c>
      <c r="I7" s="35" t="n">
        <f aca="false">F7-D7</f>
        <v>0.2201</v>
      </c>
      <c r="J7" s="35" t="n">
        <f aca="false">H7-F7</f>
        <v>0.6405</v>
      </c>
      <c r="K7" s="35" t="n">
        <f aca="false">J7+I7</f>
        <v>0.8606</v>
      </c>
      <c r="L7" s="1" t="n">
        <v>4.907</v>
      </c>
      <c r="M7" s="1" t="n">
        <v>3.6779</v>
      </c>
      <c r="N7" s="36" t="n">
        <v>1.8402</v>
      </c>
      <c r="O7" s="52" t="n">
        <f aca="false">(L7/$F$2)^(1/$F$3)</f>
        <v>0.0376178729883458</v>
      </c>
      <c r="P7" s="53" t="n">
        <f aca="false">(M7/$G$2)^(1/$G$3)</f>
        <v>0.0333366825229519</v>
      </c>
      <c r="Q7" s="54" t="n">
        <f aca="false">(N7/$H$2)^(1/$H$3)</f>
        <v>0.0171728233670356</v>
      </c>
      <c r="R7" s="55" t="n">
        <f aca="false">O7*$K7/$I7</f>
        <v>0.14708742159823</v>
      </c>
      <c r="S7" s="53" t="n">
        <f aca="false">P7*$K7/$I7</f>
        <v>0.130347791818503</v>
      </c>
      <c r="T7" s="54" t="n">
        <f aca="false">Q7*$K7/$I7</f>
        <v>0.0671464415705173</v>
      </c>
      <c r="U7" s="2" t="n">
        <v>99.4816</v>
      </c>
      <c r="V7" s="2"/>
      <c r="W7" s="51" t="n">
        <f aca="false">AVERAGE(R7:R8)/100</f>
        <v>0.00142524039504853</v>
      </c>
      <c r="X7" s="0" t="n">
        <f aca="false">AVERAGE(S7:S8)/100</f>
        <v>0.00127326753543119</v>
      </c>
      <c r="Y7" s="1" t="n">
        <f aca="false">AVERAGE(T7:T8)/100</f>
        <v>0.000668738564374399</v>
      </c>
      <c r="Z7" s="33" t="n">
        <f aca="false">AVERAGE(U7:V8)/100</f>
        <v>0.9886145</v>
      </c>
      <c r="AA7" s="2" t="n">
        <f aca="false">SUM(W7:Z7)</f>
        <v>0.991981746494854</v>
      </c>
      <c r="AD7" s="0" t="n">
        <v>0.0013261570063198</v>
      </c>
      <c r="AE7" s="0" t="n">
        <v>0.00118474937203427</v>
      </c>
      <c r="AF7" s="0" t="n">
        <v>0.000622247541974248</v>
      </c>
      <c r="AG7" s="0" t="n">
        <v>0.996866846079672</v>
      </c>
    </row>
    <row r="8" customFormat="false" ht="14.25" hidden="false" customHeight="true" outlineLevel="0" collapsed="false">
      <c r="A8" s="18"/>
      <c r="B8" s="34" t="s">
        <v>33</v>
      </c>
      <c r="C8" s="34" t="n">
        <v>4</v>
      </c>
      <c r="D8" s="34" t="n">
        <v>2.8078</v>
      </c>
      <c r="E8" s="34" t="n">
        <v>100</v>
      </c>
      <c r="F8" s="34" t="n">
        <v>3.0238</v>
      </c>
      <c r="G8" s="30" t="n">
        <f aca="false">1000-E8</f>
        <v>900</v>
      </c>
      <c r="H8" s="34" t="n">
        <v>3.6615</v>
      </c>
      <c r="I8" s="35" t="n">
        <f aca="false">F8-D8</f>
        <v>0.216</v>
      </c>
      <c r="J8" s="35" t="n">
        <f aca="false">H8-F8</f>
        <v>0.6377</v>
      </c>
      <c r="K8" s="35" t="n">
        <f aca="false">J8+I8</f>
        <v>0.8537</v>
      </c>
      <c r="L8" s="36" t="n">
        <v>4.5357</v>
      </c>
      <c r="M8" s="36" t="n">
        <v>3.456</v>
      </c>
      <c r="N8" s="36" t="n">
        <v>1.8035</v>
      </c>
      <c r="O8" s="52" t="n">
        <f aca="false">(L8/$F$2)^(1/$F$3)</f>
        <v>0.0349062926096744</v>
      </c>
      <c r="P8" s="53" t="n">
        <f aca="false">(M8/$G$2)^(1/$G$3)</f>
        <v>0.0314513699166345</v>
      </c>
      <c r="Q8" s="54" t="n">
        <f aca="false">(N8/$H$2)^(1/$H$3)</f>
        <v>0.0168512060463187</v>
      </c>
      <c r="R8" s="55" t="n">
        <f aca="false">O8*$K8/$I8</f>
        <v>0.137960657411477</v>
      </c>
      <c r="S8" s="53" t="n">
        <f aca="false">P8*$K8/$I8</f>
        <v>0.124305715267736</v>
      </c>
      <c r="T8" s="54" t="n">
        <f aca="false">Q8*$K8/$I8</f>
        <v>0.0666012713043625</v>
      </c>
      <c r="U8" s="2" t="n">
        <v>98.2413</v>
      </c>
      <c r="V8" s="2"/>
      <c r="W8" s="51"/>
      <c r="Z8" s="33"/>
      <c r="AA8" s="2"/>
    </row>
    <row r="9" customFormat="false" ht="14.25" hidden="false" customHeight="true" outlineLevel="0" collapsed="false">
      <c r="A9" s="18" t="s">
        <v>64</v>
      </c>
      <c r="B9" s="19" t="s">
        <v>32</v>
      </c>
      <c r="C9" s="20" t="n">
        <v>5</v>
      </c>
      <c r="D9" s="19" t="n">
        <v>2.8465</v>
      </c>
      <c r="E9" s="19" t="n">
        <v>300</v>
      </c>
      <c r="F9" s="20" t="n">
        <v>2.9449</v>
      </c>
      <c r="G9" s="19" t="n">
        <f aca="false">1000-E9</f>
        <v>700</v>
      </c>
      <c r="H9" s="20" t="n">
        <v>3.5629</v>
      </c>
      <c r="I9" s="22" t="n">
        <f aca="false">F9-D9</f>
        <v>0.0984000000000003</v>
      </c>
      <c r="J9" s="22" t="n">
        <f aca="false">H9-F9</f>
        <v>0.618</v>
      </c>
      <c r="K9" s="22" t="n">
        <f aca="false">J9+I9</f>
        <v>0.7164</v>
      </c>
      <c r="L9" s="23" t="n">
        <v>93.3038</v>
      </c>
      <c r="M9" s="23" t="n">
        <v>0.1532</v>
      </c>
      <c r="N9" s="23" t="n">
        <v>0.0823</v>
      </c>
      <c r="O9" s="24" t="n">
        <f aca="false">(L9/$F$2)^(1/$F$3)</f>
        <v>0.618796020766668</v>
      </c>
      <c r="P9" s="47" t="n">
        <f aca="false">(M9/$G$2)^(1/$G$3)</f>
        <v>0.00170460011284814</v>
      </c>
      <c r="Q9" s="26" t="n">
        <f aca="false">(N9/$H$2)^(1/$H$3)</f>
        <v>0.000929791391759964</v>
      </c>
      <c r="R9" s="25" t="n">
        <f aca="false">O9*$K9/$I9</f>
        <v>4.50513688289878</v>
      </c>
      <c r="S9" s="47" t="n">
        <f aca="false">P9*$K9/$I9</f>
        <v>0.0124103203337846</v>
      </c>
      <c r="T9" s="26" t="n">
        <f aca="false">Q9*$K9/$I9</f>
        <v>0.00676933488878899</v>
      </c>
      <c r="U9" s="27" t="n">
        <v>97.6096</v>
      </c>
      <c r="V9" s="27" t="n">
        <v>99.7309</v>
      </c>
      <c r="W9" s="56" t="n">
        <f aca="false">AVERAGE(R9:R10)/100</f>
        <v>0.0345139852641209</v>
      </c>
      <c r="X9" s="57" t="n">
        <f aca="false">AVERAGE(S9:S10)/100</f>
        <v>9.83853241807006E-005</v>
      </c>
      <c r="Y9" s="57" t="n">
        <f aca="false">AVERAGE(T9:T10)/100</f>
        <v>5.46187718239917E-005</v>
      </c>
      <c r="Z9" s="29" t="n">
        <f aca="false">AVERAGE(U9:V10)/100</f>
        <v>0.986094</v>
      </c>
      <c r="AA9" s="2" t="n">
        <f aca="false">SUM(W9:Z9)</f>
        <v>1.02076098936013</v>
      </c>
      <c r="AD9" s="0" t="n">
        <v>0.0321145566271111</v>
      </c>
      <c r="AE9" s="0" t="n">
        <v>9.15455297468173E-005</v>
      </c>
      <c r="AF9" s="0" t="n">
        <v>5.0821648882961E-005</v>
      </c>
      <c r="AG9" s="0" t="n">
        <v>0.967743076194259</v>
      </c>
    </row>
    <row r="10" customFormat="false" ht="14.25" hidden="false" customHeight="true" outlineLevel="0" collapsed="false">
      <c r="A10" s="18"/>
      <c r="B10" s="20" t="s">
        <v>32</v>
      </c>
      <c r="C10" s="20" t="n">
        <v>6</v>
      </c>
      <c r="D10" s="20" t="n">
        <v>2.834</v>
      </c>
      <c r="E10" s="20" t="n">
        <v>300</v>
      </c>
      <c r="F10" s="20" t="n">
        <v>3.0123</v>
      </c>
      <c r="G10" s="19" t="n">
        <f aca="false">1000-E10</f>
        <v>700</v>
      </c>
      <c r="H10" s="20" t="n">
        <v>3.656</v>
      </c>
      <c r="I10" s="22" t="n">
        <f aca="false">F10-D10</f>
        <v>0.1783</v>
      </c>
      <c r="J10" s="22" t="n">
        <f aca="false">H10-F10</f>
        <v>0.6437</v>
      </c>
      <c r="K10" s="22" t="n">
        <f aca="false">J10+I10</f>
        <v>0.822</v>
      </c>
      <c r="L10" s="23" t="n">
        <v>77.7165</v>
      </c>
      <c r="M10" s="23" t="n">
        <v>0.1409</v>
      </c>
      <c r="N10" s="23" t="n">
        <v>0.0796</v>
      </c>
      <c r="O10" s="24" t="n">
        <f aca="false">(L10/$F$2)^(1/$F$3)</f>
        <v>0.520076409121289</v>
      </c>
      <c r="P10" s="47" t="n">
        <f aca="false">(M10/$G$2)^(1/$G$3)</f>
        <v>0.00157622937319949</v>
      </c>
      <c r="Q10" s="26" t="n">
        <f aca="false">(N10/$H$2)^(1/$H$3)</f>
        <v>0.000901135027460423</v>
      </c>
      <c r="R10" s="25" t="n">
        <f aca="false">O10*$K10/$I10</f>
        <v>2.3976601699254</v>
      </c>
      <c r="S10" s="47" t="n">
        <f aca="false">P10*$K10/$I10</f>
        <v>0.00726674450235549</v>
      </c>
      <c r="T10" s="26" t="n">
        <f aca="false">Q10*$K10/$I10</f>
        <v>0.00415441947600935</v>
      </c>
      <c r="U10" s="27" t="n">
        <v>98.4877</v>
      </c>
      <c r="V10" s="27"/>
      <c r="W10" s="51"/>
      <c r="Z10" s="33"/>
      <c r="AA10" s="2"/>
    </row>
    <row r="11" customFormat="false" ht="14.25" hidden="false" customHeight="true" outlineLevel="0" collapsed="false">
      <c r="A11" s="18"/>
      <c r="B11" s="34" t="s">
        <v>33</v>
      </c>
      <c r="C11" s="34" t="n">
        <v>7</v>
      </c>
      <c r="D11" s="34" t="n">
        <v>2.7981</v>
      </c>
      <c r="E11" s="34" t="n">
        <v>100</v>
      </c>
      <c r="F11" s="34" t="n">
        <v>2.9724</v>
      </c>
      <c r="G11" s="30" t="n">
        <f aca="false">1000-E11</f>
        <v>900</v>
      </c>
      <c r="H11" s="34" t="n">
        <v>3.611</v>
      </c>
      <c r="I11" s="35" t="n">
        <f aca="false">F11-D11</f>
        <v>0.1743</v>
      </c>
      <c r="J11" s="35" t="n">
        <f aca="false">H11-F11</f>
        <v>0.6386</v>
      </c>
      <c r="K11" s="35" t="n">
        <f aca="false">J11+I11</f>
        <v>0.8129</v>
      </c>
      <c r="L11" s="40" t="n">
        <v>4166.4918</v>
      </c>
      <c r="M11" s="40" t="n">
        <v>75.5526</v>
      </c>
      <c r="N11" s="36" t="n">
        <v>74.6352</v>
      </c>
      <c r="O11" s="52" t="n">
        <f aca="false">(L11/$F$2)^(1/$F$3)</f>
        <v>22.9216675667521</v>
      </c>
      <c r="P11" s="53" t="n">
        <f aca="false">(M11/$G$2)^(1/$G$3)</f>
        <v>0.563504201083192</v>
      </c>
      <c r="Q11" s="54" t="n">
        <f aca="false">(N11/$H$2)^(1/$H$3)</f>
        <v>0.554630055414462</v>
      </c>
      <c r="R11" s="55" t="n">
        <f aca="false">O11*$K11/$I11</f>
        <v>106.902028485443</v>
      </c>
      <c r="S11" s="53" t="n">
        <f aca="false">P11*$K11/$I11</f>
        <v>2.62806979380681</v>
      </c>
      <c r="T11" s="54" t="n">
        <f aca="false">Q11*$K11/$I11</f>
        <v>2.58668257054742</v>
      </c>
      <c r="U11" s="2" t="n">
        <v>7.8468</v>
      </c>
      <c r="V11" s="2"/>
      <c r="W11" s="51" t="n">
        <f aca="false">AVERAGE(R11:R12)/100</f>
        <v>1.36599756828819</v>
      </c>
      <c r="X11" s="0" t="n">
        <f aca="false">AVERAGE(S11:S12)/100</f>
        <v>0.0331663308876275</v>
      </c>
      <c r="Y11" s="1" t="n">
        <f aca="false">AVERAGE(T11:T12)/100</f>
        <v>0.0326961581920351</v>
      </c>
      <c r="Z11" s="33" t="n">
        <f aca="false">AVERAGE(U11:V12)/100</f>
        <v>0.0792005</v>
      </c>
      <c r="AA11" s="2" t="n">
        <f aca="false">SUM(W11:Z11)</f>
        <v>1.51106055736786</v>
      </c>
      <c r="AD11" s="0" t="n">
        <v>0.878444699542201</v>
      </c>
      <c r="AE11" s="0" t="n">
        <v>0.0213285793824726</v>
      </c>
      <c r="AF11" s="0" t="n">
        <v>0.0210262210753269</v>
      </c>
      <c r="AG11" s="0" t="n">
        <v>0.0792005</v>
      </c>
    </row>
    <row r="12" customFormat="false" ht="14.25" hidden="false" customHeight="true" outlineLevel="0" collapsed="false">
      <c r="A12" s="18"/>
      <c r="B12" s="34" t="s">
        <v>33</v>
      </c>
      <c r="C12" s="34" t="n">
        <v>8</v>
      </c>
      <c r="D12" s="34" t="n">
        <v>2.8034</v>
      </c>
      <c r="E12" s="34" t="n">
        <v>100</v>
      </c>
      <c r="F12" s="34" t="n">
        <v>2.9342</v>
      </c>
      <c r="G12" s="30" t="n">
        <f aca="false">1000-E12</f>
        <v>900</v>
      </c>
      <c r="H12" s="34" t="n">
        <v>3.5736</v>
      </c>
      <c r="I12" s="35" t="n">
        <f aca="false">F12-D12</f>
        <v>0.1308</v>
      </c>
      <c r="J12" s="35" t="n">
        <f aca="false">H12-F12</f>
        <v>0.6394</v>
      </c>
      <c r="K12" s="35" t="n">
        <f aca="false">J12+I12</f>
        <v>0.7702</v>
      </c>
      <c r="L12" s="36" t="n">
        <v>5189.2501</v>
      </c>
      <c r="M12" s="36" t="n">
        <v>92.3881</v>
      </c>
      <c r="N12" s="36" t="n">
        <v>91.4648</v>
      </c>
      <c r="O12" s="52" t="n">
        <f aca="false">(L12/$F$2)^(1/$F$3)</f>
        <v>28.2416399123905</v>
      </c>
      <c r="P12" s="53" t="n">
        <f aca="false">(M12/$G$2)^(1/$G$3)</f>
        <v>0.680186558024419</v>
      </c>
      <c r="Q12" s="54" t="n">
        <f aca="false">(N12/$H$2)^(1/$H$3)</f>
        <v>0.67124567394967</v>
      </c>
      <c r="R12" s="55" t="n">
        <f aca="false">O12*$K12/$I12</f>
        <v>166.297485172195</v>
      </c>
      <c r="S12" s="53" t="n">
        <f aca="false">P12*$K12/$I12</f>
        <v>4.0051963837187</v>
      </c>
      <c r="T12" s="54" t="n">
        <f aca="false">Q12*$K12/$I12</f>
        <v>3.95254906785959</v>
      </c>
      <c r="U12" s="2" t="n">
        <v>7.9933</v>
      </c>
      <c r="V12" s="2"/>
      <c r="W12" s="51"/>
      <c r="Z12" s="33"/>
      <c r="AA12" s="2"/>
    </row>
    <row r="13" customFormat="false" ht="14.25" hidden="false" customHeight="true" outlineLevel="0" collapsed="false">
      <c r="A13" s="18" t="s">
        <v>65</v>
      </c>
      <c r="B13" s="19" t="s">
        <v>32</v>
      </c>
      <c r="C13" s="20" t="n">
        <v>9</v>
      </c>
      <c r="D13" s="19" t="n">
        <v>2.8009</v>
      </c>
      <c r="E13" s="19" t="n">
        <v>300</v>
      </c>
      <c r="F13" s="20" t="n">
        <v>3.0359</v>
      </c>
      <c r="G13" s="19" t="n">
        <f aca="false">1000-E13</f>
        <v>700</v>
      </c>
      <c r="H13" s="20" t="n">
        <v>3.6692</v>
      </c>
      <c r="I13" s="22" t="n">
        <f aca="false">F13-D13</f>
        <v>0.235</v>
      </c>
      <c r="J13" s="22" t="n">
        <f aca="false">H13-F13</f>
        <v>0.6333</v>
      </c>
      <c r="K13" s="22" t="n">
        <f aca="false">J13+I13</f>
        <v>0.8683</v>
      </c>
      <c r="L13" s="23" t="n">
        <v>2452.6514</v>
      </c>
      <c r="M13" s="23" t="n">
        <v>1124.5005</v>
      </c>
      <c r="N13" s="23" t="n">
        <v>1116.7503</v>
      </c>
      <c r="O13" s="24" t="n">
        <f aca="false">(L13/$F$2)^(1/$F$3)</f>
        <v>13.8494960053439</v>
      </c>
      <c r="P13" s="47" t="n">
        <f aca="false">(M13/$G$2)^(1/$G$3)</f>
        <v>7.04627682796868</v>
      </c>
      <c r="Q13" s="26" t="n">
        <f aca="false">(N13/$H$2)^(1/$H$3)</f>
        <v>7.02647977886145</v>
      </c>
      <c r="R13" s="25" t="n">
        <f aca="false">O13*$K13/$I13</f>
        <v>51.1724143891067</v>
      </c>
      <c r="S13" s="47" t="n">
        <f aca="false">P13*$K13/$I13</f>
        <v>26.0352432754264</v>
      </c>
      <c r="T13" s="26" t="n">
        <f aca="false">Q13*$K13/$I13</f>
        <v>25.9620952850443</v>
      </c>
      <c r="U13" s="27" t="n">
        <v>4.4671</v>
      </c>
      <c r="V13" s="27"/>
      <c r="W13" s="56" t="n">
        <f aca="false">AVERAGE(R13:R14)/100</f>
        <v>0.675047770091417</v>
      </c>
      <c r="X13" s="57" t="n">
        <f aca="false">AVERAGE(S13:S14)/100</f>
        <v>0.343028631375977</v>
      </c>
      <c r="Y13" s="57" t="n">
        <f aca="false">AVERAGE(T13:T14)/100</f>
        <v>0.342019585107165</v>
      </c>
      <c r="Z13" s="29" t="n">
        <f aca="false">AVERAGE(U13:V14)/100</f>
        <v>0.0442125</v>
      </c>
      <c r="AA13" s="2" t="n">
        <f aca="false">SUM(W13:Z13)</f>
        <v>1.40430848657456</v>
      </c>
      <c r="AD13" s="0" t="n">
        <v>0.474379916509577</v>
      </c>
      <c r="AE13" s="0" t="n">
        <v>0.241058337975835</v>
      </c>
      <c r="AF13" s="0" t="n">
        <v>0.240349245514588</v>
      </c>
      <c r="AG13" s="0" t="n">
        <v>0.0442125</v>
      </c>
    </row>
    <row r="14" customFormat="false" ht="14.25" hidden="false" customHeight="true" outlineLevel="0" collapsed="false">
      <c r="A14" s="18"/>
      <c r="B14" s="19" t="s">
        <v>32</v>
      </c>
      <c r="C14" s="20" t="n">
        <v>10</v>
      </c>
      <c r="D14" s="20" t="n">
        <v>2.8659</v>
      </c>
      <c r="E14" s="20" t="n">
        <v>300</v>
      </c>
      <c r="F14" s="20" t="n">
        <v>2.9982</v>
      </c>
      <c r="G14" s="19" t="n">
        <f aca="false">1000-E14</f>
        <v>700</v>
      </c>
      <c r="H14" s="20" t="n">
        <v>3.6368</v>
      </c>
      <c r="I14" s="22" t="n">
        <f aca="false">F14-D14</f>
        <v>0.1323</v>
      </c>
      <c r="J14" s="22" t="n">
        <f aca="false">H14-F14</f>
        <v>0.6386</v>
      </c>
      <c r="K14" s="22" t="n">
        <f aca="false">J14+I14</f>
        <v>0.7709</v>
      </c>
      <c r="L14" s="23" t="n">
        <v>2553.0377</v>
      </c>
      <c r="M14" s="23" t="n">
        <v>1168.8362</v>
      </c>
      <c r="N14" s="23" t="n">
        <v>1160.3734</v>
      </c>
      <c r="O14" s="24" t="n">
        <f aca="false">(L14/$F$2)^(1/$F$3)</f>
        <v>14.3879278414063</v>
      </c>
      <c r="P14" s="47" t="n">
        <f aca="false">(M14/$G$2)^(1/$G$3)</f>
        <v>7.30584369032227</v>
      </c>
      <c r="Q14" s="26" t="n">
        <f aca="false">(N14/$H$2)^(1/$H$3)</f>
        <v>7.28376315439648</v>
      </c>
      <c r="R14" s="25" t="n">
        <f aca="false">O14*$K14/$I14</f>
        <v>83.8371396291766</v>
      </c>
      <c r="S14" s="47" t="n">
        <f aca="false">P14*$K14/$I14</f>
        <v>42.5704829997689</v>
      </c>
      <c r="T14" s="26" t="n">
        <f aca="false">Q14*$K14/$I14</f>
        <v>42.4418217363887</v>
      </c>
      <c r="U14" s="27" t="n">
        <v>4.3754</v>
      </c>
      <c r="V14" s="27"/>
      <c r="W14" s="51"/>
      <c r="Z14" s="33"/>
      <c r="AA14" s="2"/>
    </row>
    <row r="15" customFormat="false" ht="14.25" hidden="false" customHeight="true" outlineLevel="0" collapsed="false">
      <c r="A15" s="18"/>
      <c r="B15" s="34" t="s">
        <v>33</v>
      </c>
      <c r="C15" s="34" t="n">
        <v>11</v>
      </c>
      <c r="D15" s="34" t="n">
        <v>2.7983</v>
      </c>
      <c r="E15" s="34" t="n">
        <v>100</v>
      </c>
      <c r="F15" s="34" t="n">
        <v>2.9485</v>
      </c>
      <c r="G15" s="30" t="n">
        <f aca="false">1000-E15</f>
        <v>900</v>
      </c>
      <c r="H15" s="34" t="n">
        <v>3.5893</v>
      </c>
      <c r="I15" s="35" t="n">
        <f aca="false">F15-D15</f>
        <v>0.1502</v>
      </c>
      <c r="J15" s="35" t="n">
        <f aca="false">H15-F15</f>
        <v>0.6408</v>
      </c>
      <c r="K15" s="35" t="n">
        <f aca="false">J15+I15</f>
        <v>0.791</v>
      </c>
      <c r="L15" s="36" t="n">
        <v>40.5951</v>
      </c>
      <c r="M15" s="36" t="n">
        <v>1.8643</v>
      </c>
      <c r="N15" s="41" t="n">
        <v>1.0211</v>
      </c>
      <c r="O15" s="52" t="n">
        <f aca="false">(L15/$F$2)^(1/$F$3)</f>
        <v>0.280481154970568</v>
      </c>
      <c r="P15" s="53" t="n">
        <f aca="false">(M15/$G$2)^(1/$G$3)</f>
        <v>0.0176552215384351</v>
      </c>
      <c r="Q15" s="54" t="n">
        <f aca="false">(N15/$H$2)^(1/$H$3)</f>
        <v>0.00988051669651979</v>
      </c>
      <c r="R15" s="55" t="n">
        <f aca="false">O15*$K15/$I15</f>
        <v>1.47710115567057</v>
      </c>
      <c r="S15" s="53" t="n">
        <f aca="false">P15*$K15/$I15</f>
        <v>0.0929778977157266</v>
      </c>
      <c r="T15" s="54" t="n">
        <f aca="false">Q15*$K15/$I15</f>
        <v>0.0520338795402606</v>
      </c>
      <c r="U15" s="2" t="n">
        <v>98.793</v>
      </c>
      <c r="V15" s="2"/>
      <c r="W15" s="51" t="n">
        <f aca="false">AVERAGE(R15:R16)/100</f>
        <v>0.0122748370913457</v>
      </c>
      <c r="X15" s="0" t="n">
        <f aca="false">AVERAGE(S15:S16)/100</f>
        <v>0.000756831559461948</v>
      </c>
      <c r="Y15" s="1" t="n">
        <f aca="false">AVERAGE(T15:T16)/100</f>
        <v>0.000417073392914513</v>
      </c>
      <c r="Z15" s="33" t="n">
        <f aca="false">AVERAGE(U15:V16)/100</f>
        <v>0.987522</v>
      </c>
      <c r="AA15" s="2" t="n">
        <f aca="false">SUM(W15:Z15)</f>
        <v>1.00097074204372</v>
      </c>
      <c r="AD15" s="0" t="n">
        <v>0.0114214845907227</v>
      </c>
      <c r="AE15" s="0" t="n">
        <v>0.00070421627023154</v>
      </c>
      <c r="AF15" s="0" t="n">
        <v>0.000388078252682642</v>
      </c>
      <c r="AG15" s="0" t="n">
        <v>0.987486220886363</v>
      </c>
    </row>
    <row r="16" customFormat="false" ht="14.25" hidden="false" customHeight="true" outlineLevel="0" collapsed="false">
      <c r="A16" s="18"/>
      <c r="B16" s="34" t="s">
        <v>33</v>
      </c>
      <c r="C16" s="34" t="n">
        <v>12</v>
      </c>
      <c r="D16" s="34" t="n">
        <v>2.7929</v>
      </c>
      <c r="E16" s="34" t="n">
        <v>100</v>
      </c>
      <c r="F16" s="34" t="n">
        <v>3.0272</v>
      </c>
      <c r="G16" s="30" t="n">
        <f aca="false">1000-E16</f>
        <v>900</v>
      </c>
      <c r="H16" s="34" t="n">
        <v>3.6644</v>
      </c>
      <c r="I16" s="35" t="n">
        <f aca="false">F16-D16</f>
        <v>0.2343</v>
      </c>
      <c r="J16" s="35" t="n">
        <f aca="false">H16-F16</f>
        <v>0.6372</v>
      </c>
      <c r="K16" s="35" t="n">
        <f aca="false">J16+I16</f>
        <v>0.8715</v>
      </c>
      <c r="L16" s="36" t="n">
        <v>37.9227</v>
      </c>
      <c r="M16" s="36" t="n">
        <v>1.6442</v>
      </c>
      <c r="N16" s="36" t="n">
        <v>0.8629</v>
      </c>
      <c r="O16" s="52" t="n">
        <f aca="false">(L16/$F$2)^(1/$F$3)</f>
        <v>0.262896231011872</v>
      </c>
      <c r="P16" s="53" t="n">
        <f aca="false">(M16/$G$2)^(1/$G$3)</f>
        <v>0.0156975392330375</v>
      </c>
      <c r="Q16" s="54" t="n">
        <f aca="false">(N16/$H$2)^(1/$H$3)</f>
        <v>0.00843662790096502</v>
      </c>
      <c r="R16" s="55" t="n">
        <f aca="false">O16*$K16/$I16</f>
        <v>0.977866262598575</v>
      </c>
      <c r="S16" s="53" t="n">
        <f aca="false">P16*$K16/$I16</f>
        <v>0.058388414176663</v>
      </c>
      <c r="T16" s="54" t="n">
        <f aca="false">Q16*$K16/$I16</f>
        <v>0.031380799042642</v>
      </c>
      <c r="U16" s="2" t="n">
        <v>98.7114</v>
      </c>
      <c r="V16" s="2"/>
      <c r="W16" s="51"/>
      <c r="Z16" s="33"/>
      <c r="AA16" s="2"/>
    </row>
    <row r="17" customFormat="false" ht="14.25" hidden="false" customHeight="true" outlineLevel="0" collapsed="false">
      <c r="A17" s="18" t="s">
        <v>66</v>
      </c>
      <c r="B17" s="19" t="s">
        <v>32</v>
      </c>
      <c r="C17" s="20" t="n">
        <v>13</v>
      </c>
      <c r="D17" s="19" t="n">
        <v>2.8159</v>
      </c>
      <c r="E17" s="19" t="n">
        <v>300</v>
      </c>
      <c r="F17" s="20" t="n">
        <v>3.0136</v>
      </c>
      <c r="G17" s="19" t="n">
        <f aca="false">1000-E17</f>
        <v>700</v>
      </c>
      <c r="H17" s="20" t="n">
        <v>3.6274</v>
      </c>
      <c r="I17" s="22" t="n">
        <f aca="false">F17-D17</f>
        <v>0.1977</v>
      </c>
      <c r="J17" s="22" t="n">
        <f aca="false">H17-F17</f>
        <v>0.6138</v>
      </c>
      <c r="K17" s="22" t="n">
        <f aca="false">J17+I17</f>
        <v>0.8115</v>
      </c>
      <c r="L17" s="23" t="n">
        <v>2453.2232</v>
      </c>
      <c r="M17" s="23" t="n">
        <v>449.0819</v>
      </c>
      <c r="N17" s="23" t="n">
        <v>446.4899</v>
      </c>
      <c r="O17" s="24" t="n">
        <f aca="false">(L17/$F$2)^(1/$F$3)</f>
        <v>13.8525659411818</v>
      </c>
      <c r="P17" s="47" t="n">
        <f aca="false">(M17/$G$2)^(1/$G$3)</f>
        <v>2.98565883115647</v>
      </c>
      <c r="Q17" s="26" t="n">
        <f aca="false">(N17/$H$2)^(1/$H$3)</f>
        <v>2.97224244138746</v>
      </c>
      <c r="R17" s="25" t="n">
        <f aca="false">O17*$K17/$I17</f>
        <v>56.8606841743504</v>
      </c>
      <c r="S17" s="47" t="n">
        <f aca="false">P17*$K17/$I17</f>
        <v>12.255246036841</v>
      </c>
      <c r="T17" s="26" t="n">
        <f aca="false">Q17*$K17/$I17</f>
        <v>12.2001757267877</v>
      </c>
      <c r="U17" s="27" t="n">
        <v>6.4258</v>
      </c>
      <c r="V17" s="27"/>
      <c r="W17" s="56" t="n">
        <f aca="false">AVERAGE(R17:R18)/100</f>
        <v>0.750330161081445</v>
      </c>
      <c r="X17" s="57" t="n">
        <f aca="false">AVERAGE(S17:S18)/100</f>
        <v>0.15918628704996</v>
      </c>
      <c r="Y17" s="57" t="n">
        <f aca="false">AVERAGE(T17:T18)/100</f>
        <v>0.158568414153672</v>
      </c>
      <c r="Z17" s="29" t="n">
        <f aca="false">AVERAGE(U17:V18)/100</f>
        <v>0.062883</v>
      </c>
      <c r="AA17" s="2" t="n">
        <f aca="false">SUM(W17:Z17)</f>
        <v>1.13096786228508</v>
      </c>
      <c r="AD17" s="0" t="n">
        <v>0.658325170958642</v>
      </c>
      <c r="AE17" s="0" t="n">
        <v>0.139666969385042</v>
      </c>
      <c r="AF17" s="0" t="n">
        <v>0.139124859656315</v>
      </c>
      <c r="AG17" s="0" t="n">
        <v>0.062883</v>
      </c>
    </row>
    <row r="18" customFormat="false" ht="14.25" hidden="false" customHeight="true" outlineLevel="0" collapsed="false">
      <c r="A18" s="18"/>
      <c r="B18" s="20" t="s">
        <v>32</v>
      </c>
      <c r="C18" s="20" t="n">
        <v>14</v>
      </c>
      <c r="D18" s="20" t="n">
        <v>2.8546</v>
      </c>
      <c r="E18" s="20" t="n">
        <v>300</v>
      </c>
      <c r="F18" s="20" t="n">
        <v>3.0014</v>
      </c>
      <c r="G18" s="19" t="n">
        <f aca="false">1000-E18</f>
        <v>700</v>
      </c>
      <c r="H18" s="20" t="n">
        <v>3.6465</v>
      </c>
      <c r="I18" s="22" t="n">
        <f aca="false">F18-D18</f>
        <v>0.1468</v>
      </c>
      <c r="J18" s="22" t="n">
        <f aca="false">H18-F18</f>
        <v>0.6451</v>
      </c>
      <c r="K18" s="22" t="n">
        <f aca="false">J18+I18</f>
        <v>0.7919</v>
      </c>
      <c r="L18" s="23" t="n">
        <v>3095.0607</v>
      </c>
      <c r="M18" s="23" t="n">
        <v>553.4148</v>
      </c>
      <c r="N18" s="23" t="n">
        <v>550.4398</v>
      </c>
      <c r="O18" s="24" t="n">
        <f aca="false">(L18/$F$2)^(1/$F$3)</f>
        <v>17.2781223545354</v>
      </c>
      <c r="P18" s="47" t="n">
        <f aca="false">(M18/$G$2)^(1/$G$3)</f>
        <v>3.63005337741955</v>
      </c>
      <c r="Q18" s="26" t="n">
        <f aca="false">(N18/$H$2)^(1/$H$3)</f>
        <v>3.61735426551252</v>
      </c>
      <c r="R18" s="25" t="n">
        <f aca="false">O18*$K18/$I18</f>
        <v>93.2053480419385</v>
      </c>
      <c r="S18" s="47" t="n">
        <f aca="false">P18*$K18/$I18</f>
        <v>19.5820113731509</v>
      </c>
      <c r="T18" s="26" t="n">
        <f aca="false">Q18*$K18/$I18</f>
        <v>19.5135071039466</v>
      </c>
      <c r="U18" s="27" t="n">
        <v>6.1508</v>
      </c>
      <c r="V18" s="27"/>
      <c r="W18" s="51"/>
      <c r="Z18" s="33"/>
      <c r="AA18" s="2"/>
    </row>
    <row r="19" customFormat="false" ht="14.25" hidden="false" customHeight="true" outlineLevel="0" collapsed="false">
      <c r="A19" s="18"/>
      <c r="B19" s="34" t="s">
        <v>33</v>
      </c>
      <c r="C19" s="34" t="n">
        <v>15</v>
      </c>
      <c r="D19" s="34" t="n">
        <v>2.8212</v>
      </c>
      <c r="E19" s="34" t="n">
        <v>100</v>
      </c>
      <c r="F19" s="34" t="n">
        <v>2.9905</v>
      </c>
      <c r="G19" s="30" t="n">
        <f aca="false">1000-E19</f>
        <v>900</v>
      </c>
      <c r="H19" s="34" t="n">
        <v>3.6314</v>
      </c>
      <c r="I19" s="35" t="n">
        <f aca="false">F19-D19</f>
        <v>0.1693</v>
      </c>
      <c r="J19" s="35" t="n">
        <f aca="false">H19-F19</f>
        <v>0.6409</v>
      </c>
      <c r="K19" s="35" t="n">
        <f aca="false">J19+I19</f>
        <v>0.8102</v>
      </c>
      <c r="L19" s="36" t="n">
        <v>61.2145</v>
      </c>
      <c r="M19" s="36" t="n">
        <v>1.3194</v>
      </c>
      <c r="N19" s="36" t="n">
        <v>0.8522</v>
      </c>
      <c r="O19" s="52" t="n">
        <f aca="false">(L19/$F$2)^(1/$F$3)</f>
        <v>0.414484384690936</v>
      </c>
      <c r="P19" s="53" t="n">
        <f aca="false">(M19/$G$2)^(1/$G$3)</f>
        <v>0.0127767044039608</v>
      </c>
      <c r="Q19" s="54" t="n">
        <f aca="false">(N19/$H$2)^(1/$H$3)</f>
        <v>0.00833841082159686</v>
      </c>
      <c r="R19" s="55" t="n">
        <f aca="false">O19*$K19/$I19</f>
        <v>1.98355137907027</v>
      </c>
      <c r="S19" s="53" t="n">
        <f aca="false">P19*$K19/$I19</f>
        <v>0.061144039622499</v>
      </c>
      <c r="T19" s="54" t="n">
        <f aca="false">Q19*$K19/$I19</f>
        <v>0.0399041963830939</v>
      </c>
      <c r="U19" s="2" t="n">
        <v>98.6729</v>
      </c>
      <c r="V19" s="2"/>
      <c r="W19" s="51" t="n">
        <f aca="false">AVERAGE(R19:R20)/100</f>
        <v>0.0175578550060032</v>
      </c>
      <c r="X19" s="0" t="n">
        <f aca="false">AVERAGE(S19:S20)/100</f>
        <v>0.00052815289434853</v>
      </c>
      <c r="Y19" s="1" t="n">
        <f aca="false">AVERAGE(T19:T20)/100</f>
        <v>0.000341643649535169</v>
      </c>
      <c r="Z19" s="33" t="n">
        <f aca="false">AVERAGE(U19:V20)/100</f>
        <v>0.983951</v>
      </c>
      <c r="AA19" s="2" t="n">
        <f aca="false">SUM(W19:Z19)</f>
        <v>1.00237865154989</v>
      </c>
      <c r="AD19" s="0" t="n">
        <v>0.0163372245924629</v>
      </c>
      <c r="AE19" s="0" t="n">
        <v>0.00049143545445506</v>
      </c>
      <c r="AF19" s="0" t="n">
        <v>0.000317892420864414</v>
      </c>
      <c r="AG19" s="0" t="n">
        <v>0.982853447532218</v>
      </c>
    </row>
    <row r="20" customFormat="false" ht="14.25" hidden="false" customHeight="true" outlineLevel="0" collapsed="false">
      <c r="A20" s="18"/>
      <c r="B20" s="34" t="s">
        <v>33</v>
      </c>
      <c r="C20" s="34" t="n">
        <v>16</v>
      </c>
      <c r="D20" s="34" t="n">
        <v>2.8023</v>
      </c>
      <c r="E20" s="34" t="n">
        <v>100</v>
      </c>
      <c r="F20" s="34" t="n">
        <v>3.014</v>
      </c>
      <c r="G20" s="30" t="n">
        <f aca="false">1000-E20</f>
        <v>900</v>
      </c>
      <c r="H20" s="34" t="n">
        <v>3.6551</v>
      </c>
      <c r="I20" s="35" t="n">
        <f aca="false">F20-D20</f>
        <v>0.2117</v>
      </c>
      <c r="J20" s="35" t="n">
        <f aca="false">H20-F20</f>
        <v>0.6411</v>
      </c>
      <c r="K20" s="35" t="n">
        <f aca="false">J20+I20</f>
        <v>0.8528</v>
      </c>
      <c r="L20" s="36" t="n">
        <v>55.7643</v>
      </c>
      <c r="M20" s="36" t="n">
        <v>1.129</v>
      </c>
      <c r="N20" s="36" t="n">
        <v>0.7133</v>
      </c>
      <c r="O20" s="52" t="n">
        <f aca="false">(L20/$F$2)^(1/$F$3)</f>
        <v>0.379317253758209</v>
      </c>
      <c r="P20" s="53" t="n">
        <f aca="false">(M20/$G$2)^(1/$G$3)</f>
        <v>0.011043386912094</v>
      </c>
      <c r="Q20" s="54" t="n">
        <f aca="false">(N20/$H$2)^(1/$H$3)</f>
        <v>0.00705613713299495</v>
      </c>
      <c r="R20" s="55" t="n">
        <f aca="false">O20*$K20/$I20</f>
        <v>1.52801962213038</v>
      </c>
      <c r="S20" s="53" t="n">
        <f aca="false">P20*$K20/$I20</f>
        <v>0.0444865392472071</v>
      </c>
      <c r="T20" s="54" t="n">
        <f aca="false">Q20*$K20/$I20</f>
        <v>0.02842453352394</v>
      </c>
      <c r="U20" s="2" t="n">
        <v>98.1173</v>
      </c>
      <c r="V20" s="2"/>
      <c r="W20" s="51"/>
      <c r="Z20" s="33"/>
      <c r="AA20" s="2"/>
    </row>
    <row r="21" customFormat="false" ht="14.25" hidden="false" customHeight="true" outlineLevel="0" collapsed="false">
      <c r="A21" s="18" t="s">
        <v>67</v>
      </c>
      <c r="B21" s="19" t="s">
        <v>32</v>
      </c>
      <c r="C21" s="20" t="n">
        <v>17</v>
      </c>
      <c r="D21" s="19" t="n">
        <v>2.8164</v>
      </c>
      <c r="E21" s="19" t="n">
        <v>300</v>
      </c>
      <c r="F21" s="20" t="n">
        <v>3.0017</v>
      </c>
      <c r="G21" s="19" t="n">
        <f aca="false">1000-E21</f>
        <v>700</v>
      </c>
      <c r="H21" s="20" t="n">
        <v>3.6024</v>
      </c>
      <c r="I21" s="22" t="n">
        <f aca="false">F21-D21</f>
        <v>0.1853</v>
      </c>
      <c r="J21" s="22" t="n">
        <f aca="false">H21-F21</f>
        <v>0.6007</v>
      </c>
      <c r="K21" s="22" t="n">
        <f aca="false">J21+I21</f>
        <v>0.786</v>
      </c>
      <c r="L21" s="23" t="n">
        <v>1179.6356</v>
      </c>
      <c r="M21" s="23" t="n">
        <v>1348.6819</v>
      </c>
      <c r="N21" s="23" t="n">
        <v>1337.4612</v>
      </c>
      <c r="O21" s="24" t="n">
        <f aca="false">(L21/$F$2)^(1/$F$3)</f>
        <v>6.90535289922092</v>
      </c>
      <c r="P21" s="47" t="n">
        <f aca="false">(M21/$G$2)^(1/$G$3)</f>
        <v>8.35250568149966</v>
      </c>
      <c r="Q21" s="26" t="n">
        <f aca="false">(N21/$H$2)^(1/$H$3)</f>
        <v>8.32233013120606</v>
      </c>
      <c r="R21" s="25" t="n">
        <f aca="false">O21*$K21/$I21</f>
        <v>29.2909194753785</v>
      </c>
      <c r="S21" s="47" t="n">
        <f aca="false">P21*$K21/$I21</f>
        <v>35.4294088810508</v>
      </c>
      <c r="T21" s="26" t="n">
        <f aca="false">Q21*$K21/$I21</f>
        <v>35.3014111339879</v>
      </c>
      <c r="U21" s="27" t="n">
        <v>2.8273</v>
      </c>
      <c r="V21" s="27"/>
      <c r="W21" s="56" t="n">
        <f aca="false">AVERAGE(R21:R22)/100</f>
        <v>0.306262564152774</v>
      </c>
      <c r="X21" s="57" t="n">
        <f aca="false">AVERAGE(S21:S22)/100</f>
        <v>0.369900464574574</v>
      </c>
      <c r="Y21" s="57" t="n">
        <f aca="false">AVERAGE(T21:T22)/100</f>
        <v>0.368463933500291</v>
      </c>
      <c r="Z21" s="29" t="n">
        <f aca="false">AVERAGE(U21:V22)/100</f>
        <v>0.027996</v>
      </c>
      <c r="AA21" s="2" t="n">
        <f aca="false">SUM(W21:Z21)</f>
        <v>1.07262296222764</v>
      </c>
      <c r="AD21" s="0" t="n">
        <v>0.284971045330804</v>
      </c>
      <c r="AE21" s="0" t="n">
        <v>0.344184808710686</v>
      </c>
      <c r="AF21" s="0" t="n">
        <v>0.34284814595851</v>
      </c>
      <c r="AG21" s="0" t="n">
        <v>0.027996</v>
      </c>
    </row>
    <row r="22" customFormat="false" ht="14.25" hidden="false" customHeight="true" outlineLevel="0" collapsed="false">
      <c r="A22" s="18"/>
      <c r="B22" s="20" t="s">
        <v>32</v>
      </c>
      <c r="C22" s="20" t="n">
        <v>18</v>
      </c>
      <c r="D22" s="20" t="n">
        <v>2.8171</v>
      </c>
      <c r="E22" s="20" t="n">
        <v>300</v>
      </c>
      <c r="F22" s="20" t="n">
        <v>3.0021</v>
      </c>
      <c r="G22" s="19" t="n">
        <f aca="false">1000-E22</f>
        <v>700</v>
      </c>
      <c r="H22" s="20" t="n">
        <v>3.6464</v>
      </c>
      <c r="I22" s="22" t="n">
        <f aca="false">F22-D22</f>
        <v>0.185</v>
      </c>
      <c r="J22" s="22" t="n">
        <f aca="false">H22-F22</f>
        <v>0.6443</v>
      </c>
      <c r="K22" s="22" t="n">
        <f aca="false">J22+I22</f>
        <v>0.8293</v>
      </c>
      <c r="L22" s="23" t="n">
        <v>1220.0282</v>
      </c>
      <c r="M22" s="23" t="n">
        <v>1391.4222</v>
      </c>
      <c r="N22" s="23" t="n">
        <v>1378.9418</v>
      </c>
      <c r="O22" s="24" t="n">
        <f aca="false">(L22/$F$2)^(1/$F$3)</f>
        <v>7.12998284180346</v>
      </c>
      <c r="P22" s="47" t="n">
        <f aca="false">(M22/$G$2)^(1/$G$3)</f>
        <v>8.59987525173621</v>
      </c>
      <c r="Q22" s="26" t="n">
        <f aca="false">(N22/$H$2)^(1/$H$3)</f>
        <v>8.56433676561316</v>
      </c>
      <c r="R22" s="25" t="n">
        <f aca="false">O22*$K22/$I22</f>
        <v>31.9615933551763</v>
      </c>
      <c r="S22" s="47" t="n">
        <f aca="false">P22*$K22/$I22</f>
        <v>38.550684033864</v>
      </c>
      <c r="T22" s="26" t="n">
        <f aca="false">Q22*$K22/$I22</f>
        <v>38.3913755660702</v>
      </c>
      <c r="U22" s="27" t="n">
        <v>2.7719</v>
      </c>
      <c r="V22" s="27"/>
      <c r="W22" s="51"/>
      <c r="Z22" s="33"/>
      <c r="AA22" s="2"/>
    </row>
    <row r="23" customFormat="false" ht="14.25" hidden="false" customHeight="true" outlineLevel="0" collapsed="false">
      <c r="A23" s="18"/>
      <c r="B23" s="34" t="s">
        <v>33</v>
      </c>
      <c r="C23" s="34" t="n">
        <v>19</v>
      </c>
      <c r="D23" s="34" t="n">
        <v>2.8014</v>
      </c>
      <c r="E23" s="34" t="n">
        <v>100</v>
      </c>
      <c r="F23" s="34" t="n">
        <v>3.0245</v>
      </c>
      <c r="G23" s="30" t="n">
        <f aca="false">1000-E23</f>
        <v>900</v>
      </c>
      <c r="H23" s="34" t="n">
        <v>3.6706</v>
      </c>
      <c r="I23" s="35" t="n">
        <f aca="false">F23-D23</f>
        <v>0.2231</v>
      </c>
      <c r="J23" s="35" t="n">
        <f aca="false">H23-F23</f>
        <v>0.6461</v>
      </c>
      <c r="K23" s="35" t="n">
        <f aca="false">J23+I23</f>
        <v>0.8692</v>
      </c>
      <c r="L23" s="36" t="n">
        <v>31.3648</v>
      </c>
      <c r="M23" s="36" t="n">
        <v>11.8566</v>
      </c>
      <c r="N23" s="36" t="n">
        <v>10.9413</v>
      </c>
      <c r="O23" s="52" t="n">
        <f aca="false">(L23/$F$2)^(1/$F$3)</f>
        <v>0.219474690402427</v>
      </c>
      <c r="P23" s="53" t="n">
        <f aca="false">(M23/$G$2)^(1/$G$3)</f>
        <v>0.0996529080080981</v>
      </c>
      <c r="Q23" s="54" t="n">
        <f aca="false">(N23/$H$2)^(1/$H$3)</f>
        <v>0.091500268226276</v>
      </c>
      <c r="R23" s="55" t="n">
        <f aca="false">O23*$K23/$I23</f>
        <v>0.855075754808557</v>
      </c>
      <c r="S23" s="53" t="n">
        <f aca="false">P23*$K23/$I23</f>
        <v>0.388248801616489</v>
      </c>
      <c r="T23" s="54" t="n">
        <f aca="false">Q23*$K23/$I23</f>
        <v>0.356486029324424</v>
      </c>
      <c r="U23" s="2" t="n">
        <v>97.482</v>
      </c>
      <c r="V23" s="2" t="n">
        <v>100.2932</v>
      </c>
      <c r="W23" s="51" t="n">
        <f aca="false">AVERAGE(R23:R24)/100</f>
        <v>0.00769281793172293</v>
      </c>
      <c r="X23" s="0" t="n">
        <f aca="false">AVERAGE(S23:S24)/100</f>
        <v>0.00341684273974584</v>
      </c>
      <c r="Y23" s="1" t="n">
        <f aca="false">AVERAGE(T23:T24)/100</f>
        <v>0.00312917902045536</v>
      </c>
      <c r="Z23" s="33" t="n">
        <f aca="false">AVERAGE(U23:V24)/100</f>
        <v>0.985854</v>
      </c>
      <c r="AA23" s="2" t="n">
        <f aca="false">SUM(W23:Z23)</f>
        <v>1.00009283969192</v>
      </c>
      <c r="AD23" s="0" t="n">
        <v>0.0071580095778506</v>
      </c>
      <c r="AE23" s="0" t="n">
        <v>0.00317930221073518</v>
      </c>
      <c r="AF23" s="0" t="n">
        <v>0.00291163700974424</v>
      </c>
      <c r="AG23" s="0" t="n">
        <v>0.98675105120167</v>
      </c>
    </row>
    <row r="24" customFormat="false" ht="14.25" hidden="false" customHeight="true" outlineLevel="0" collapsed="false">
      <c r="A24" s="18"/>
      <c r="B24" s="34" t="s">
        <v>33</v>
      </c>
      <c r="C24" s="34" t="n">
        <v>20</v>
      </c>
      <c r="D24" s="34" t="n">
        <v>2.7188</v>
      </c>
      <c r="E24" s="34" t="n">
        <v>100</v>
      </c>
      <c r="F24" s="34" t="n">
        <v>3.0307</v>
      </c>
      <c r="G24" s="30" t="n">
        <f aca="false">1000-E24</f>
        <v>900</v>
      </c>
      <c r="H24" s="34" t="n">
        <v>3.6734</v>
      </c>
      <c r="I24" s="35" t="n">
        <f aca="false">F24-D24</f>
        <v>0.3119</v>
      </c>
      <c r="J24" s="35" t="n">
        <f aca="false">H24-F24</f>
        <v>0.6427</v>
      </c>
      <c r="K24" s="35" t="n">
        <f aca="false">J24+I24</f>
        <v>0.9546</v>
      </c>
      <c r="L24" s="36" t="n">
        <v>31.9428</v>
      </c>
      <c r="M24" s="36" t="n">
        <v>11.4466</v>
      </c>
      <c r="N24" s="36" t="n">
        <v>10.4966</v>
      </c>
      <c r="O24" s="58" t="n">
        <f aca="false">(L24/$F$2)^(1/$F$3)</f>
        <v>0.223318515248363</v>
      </c>
      <c r="P24" s="59" t="n">
        <f aca="false">(M24/$G$2)^(1/$G$3)</f>
        <v>0.0964255697477082</v>
      </c>
      <c r="Q24" s="60" t="n">
        <f aca="false">(N24/$H$2)^(1/$H$3)</f>
        <v>0.0880056513196287</v>
      </c>
      <c r="R24" s="55" t="n">
        <f aca="false">O24*$K24/$I24</f>
        <v>0.683487831536028</v>
      </c>
      <c r="S24" s="53" t="n">
        <f aca="false">P24*$K24/$I24</f>
        <v>0.295119746332678</v>
      </c>
      <c r="T24" s="54" t="n">
        <f aca="false">Q24*$K24/$I24</f>
        <v>0.269349774766648</v>
      </c>
      <c r="U24" s="42" t="n">
        <v>97.981</v>
      </c>
      <c r="V24" s="42"/>
      <c r="W24" s="61"/>
      <c r="X24" s="62"/>
      <c r="Y24" s="62"/>
      <c r="Z24" s="44"/>
      <c r="AA24" s="2"/>
    </row>
    <row r="25" customFormat="false" ht="14.25" hidden="false" customHeight="true" outlineLevel="0" collapsed="false">
      <c r="A25" s="45" t="s">
        <v>38</v>
      </c>
      <c r="B25" s="1" t="s">
        <v>32</v>
      </c>
      <c r="C25" s="1" t="n">
        <v>1</v>
      </c>
      <c r="D25" s="1" t="n">
        <v>2.8209</v>
      </c>
      <c r="F25" s="1" t="n">
        <v>3.0963</v>
      </c>
      <c r="G25" s="2" t="n">
        <f aca="false">1000-E25</f>
        <v>1000</v>
      </c>
      <c r="H25" s="1" t="n">
        <v>3.5769</v>
      </c>
      <c r="I25" s="1" t="n">
        <f aca="false">F25-D25</f>
        <v>0.2754</v>
      </c>
      <c r="J25" s="1" t="n">
        <f aca="false">H25-F25</f>
        <v>0.4806</v>
      </c>
      <c r="K25" s="1" t="n">
        <f aca="false">J25+I25</f>
        <v>0.756</v>
      </c>
      <c r="M25" s="1" t="n">
        <v>3013.61</v>
      </c>
      <c r="N25" s="1" t="n">
        <v>2979.82</v>
      </c>
      <c r="P25" s="1" t="n">
        <f aca="false">(M25/$G$2)^(1/$G$3)</f>
        <v>17.7202563855404</v>
      </c>
      <c r="Q25" s="1" t="n">
        <f aca="false">(N25/$H$2)^(1/$H$3)</f>
        <v>17.6503380489262</v>
      </c>
      <c r="S25" s="1" t="n">
        <f aca="false">P25*$K25/$I25</f>
        <v>48.6438410583463</v>
      </c>
      <c r="T25" s="1" t="n">
        <f aca="false">Q25*$K25/$I25</f>
        <v>48.4519083696013</v>
      </c>
      <c r="U25" s="1" t="n">
        <v>0.9213</v>
      </c>
      <c r="X25" s="1" t="n">
        <f aca="false">AVERAGE(S25:S26)/100</f>
        <v>0.486722806664988</v>
      </c>
      <c r="Y25" s="1" t="n">
        <f aca="false">AVERAGE(T25:T26)/100</f>
        <v>0.485306058479608</v>
      </c>
      <c r="Z25" s="1" t="n">
        <f aca="false">AVERAGE(U25:V26)/100</f>
        <v>0.0092335</v>
      </c>
      <c r="AA25" s="1" t="n">
        <f aca="false">SUM(W25:Z25)</f>
        <v>0.981262365144596</v>
      </c>
      <c r="AE25" s="1" t="n">
        <f aca="false">IFERROR(X25/$AA25,"")</f>
        <v>0.496016991942075</v>
      </c>
      <c r="AF25" s="1" t="n">
        <f aca="false">IFERROR(Y25/$AA25,"")</f>
        <v>0.49457319032927</v>
      </c>
      <c r="AG25" s="1" t="n">
        <f aca="false">IFERROR(Z25/$AA25,"")</f>
        <v>0.00940981772865545</v>
      </c>
    </row>
    <row r="26" customFormat="false" ht="14.25" hidden="false" customHeight="true" outlineLevel="0" collapsed="false">
      <c r="A26" s="45"/>
      <c r="B26" s="1" t="s">
        <v>32</v>
      </c>
      <c r="C26" s="1" t="n">
        <v>2</v>
      </c>
      <c r="D26" s="1" t="n">
        <v>2.7648</v>
      </c>
      <c r="F26" s="1" t="n">
        <v>3.0455</v>
      </c>
      <c r="G26" s="2" t="n">
        <f aca="false">1000-E26</f>
        <v>1000</v>
      </c>
      <c r="H26" s="1" t="n">
        <v>3.521</v>
      </c>
      <c r="I26" s="1" t="n">
        <f aca="false">F26-D26</f>
        <v>0.2807</v>
      </c>
      <c r="J26" s="1" t="n">
        <f aca="false">H26-F26</f>
        <v>0.4755</v>
      </c>
      <c r="K26" s="1" t="n">
        <f aca="false">J26+I26</f>
        <v>0.7562</v>
      </c>
      <c r="M26" s="1" t="n">
        <v>3078.62</v>
      </c>
      <c r="N26" s="1" t="n">
        <v>3050.63</v>
      </c>
      <c r="P26" s="1" t="n">
        <f aca="false">(M26/$G$2)^(1/$G$3)</f>
        <v>18.0776146272079</v>
      </c>
      <c r="Q26" s="1" t="n">
        <f aca="false">(N26/$H$2)^(1/$H$3)</f>
        <v>18.0436808300689</v>
      </c>
      <c r="S26" s="1" t="n">
        <f aca="false">P26*$K26/$I26</f>
        <v>48.7007202746514</v>
      </c>
      <c r="T26" s="1" t="n">
        <f aca="false">Q26*$K26/$I26</f>
        <v>48.6093033263204</v>
      </c>
      <c r="U26" s="1" t="n">
        <v>0.9254</v>
      </c>
    </row>
    <row r="27" customFormat="false" ht="14.25" hidden="false" customHeight="true" outlineLevel="0" collapsed="false">
      <c r="A27" s="45"/>
      <c r="B27" s="1" t="s">
        <v>33</v>
      </c>
      <c r="C27" s="1" t="n">
        <v>3</v>
      </c>
      <c r="D27" s="1" t="n">
        <v>2.7676</v>
      </c>
      <c r="F27" s="1" t="n">
        <v>3.2654</v>
      </c>
      <c r="G27" s="2" t="n">
        <f aca="false">1000-E27</f>
        <v>1000</v>
      </c>
      <c r="H27" s="1" t="n">
        <v>4.1525</v>
      </c>
      <c r="I27" s="1" t="n">
        <f aca="false">F27-D27</f>
        <v>0.4978</v>
      </c>
      <c r="J27" s="1" t="n">
        <f aca="false">H27-F27</f>
        <v>0.8871</v>
      </c>
      <c r="K27" s="1" t="n">
        <f aca="false">J27+I27</f>
        <v>1.3849</v>
      </c>
      <c r="M27" s="1" t="n">
        <v>7.67</v>
      </c>
      <c r="N27" s="1" t="n">
        <v>4.01</v>
      </c>
      <c r="P27" s="1" t="n">
        <f aca="false">(M27/$G$2)^(1/$G$3)</f>
        <v>0.0663021442115561</v>
      </c>
      <c r="Q27" s="1" t="n">
        <f aca="false">(N27/$H$2)^(1/$H$3)</f>
        <v>0.0356707822163643</v>
      </c>
      <c r="S27" s="1" t="n">
        <f aca="false">P27*$K27/$I27</f>
        <v>0.184455282279196</v>
      </c>
      <c r="T27" s="1" t="n">
        <f aca="false">Q27*$K27/$I27</f>
        <v>0.0992375779257591</v>
      </c>
      <c r="X27" s="1" t="n">
        <f aca="false">AVERAGE(S27:S28)/100</f>
        <v>0.00854353427846911</v>
      </c>
      <c r="Y27" s="1" t="n">
        <f aca="false">AVERAGE(T27:T28)/100</f>
        <v>0.00749114702681185</v>
      </c>
      <c r="Z27" s="1" t="e">
        <f aca="false">AVERAGE(U27:V28)/100</f>
        <v>#DIV/0!</v>
      </c>
      <c r="AA27" s="1" t="e">
        <f aca="false">SUM(W27:Z27)</f>
        <v>#DIV/0!</v>
      </c>
      <c r="AE27" s="1" t="str">
        <f aca="false">IFERROR(X27/$AA27,"")</f>
        <v/>
      </c>
      <c r="AF27" s="1" t="str">
        <f aca="false">IFERROR(Y27/$AA27,"")</f>
        <v/>
      </c>
      <c r="AG27" s="1" t="str">
        <f aca="false">IFERROR(Z27/$AA27,"")</f>
        <v/>
      </c>
    </row>
    <row r="28" customFormat="false" ht="14.25" hidden="false" customHeight="true" outlineLevel="0" collapsed="false">
      <c r="A28" s="45"/>
      <c r="B28" s="1" t="s">
        <v>33</v>
      </c>
      <c r="C28" s="1" t="n">
        <v>4</v>
      </c>
      <c r="D28" s="1" t="n">
        <v>2.7845</v>
      </c>
      <c r="F28" s="1" t="n">
        <v>3.0029</v>
      </c>
      <c r="G28" s="2" t="n">
        <f aca="false">1000-E28</f>
        <v>1000</v>
      </c>
      <c r="H28" s="1" t="n">
        <v>3.4868</v>
      </c>
      <c r="I28" s="1" t="n">
        <f aca="false">F28-D28</f>
        <v>0.2184</v>
      </c>
      <c r="J28" s="1" t="n">
        <f aca="false">H28-F28</f>
        <v>0.4839</v>
      </c>
      <c r="K28" s="1" t="n">
        <f aca="false">J28+I28</f>
        <v>0.7023</v>
      </c>
      <c r="M28" s="1" t="n">
        <v>62.8</v>
      </c>
      <c r="N28" s="1" t="n">
        <v>57.62</v>
      </c>
      <c r="P28" s="1" t="n">
        <f aca="false">(M28/$G$2)^(1/$G$3)</f>
        <v>0.47400903265521</v>
      </c>
      <c r="Q28" s="1" t="n">
        <f aca="false">(N28/$H$2)^(1/$H$3)</f>
        <v>0.435055980509975</v>
      </c>
      <c r="S28" s="1" t="n">
        <f aca="false">P28*$K28/$I28</f>
        <v>1.52425157341462</v>
      </c>
      <c r="T28" s="1" t="n">
        <f aca="false">Q28*$K28/$I28</f>
        <v>1.39899182743661</v>
      </c>
    </row>
  </sheetData>
  <mergeCells count="9">
    <mergeCell ref="O3:Q3"/>
    <mergeCell ref="R3:T3"/>
    <mergeCell ref="U3:V3"/>
    <mergeCell ref="A5:A8"/>
    <mergeCell ref="A9:A12"/>
    <mergeCell ref="A13:A16"/>
    <mergeCell ref="A17:A20"/>
    <mergeCell ref="A21:A24"/>
    <mergeCell ref="A25:A2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AG28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U27" activeCellId="0" sqref="U27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4" min="4" style="1" width="8.34"/>
    <col collapsed="false" customWidth="true" hidden="false" outlineLevel="0" max="5" min="5" style="1" width="10.53"/>
    <col collapsed="false" customWidth="true" hidden="false" outlineLevel="0" max="6" min="6" style="1" width="13.6"/>
    <col collapsed="false" customWidth="true" hidden="false" outlineLevel="0" max="7" min="7" style="2" width="10.66"/>
    <col collapsed="false" customWidth="true" hidden="false" outlineLevel="0" max="8" min="8" style="1" width="12.73"/>
    <col collapsed="false" customWidth="true" hidden="false" outlineLevel="0" max="13" min="12" style="1" width="10.47"/>
    <col collapsed="false" customWidth="true" hidden="false" outlineLevel="0" max="14" min="14" style="1" width="12.61"/>
    <col collapsed="false" customWidth="true" hidden="false" outlineLevel="0" max="16" min="15" style="1" width="11.12"/>
    <col collapsed="false" customWidth="true" hidden="false" outlineLevel="0" max="17" min="17" style="1" width="13.67"/>
    <col collapsed="false" customWidth="true" hidden="false" outlineLevel="0" max="19" min="18" style="1" width="11.12"/>
    <col collapsed="false" customWidth="true" hidden="false" outlineLevel="0" max="20" min="20" style="1" width="13.67"/>
    <col collapsed="false" customWidth="true" hidden="false" outlineLevel="0" max="22" min="21" style="1" width="9.53"/>
  </cols>
  <sheetData>
    <row r="1" customFormat="false" ht="26.25" hidden="false" customHeight="true" outlineLevel="0" collapsed="false">
      <c r="F1" s="3" t="s">
        <v>0</v>
      </c>
      <c r="G1" s="3" t="s">
        <v>69</v>
      </c>
    </row>
    <row r="2" customFormat="false" ht="14.25" hidden="false" customHeight="true" outlineLevel="0" collapsed="false">
      <c r="E2" s="1" t="s">
        <v>2</v>
      </c>
      <c r="F2" s="1" t="n">
        <v>154.574631</v>
      </c>
      <c r="G2" s="2" t="n">
        <v>139.485507</v>
      </c>
      <c r="H2" s="4" t="n">
        <v>162.845817</v>
      </c>
    </row>
    <row r="3" customFormat="false" ht="14.25" hidden="false" customHeight="true" outlineLevel="0" collapsed="false">
      <c r="E3" s="1" t="s">
        <v>3</v>
      </c>
      <c r="F3" s="1" t="n">
        <v>1.05174512</v>
      </c>
      <c r="G3" s="2" t="n">
        <v>1.06895477</v>
      </c>
      <c r="H3" s="1" t="n">
        <v>1.02796306</v>
      </c>
      <c r="M3" s="1" t="s">
        <v>70</v>
      </c>
      <c r="N3" s="1" t="s">
        <v>48</v>
      </c>
      <c r="O3" s="5" t="s">
        <v>6</v>
      </c>
      <c r="P3" s="5"/>
      <c r="Q3" s="5"/>
      <c r="R3" s="6" t="s">
        <v>7</v>
      </c>
      <c r="S3" s="6"/>
      <c r="T3" s="6"/>
      <c r="U3" s="7" t="s">
        <v>8</v>
      </c>
      <c r="V3" s="7"/>
    </row>
    <row r="4" customFormat="false" ht="14.25" hidden="false" customHeight="true" outlineLevel="0" collapsed="false">
      <c r="A4" s="8" t="s">
        <v>9</v>
      </c>
      <c r="B4" s="8" t="s">
        <v>10</v>
      </c>
      <c r="C4" s="8" t="s">
        <v>11</v>
      </c>
      <c r="D4" s="8" t="s">
        <v>12</v>
      </c>
      <c r="E4" s="8" t="s">
        <v>13</v>
      </c>
      <c r="F4" s="8" t="s">
        <v>14</v>
      </c>
      <c r="G4" s="8" t="s">
        <v>15</v>
      </c>
      <c r="H4" s="8" t="s">
        <v>16</v>
      </c>
      <c r="I4" s="9" t="s">
        <v>17</v>
      </c>
      <c r="J4" s="9" t="s">
        <v>18</v>
      </c>
      <c r="K4" s="9" t="s">
        <v>19</v>
      </c>
      <c r="L4" s="9" t="s">
        <v>20</v>
      </c>
      <c r="M4" s="10" t="s">
        <v>41</v>
      </c>
      <c r="N4" s="11" t="s">
        <v>22</v>
      </c>
      <c r="O4" s="12" t="s">
        <v>23</v>
      </c>
      <c r="P4" s="13" t="s">
        <v>24</v>
      </c>
      <c r="Q4" s="14" t="s">
        <v>25</v>
      </c>
      <c r="R4" s="12" t="s">
        <v>23</v>
      </c>
      <c r="S4" s="13" t="s">
        <v>24</v>
      </c>
      <c r="T4" s="14" t="s">
        <v>25</v>
      </c>
      <c r="U4" s="15" t="n">
        <v>1</v>
      </c>
      <c r="V4" s="15" t="n">
        <v>2</v>
      </c>
      <c r="W4" s="16" t="s">
        <v>26</v>
      </c>
      <c r="X4" s="15" t="s">
        <v>27</v>
      </c>
      <c r="Y4" s="15" t="s">
        <v>28</v>
      </c>
      <c r="Z4" s="17" t="s">
        <v>29</v>
      </c>
    </row>
    <row r="5" customFormat="false" ht="14.25" hidden="false" customHeight="true" outlineLevel="0" collapsed="false">
      <c r="A5" s="18" t="s">
        <v>63</v>
      </c>
      <c r="B5" s="19" t="s">
        <v>32</v>
      </c>
      <c r="C5" s="20" t="n">
        <v>1</v>
      </c>
      <c r="D5" s="21" t="n">
        <v>2.8704</v>
      </c>
      <c r="E5" s="19" t="n">
        <v>300</v>
      </c>
      <c r="F5" s="20" t="n">
        <v>3.0503</v>
      </c>
      <c r="G5" s="19" t="n">
        <f aca="false">1000-E5</f>
        <v>700</v>
      </c>
      <c r="H5" s="20" t="n">
        <v>3.6857</v>
      </c>
      <c r="I5" s="22" t="n">
        <f aca="false">F5-D5</f>
        <v>0.1799</v>
      </c>
      <c r="J5" s="22" t="n">
        <f aca="false">H5-F5</f>
        <v>0.6354</v>
      </c>
      <c r="K5" s="22" t="n">
        <f aca="false">J5+I5</f>
        <v>0.8153</v>
      </c>
      <c r="L5" s="23" t="n">
        <v>151.7169</v>
      </c>
      <c r="M5" s="23" t="n">
        <v>1534.5357</v>
      </c>
      <c r="N5" s="23" t="n">
        <v>1600.5344</v>
      </c>
      <c r="O5" s="24" t="n">
        <f aca="false">(L5/$F$2)^(1/$F$3)</f>
        <v>0.982413825463908</v>
      </c>
      <c r="P5" s="47" t="n">
        <f aca="false">(M5/$G$2)^(1/$G$3)</f>
        <v>9.42469964230678</v>
      </c>
      <c r="Q5" s="26" t="n">
        <f aca="false">(N5/$H$2)^(1/$H$3)</f>
        <v>9.23613646576944</v>
      </c>
      <c r="R5" s="25" t="n">
        <f aca="false">O5*$K5/$I5</f>
        <v>4.45226232296123</v>
      </c>
      <c r="S5" s="47" t="n">
        <f aca="false">P5*$K5/$I5</f>
        <v>42.7123825368133</v>
      </c>
      <c r="T5" s="26" t="n">
        <f aca="false">Q5*$K5/$I5</f>
        <v>41.8578213482036</v>
      </c>
      <c r="U5" s="27" t="n">
        <v>1.9283</v>
      </c>
      <c r="V5" s="27"/>
      <c r="W5" s="48" t="n">
        <f aca="false">AVERAGE(R5:R6)/100</f>
        <v>0.0521851489057713</v>
      </c>
      <c r="X5" s="49" t="n">
        <f aca="false">AVERAGE(S5:S6)/100</f>
        <v>0.498542557715458</v>
      </c>
      <c r="Y5" s="49" t="n">
        <f aca="false">AVERAGE(T5:T6)/100</f>
        <v>0.494930902472923</v>
      </c>
      <c r="Z5" s="50" t="n">
        <f aca="false">AVERAGE(U5:V6)/100</f>
        <v>0.0189095</v>
      </c>
      <c r="AA5" s="2" t="n">
        <f aca="false">SUM(W5:Z5)</f>
        <v>1.06456810909415</v>
      </c>
      <c r="AD5" s="0" t="n">
        <v>0.0489627813392083</v>
      </c>
      <c r="AE5" s="0" t="n">
        <v>0.467758179358419</v>
      </c>
      <c r="AF5" s="0" t="n">
        <v>0.464369539302373</v>
      </c>
      <c r="AG5" s="0" t="n">
        <v>0.0189095</v>
      </c>
    </row>
    <row r="6" customFormat="false" ht="14.25" hidden="false" customHeight="true" outlineLevel="0" collapsed="false">
      <c r="A6" s="18"/>
      <c r="B6" s="20" t="s">
        <v>32</v>
      </c>
      <c r="C6" s="20" t="n">
        <v>2</v>
      </c>
      <c r="D6" s="20" t="n">
        <v>2.8691</v>
      </c>
      <c r="E6" s="20" t="n">
        <v>300</v>
      </c>
      <c r="F6" s="20" t="n">
        <v>3.0579</v>
      </c>
      <c r="G6" s="19" t="n">
        <f aca="false">1000-E6</f>
        <v>700</v>
      </c>
      <c r="H6" s="20" t="n">
        <v>3.6781</v>
      </c>
      <c r="I6" s="22" t="n">
        <f aca="false">F6-D6</f>
        <v>0.1888</v>
      </c>
      <c r="J6" s="22" t="n">
        <f aca="false">H6-F6</f>
        <v>0.6202</v>
      </c>
      <c r="K6" s="22" t="n">
        <f aca="false">J6+I6</f>
        <v>0.809</v>
      </c>
      <c r="L6" s="23" t="n">
        <v>219.6581</v>
      </c>
      <c r="M6" s="23" t="n">
        <v>2217.819</v>
      </c>
      <c r="N6" s="23" t="n">
        <v>2334.1976</v>
      </c>
      <c r="O6" s="24" t="n">
        <f aca="false">(L6/$F$2)^(1/$F$3)</f>
        <v>1.39669233140525</v>
      </c>
      <c r="P6" s="47" t="n">
        <f aca="false">(M6/$G$2)^(1/$G$3)</f>
        <v>13.3014451871265</v>
      </c>
      <c r="Q6" s="26" t="n">
        <f aca="false">(N6/$H$2)^(1/$H$3)</f>
        <v>13.3323043347797</v>
      </c>
      <c r="R6" s="25" t="n">
        <f aca="false">O6*$K6/$I6</f>
        <v>5.98476745819303</v>
      </c>
      <c r="S6" s="47" t="n">
        <f aca="false">P6*$K6/$I6</f>
        <v>56.9961290062783</v>
      </c>
      <c r="T6" s="26" t="n">
        <f aca="false">Q6*$K6/$I6</f>
        <v>57.128359146381</v>
      </c>
      <c r="U6" s="27" t="n">
        <v>1.8536</v>
      </c>
      <c r="V6" s="27"/>
      <c r="W6" s="51"/>
      <c r="Z6" s="33"/>
      <c r="AA6" s="2"/>
    </row>
    <row r="7" customFormat="false" ht="14.25" hidden="false" customHeight="true" outlineLevel="0" collapsed="false">
      <c r="A7" s="18"/>
      <c r="B7" s="34" t="s">
        <v>33</v>
      </c>
      <c r="C7" s="34" t="n">
        <v>3</v>
      </c>
      <c r="D7" s="34" t="n">
        <v>2.8385</v>
      </c>
      <c r="E7" s="34" t="n">
        <v>100</v>
      </c>
      <c r="F7" s="34" t="n">
        <v>3.0413</v>
      </c>
      <c r="G7" s="30" t="n">
        <f aca="false">1000-E7</f>
        <v>900</v>
      </c>
      <c r="H7" s="34" t="n">
        <v>3.6485</v>
      </c>
      <c r="I7" s="35" t="n">
        <f aca="false">F7-D7</f>
        <v>0.2028</v>
      </c>
      <c r="J7" s="35" t="n">
        <f aca="false">H7-F7</f>
        <v>0.6072</v>
      </c>
      <c r="K7" s="35" t="n">
        <f aca="false">J7+I7</f>
        <v>0.81</v>
      </c>
      <c r="L7" s="1" t="n">
        <v>5.6609</v>
      </c>
      <c r="M7" s="1" t="n">
        <v>3.3472</v>
      </c>
      <c r="N7" s="36" t="n">
        <v>2.3765</v>
      </c>
      <c r="O7" s="52" t="n">
        <f aca="false">(L7/$F$2)^(1/$F$3)</f>
        <v>0.0430933135039329</v>
      </c>
      <c r="P7" s="53" t="n">
        <f aca="false">(M7/$G$2)^(1/$G$3)</f>
        <v>0.0305241534133846</v>
      </c>
      <c r="Q7" s="54" t="n">
        <f aca="false">(N7/$H$2)^(1/$H$3)</f>
        <v>0.0163719506973378</v>
      </c>
      <c r="R7" s="55" t="n">
        <f aca="false">O7*$K7/$I7</f>
        <v>0.172118263994998</v>
      </c>
      <c r="S7" s="53" t="n">
        <f aca="false">P7*$K7/$I7</f>
        <v>0.121915997361151</v>
      </c>
      <c r="T7" s="54" t="n">
        <f aca="false">Q7*$K7/$I7</f>
        <v>0.0653909273414378</v>
      </c>
      <c r="U7" s="2" t="n">
        <v>98.5301</v>
      </c>
      <c r="V7" s="2"/>
      <c r="W7" s="51" t="n">
        <f aca="false">AVERAGE(R7:R8)/100</f>
        <v>0.0016831601075488</v>
      </c>
      <c r="X7" s="0" t="n">
        <f aca="false">AVERAGE(S7:S8)/100</f>
        <v>0.00198845952239916</v>
      </c>
      <c r="Y7" s="1" t="n">
        <f aca="false">AVERAGE(T7:T8)/100</f>
        <v>0.00132687693021176</v>
      </c>
      <c r="Z7" s="33" t="n">
        <f aca="false">AVERAGE(U7:V8)/100</f>
        <v>0.9913355</v>
      </c>
      <c r="AA7" s="2" t="n">
        <f aca="false">SUM(W7:Z7)</f>
        <v>0.99633399656016</v>
      </c>
      <c r="AD7" s="0" t="n">
        <v>0.00212151000799315</v>
      </c>
      <c r="AE7" s="0" t="n">
        <v>0.00150272261951042</v>
      </c>
      <c r="AF7" s="0" t="n">
        <v>0.000806001080692081</v>
      </c>
      <c r="AG7" s="0" t="n">
        <v>0.995569766291804</v>
      </c>
    </row>
    <row r="8" customFormat="false" ht="14.25" hidden="false" customHeight="true" outlineLevel="0" collapsed="false">
      <c r="A8" s="18"/>
      <c r="B8" s="34" t="s">
        <v>33</v>
      </c>
      <c r="C8" s="34" t="n">
        <v>4</v>
      </c>
      <c r="D8" s="34" t="n">
        <v>2.7677</v>
      </c>
      <c r="E8" s="34" t="n">
        <v>100</v>
      </c>
      <c r="F8" s="34" t="n">
        <v>2.9751</v>
      </c>
      <c r="G8" s="30" t="n">
        <f aca="false">1000-E8</f>
        <v>900</v>
      </c>
      <c r="H8" s="34" t="n">
        <v>3.6229</v>
      </c>
      <c r="I8" s="35" t="n">
        <f aca="false">F8-D8</f>
        <v>0.2074</v>
      </c>
      <c r="J8" s="35" t="n">
        <f aca="false">H8-F8</f>
        <v>0.6478</v>
      </c>
      <c r="K8" s="35" t="n">
        <f aca="false">J8+I8</f>
        <v>0.8552</v>
      </c>
      <c r="L8" s="36" t="n">
        <v>5.2202</v>
      </c>
      <c r="M8" s="36" t="n">
        <v>7.7415</v>
      </c>
      <c r="N8" s="36" t="n">
        <v>7.2571</v>
      </c>
      <c r="O8" s="52" t="n">
        <f aca="false">(L8/$F$2)^(1/$F$3)</f>
        <v>0.039897279359871</v>
      </c>
      <c r="P8" s="53" t="n">
        <f aca="false">(M8/$G$2)^(1/$G$3)</f>
        <v>0.066880172049128</v>
      </c>
      <c r="Q8" s="54" t="n">
        <f aca="false">(N8/$H$2)^(1/$H$3)</f>
        <v>0.0484995050684866</v>
      </c>
      <c r="R8" s="55" t="n">
        <f aca="false">O8*$K8/$I8</f>
        <v>0.164513757514762</v>
      </c>
      <c r="S8" s="53" t="n">
        <f aca="false">P8*$K8/$I8</f>
        <v>0.275775907118681</v>
      </c>
      <c r="T8" s="54" t="n">
        <f aca="false">Q8*$K8/$I8</f>
        <v>0.199984458700915</v>
      </c>
      <c r="U8" s="2" t="n">
        <v>99.737</v>
      </c>
      <c r="V8" s="2"/>
      <c r="W8" s="51"/>
      <c r="Z8" s="33"/>
      <c r="AA8" s="2"/>
    </row>
    <row r="9" customFormat="false" ht="14.25" hidden="false" customHeight="true" outlineLevel="0" collapsed="false">
      <c r="A9" s="18" t="s">
        <v>64</v>
      </c>
      <c r="B9" s="19" t="s">
        <v>32</v>
      </c>
      <c r="C9" s="20" t="n">
        <v>5</v>
      </c>
      <c r="D9" s="19" t="n">
        <v>2.8343</v>
      </c>
      <c r="E9" s="19" t="n">
        <v>300</v>
      </c>
      <c r="F9" s="20" t="n">
        <v>3.0339</v>
      </c>
      <c r="G9" s="19" t="n">
        <f aca="false">1000-E9</f>
        <v>700</v>
      </c>
      <c r="H9" s="20" t="n">
        <v>3.6605</v>
      </c>
      <c r="I9" s="22" t="n">
        <f aca="false">F9-D9</f>
        <v>0.1996</v>
      </c>
      <c r="J9" s="22" t="n">
        <f aca="false">H9-F9</f>
        <v>0.6266</v>
      </c>
      <c r="K9" s="22" t="n">
        <f aca="false">J9+I9</f>
        <v>0.8262</v>
      </c>
      <c r="L9" s="23" t="n">
        <v>72.5373</v>
      </c>
      <c r="M9" s="23" t="n">
        <v>0.2952</v>
      </c>
      <c r="N9" s="23" t="n">
        <v>0.2666</v>
      </c>
      <c r="O9" s="24" t="n">
        <f aca="false">(L9/$F$2)^(1/$F$3)</f>
        <v>0.48706723626616</v>
      </c>
      <c r="P9" s="47" t="n">
        <f aca="false">(M9/$G$2)^(1/$G$3)</f>
        <v>0.00314850850650347</v>
      </c>
      <c r="Q9" s="26" t="n">
        <f aca="false">(N9/$H$2)^(1/$H$3)</f>
        <v>0.00194924821559036</v>
      </c>
      <c r="R9" s="25" t="n">
        <f aca="false">O9*$K9/$I9</f>
        <v>2.0161069669494</v>
      </c>
      <c r="S9" s="47" t="n">
        <f aca="false">P9*$K9/$I9</f>
        <v>0.0130325537478615</v>
      </c>
      <c r="T9" s="26" t="n">
        <f aca="false">Q9*$K9/$I9</f>
        <v>0.00806848134128634</v>
      </c>
      <c r="U9" s="27" t="n">
        <v>99.3513</v>
      </c>
      <c r="V9" s="27"/>
      <c r="W9" s="56" t="n">
        <f aca="false">AVERAGE(R9:R10)/100</f>
        <v>0.020307085950242</v>
      </c>
      <c r="X9" s="57" t="n">
        <f aca="false">AVERAGE(S9:S10)/100</f>
        <v>9.78145453972402E-005</v>
      </c>
      <c r="Y9" s="57" t="n">
        <f aca="false">AVERAGE(T9:T10)/100</f>
        <v>4.82369744427494E-005</v>
      </c>
      <c r="Z9" s="29" t="n">
        <f aca="false">AVERAGE(U9:V10)/100</f>
        <v>0.973528666666667</v>
      </c>
      <c r="AA9" s="2" t="n">
        <f aca="false">SUM(W9:Z9)</f>
        <v>0.993981804136749</v>
      </c>
      <c r="AD9" s="0" t="n">
        <v>0.0252102595450379</v>
      </c>
      <c r="AE9" s="0" t="n">
        <v>8.04924118460484E-005</v>
      </c>
      <c r="AF9" s="0" t="n">
        <v>1.94615075386359E-005</v>
      </c>
      <c r="AG9" s="0" t="n">
        <v>0.974689786535578</v>
      </c>
    </row>
    <row r="10" customFormat="false" ht="14.25" hidden="false" customHeight="true" outlineLevel="0" collapsed="false">
      <c r="A10" s="18"/>
      <c r="B10" s="20" t="s">
        <v>32</v>
      </c>
      <c r="C10" s="20" t="n">
        <v>6</v>
      </c>
      <c r="D10" s="20" t="n">
        <v>2.7751</v>
      </c>
      <c r="E10" s="20" t="n">
        <v>300</v>
      </c>
      <c r="F10" s="20" t="n">
        <v>2.9821</v>
      </c>
      <c r="G10" s="19" t="n">
        <f aca="false">1000-E10</f>
        <v>700</v>
      </c>
      <c r="H10" s="20" t="n">
        <v>3.602</v>
      </c>
      <c r="I10" s="22" t="n">
        <f aca="false">F10-D10</f>
        <v>0.207</v>
      </c>
      <c r="J10" s="22" t="n">
        <f aca="false">H10-F10</f>
        <v>0.6199</v>
      </c>
      <c r="K10" s="22" t="n">
        <f aca="false">J10+I10</f>
        <v>0.8269</v>
      </c>
      <c r="L10" s="23" t="n">
        <v>76.4489</v>
      </c>
      <c r="M10" s="23" t="n">
        <v>0.1465</v>
      </c>
      <c r="N10" s="23" t="n">
        <v>0.0517</v>
      </c>
      <c r="O10" s="24" t="n">
        <f aca="false">(L10/$F$2)^(1/$F$3)</f>
        <v>0.512007759319741</v>
      </c>
      <c r="P10" s="47" t="n">
        <f aca="false">(M10/$G$2)^(1/$G$3)</f>
        <v>0.00163476061632411</v>
      </c>
      <c r="Q10" s="26" t="n">
        <f aca="false">(N10/$H$2)^(1/$H$3)</f>
        <v>0.00039525348202147</v>
      </c>
      <c r="R10" s="25" t="n">
        <f aca="false">O10*$K10/$I10</f>
        <v>2.04531022309901</v>
      </c>
      <c r="S10" s="47" t="n">
        <f aca="false">P10*$K10/$I10</f>
        <v>0.00653035533158653</v>
      </c>
      <c r="T10" s="26" t="n">
        <f aca="false">Q10*$K10/$I10</f>
        <v>0.00157891354726355</v>
      </c>
      <c r="U10" s="27" t="n">
        <v>96.8156</v>
      </c>
      <c r="V10" s="27" t="n">
        <v>95.8917</v>
      </c>
      <c r="W10" s="51"/>
      <c r="Z10" s="33"/>
      <c r="AA10" s="2"/>
    </row>
    <row r="11" customFormat="false" ht="14.25" hidden="false" customHeight="true" outlineLevel="0" collapsed="false">
      <c r="A11" s="18"/>
      <c r="B11" s="34" t="s">
        <v>33</v>
      </c>
      <c r="C11" s="34" t="n">
        <v>7</v>
      </c>
      <c r="D11" s="34" t="n">
        <v>2.7561</v>
      </c>
      <c r="E11" s="34" t="n">
        <v>100</v>
      </c>
      <c r="F11" s="34" t="n">
        <v>2.9572</v>
      </c>
      <c r="G11" s="30" t="n">
        <f aca="false">1000-E11</f>
        <v>900</v>
      </c>
      <c r="H11" s="34" t="n">
        <v>3.5909</v>
      </c>
      <c r="I11" s="35" t="n">
        <f aca="false">F11-D11</f>
        <v>0.2011</v>
      </c>
      <c r="J11" s="35" t="n">
        <f aca="false">H11-F11</f>
        <v>0.6337</v>
      </c>
      <c r="K11" s="35" t="n">
        <f aca="false">J11+I11</f>
        <v>0.8348</v>
      </c>
      <c r="L11" s="40" t="n">
        <v>2887.249</v>
      </c>
      <c r="M11" s="40" t="n">
        <v>57.6529</v>
      </c>
      <c r="N11" s="36" t="n">
        <v>59.9801</v>
      </c>
      <c r="O11" s="52" t="n">
        <f aca="false">(L11/$F$2)^(1/$F$3)</f>
        <v>16.1732273417496</v>
      </c>
      <c r="P11" s="53" t="n">
        <f aca="false">(M11/$G$2)^(1/$G$3)</f>
        <v>0.437566246577083</v>
      </c>
      <c r="Q11" s="54" t="n">
        <f aca="false">(N11/$H$2)^(1/$H$3)</f>
        <v>0.37846885512816</v>
      </c>
      <c r="R11" s="55" t="n">
        <f aca="false">O11*$K11/$I11</f>
        <v>67.1377930626183</v>
      </c>
      <c r="S11" s="53" t="n">
        <f aca="false">P11*$K11/$I11</f>
        <v>1.81641125133043</v>
      </c>
      <c r="T11" s="54" t="n">
        <f aca="false">Q11*$K11/$I11</f>
        <v>1.57108801721028</v>
      </c>
      <c r="U11" s="2" t="n">
        <v>7.9147</v>
      </c>
      <c r="V11" s="2"/>
      <c r="W11" s="51" t="n">
        <f aca="false">AVERAGE(R11:R12)/100</f>
        <v>0.734289333198161</v>
      </c>
      <c r="X11" s="0" t="n">
        <f aca="false">AVERAGE(S11:S12)/100</f>
        <v>0.0197154540490328</v>
      </c>
      <c r="Y11" s="1" t="n">
        <f aca="false">AVERAGE(T11:T12)/100</f>
        <v>0.0172415202162556</v>
      </c>
      <c r="Z11" s="33" t="n">
        <f aca="false">AVERAGE(U11:V12)/100</f>
        <v>0.077277</v>
      </c>
      <c r="AA11" s="2" t="n">
        <f aca="false">SUM(W11:Z11)</f>
        <v>0.84852330746345</v>
      </c>
      <c r="AD11" s="0" t="n">
        <v>0.87850748825623</v>
      </c>
      <c r="AE11" s="0" t="n">
        <v>0.023587669374155</v>
      </c>
      <c r="AF11" s="0" t="n">
        <v>0.0206278423696154</v>
      </c>
      <c r="AG11" s="0" t="n">
        <v>0.077277</v>
      </c>
    </row>
    <row r="12" customFormat="false" ht="14.25" hidden="false" customHeight="true" outlineLevel="0" collapsed="false">
      <c r="A12" s="18"/>
      <c r="B12" s="34" t="s">
        <v>33</v>
      </c>
      <c r="C12" s="34" t="n">
        <v>8</v>
      </c>
      <c r="D12" s="34" t="n">
        <v>2.8336</v>
      </c>
      <c r="E12" s="34" t="n">
        <v>100</v>
      </c>
      <c r="F12" s="34" t="n">
        <v>3.039</v>
      </c>
      <c r="G12" s="30" t="n">
        <f aca="false">1000-E12</f>
        <v>900</v>
      </c>
      <c r="H12" s="34" t="n">
        <v>3.6818</v>
      </c>
      <c r="I12" s="35" t="n">
        <f aca="false">F12-D12</f>
        <v>0.2054</v>
      </c>
      <c r="J12" s="35" t="n">
        <f aca="false">H12-F12</f>
        <v>0.6428</v>
      </c>
      <c r="K12" s="35" t="n">
        <f aca="false">J12+I12</f>
        <v>0.8482</v>
      </c>
      <c r="L12" s="36" t="n">
        <v>3478.0452</v>
      </c>
      <c r="M12" s="36" t="n">
        <v>68.6216</v>
      </c>
      <c r="N12" s="36" t="n">
        <v>72.4134</v>
      </c>
      <c r="O12" s="52" t="n">
        <f aca="false">(L12/$F$2)^(1/$F$3)</f>
        <v>19.3050024908261</v>
      </c>
      <c r="P12" s="53" t="n">
        <f aca="false">(M12/$G$2)^(1/$G$3)</f>
        <v>0.514996441064606</v>
      </c>
      <c r="Q12" s="54" t="n">
        <f aca="false">(N12/$H$2)^(1/$H$3)</f>
        <v>0.454586384990316</v>
      </c>
      <c r="R12" s="55" t="n">
        <f aca="false">O12*$K12/$I12</f>
        <v>79.7200735770139</v>
      </c>
      <c r="S12" s="53" t="n">
        <f aca="false">P12*$K12/$I12</f>
        <v>2.12667955847614</v>
      </c>
      <c r="T12" s="54" t="n">
        <f aca="false">Q12*$K12/$I12</f>
        <v>1.87721602604083</v>
      </c>
      <c r="U12" s="2" t="n">
        <v>7.6881</v>
      </c>
      <c r="V12" s="2" t="n">
        <v>7.5803</v>
      </c>
      <c r="W12" s="51"/>
      <c r="Z12" s="33"/>
      <c r="AA12" s="2"/>
    </row>
    <row r="13" customFormat="false" ht="14.25" hidden="false" customHeight="true" outlineLevel="0" collapsed="false">
      <c r="A13" s="18" t="s">
        <v>65</v>
      </c>
      <c r="B13" s="19" t="s">
        <v>32</v>
      </c>
      <c r="C13" s="20" t="n">
        <v>9</v>
      </c>
      <c r="D13" s="19" t="n">
        <v>2.7423</v>
      </c>
      <c r="E13" s="19" t="n">
        <v>300</v>
      </c>
      <c r="F13" s="20" t="n">
        <v>2.9238</v>
      </c>
      <c r="G13" s="19" t="n">
        <f aca="false">1000-E13</f>
        <v>700</v>
      </c>
      <c r="H13" s="20" t="n">
        <v>3.5571</v>
      </c>
      <c r="I13" s="22" t="n">
        <f aca="false">F13-D13</f>
        <v>0.1815</v>
      </c>
      <c r="J13" s="22" t="n">
        <f aca="false">H13-F13</f>
        <v>0.6333</v>
      </c>
      <c r="K13" s="22" t="n">
        <f aca="false">J13+I13</f>
        <v>0.8148</v>
      </c>
      <c r="L13" s="23" t="n">
        <v>1468.2026</v>
      </c>
      <c r="M13" s="23" t="n">
        <v>745.3646</v>
      </c>
      <c r="N13" s="23" t="n">
        <v>780.6242</v>
      </c>
      <c r="O13" s="24" t="n">
        <f aca="false">(L13/$F$2)^(1/$F$3)</f>
        <v>8.50253029187062</v>
      </c>
      <c r="P13" s="47" t="n">
        <f aca="false">(M13/$G$2)^(1/$G$3)</f>
        <v>4.7961098809998</v>
      </c>
      <c r="Q13" s="26" t="n">
        <f aca="false">(N13/$H$2)^(1/$H$3)</f>
        <v>4.59356294944679</v>
      </c>
      <c r="R13" s="25" t="n">
        <f aca="false">O13*$K13/$I13</f>
        <v>38.1700368144143</v>
      </c>
      <c r="S13" s="47" t="n">
        <f aca="false">P13*$K13/$I13</f>
        <v>21.5309660112322</v>
      </c>
      <c r="T13" s="26" t="n">
        <f aca="false">Q13*$K13/$I13</f>
        <v>20.6216809433016</v>
      </c>
      <c r="U13" s="27" t="n">
        <v>3.7571</v>
      </c>
      <c r="V13" s="27"/>
      <c r="W13" s="56" t="n">
        <f aca="false">AVERAGE(R13:R14)/100</f>
        <v>0.37150273860173</v>
      </c>
      <c r="X13" s="57" t="n">
        <f aca="false">AVERAGE(S13:S14)/100</f>
        <v>0.209550523433899</v>
      </c>
      <c r="Y13" s="57" t="n">
        <f aca="false">AVERAGE(T13:T14)/100</f>
        <v>0.200319888712601</v>
      </c>
      <c r="Z13" s="29" t="n">
        <f aca="false">AVERAGE(U13:V14)/100</f>
        <v>0.037473</v>
      </c>
      <c r="AA13" s="2" t="n">
        <f aca="false">SUM(W13:Z13)</f>
        <v>0.818846150748231</v>
      </c>
      <c r="AD13" s="0" t="n">
        <v>0.45763207519441</v>
      </c>
      <c r="AE13" s="0" t="n">
        <v>0.258132796700421</v>
      </c>
      <c r="AF13" s="0" t="n">
        <v>0.246762128105168</v>
      </c>
      <c r="AG13" s="0" t="n">
        <v>0.037473</v>
      </c>
    </row>
    <row r="14" customFormat="false" ht="14.25" hidden="false" customHeight="true" outlineLevel="0" collapsed="false">
      <c r="A14" s="18"/>
      <c r="B14" s="19" t="s">
        <v>32</v>
      </c>
      <c r="C14" s="20" t="n">
        <v>10</v>
      </c>
      <c r="D14" s="20" t="n">
        <v>2.7607</v>
      </c>
      <c r="E14" s="20" t="n">
        <v>300</v>
      </c>
      <c r="F14" s="20" t="n">
        <v>2.9543</v>
      </c>
      <c r="G14" s="19" t="n">
        <f aca="false">1000-E14</f>
        <v>700</v>
      </c>
      <c r="H14" s="20" t="n">
        <v>3.5735</v>
      </c>
      <c r="I14" s="22" t="n">
        <f aca="false">F14-D14</f>
        <v>0.1936</v>
      </c>
      <c r="J14" s="22" t="n">
        <f aca="false">H14-F14</f>
        <v>0.6192</v>
      </c>
      <c r="K14" s="22" t="n">
        <f aca="false">J14+I14</f>
        <v>0.8128</v>
      </c>
      <c r="L14" s="23" t="n">
        <v>1486.9799</v>
      </c>
      <c r="M14" s="23" t="n">
        <v>755</v>
      </c>
      <c r="N14" s="23" t="n">
        <v>787.1545</v>
      </c>
      <c r="O14" s="24" t="n">
        <f aca="false">(L14/$F$2)^(1/$F$3)</f>
        <v>8.60588940869635</v>
      </c>
      <c r="P14" s="47" t="n">
        <f aca="false">(M14/$G$2)^(1/$G$3)</f>
        <v>4.85408618059304</v>
      </c>
      <c r="Q14" s="26" t="n">
        <f aca="false">(N14/$H$2)^(1/$H$3)</f>
        <v>4.63094077304223</v>
      </c>
      <c r="R14" s="25" t="n">
        <f aca="false">O14*$K14/$I14</f>
        <v>36.1305109059318</v>
      </c>
      <c r="S14" s="47" t="n">
        <f aca="false">P14*$K14/$I14</f>
        <v>20.3791386755476</v>
      </c>
      <c r="T14" s="26" t="n">
        <f aca="false">Q14*$K14/$I14</f>
        <v>19.4422967992186</v>
      </c>
      <c r="U14" s="27" t="n">
        <v>3.7375</v>
      </c>
      <c r="V14" s="27"/>
      <c r="W14" s="51"/>
      <c r="Z14" s="33"/>
      <c r="AA14" s="2"/>
    </row>
    <row r="15" customFormat="false" ht="14.25" hidden="false" customHeight="true" outlineLevel="0" collapsed="false">
      <c r="A15" s="18"/>
      <c r="B15" s="34" t="s">
        <v>33</v>
      </c>
      <c r="C15" s="34" t="n">
        <v>11</v>
      </c>
      <c r="D15" s="34" t="n">
        <v>2.7382</v>
      </c>
      <c r="E15" s="34" t="n">
        <v>100</v>
      </c>
      <c r="F15" s="34" t="n">
        <v>2.9305</v>
      </c>
      <c r="G15" s="30" t="n">
        <f aca="false">1000-E15</f>
        <v>900</v>
      </c>
      <c r="H15" s="34" t="n">
        <v>3.5559</v>
      </c>
      <c r="I15" s="35" t="n">
        <f aca="false">F15-D15</f>
        <v>0.1923</v>
      </c>
      <c r="J15" s="35" t="n">
        <f aca="false">H15-F15</f>
        <v>0.6254</v>
      </c>
      <c r="K15" s="35" t="n">
        <f aca="false">J15+I15</f>
        <v>0.8177</v>
      </c>
      <c r="L15" s="36" t="n">
        <v>36.2597</v>
      </c>
      <c r="M15" s="36" t="n">
        <v>1.0571</v>
      </c>
      <c r="N15" s="41" t="n">
        <v>0.3382</v>
      </c>
      <c r="O15" s="52" t="n">
        <f aca="false">(L15/$F$2)^(1/$F$3)</f>
        <v>0.251922799941343</v>
      </c>
      <c r="P15" s="53" t="n">
        <f aca="false">(M15/$G$2)^(1/$G$3)</f>
        <v>0.0103840766168641</v>
      </c>
      <c r="Q15" s="54" t="n">
        <f aca="false">(N15/$H$2)^(1/$H$3)</f>
        <v>0.00245680241154308</v>
      </c>
      <c r="R15" s="55" t="n">
        <f aca="false">O15*$K15/$I15</f>
        <v>1.07122867140945</v>
      </c>
      <c r="S15" s="53" t="n">
        <f aca="false">P15*$K15/$I15</f>
        <v>0.0441552753489849</v>
      </c>
      <c r="T15" s="54" t="n">
        <f aca="false">Q15*$K15/$I15</f>
        <v>0.0104468399995776</v>
      </c>
      <c r="U15" s="2" t="n">
        <v>96.1251</v>
      </c>
      <c r="V15" s="2"/>
      <c r="W15" s="51" t="n">
        <f aca="false">AVERAGE(R15:R16)/100</f>
        <v>0.0106713401134174</v>
      </c>
      <c r="X15" s="0" t="n">
        <f aca="false">AVERAGE(S15:S16)/100</f>
        <v>0.00044107640298022</v>
      </c>
      <c r="Y15" s="1" t="n">
        <f aca="false">AVERAGE(T15:T16)/100</f>
        <v>0.000104069388635398</v>
      </c>
      <c r="Z15" s="33" t="n">
        <f aca="false">AVERAGE(U15:V16)/100</f>
        <v>0.961219666666667</v>
      </c>
      <c r="AA15" s="2" t="n">
        <f aca="false">SUM(W15:Z15)</f>
        <v>0.9724361525717</v>
      </c>
      <c r="AD15" s="0" t="n">
        <v>0.0131533715968525</v>
      </c>
      <c r="AE15" s="0" t="n">
        <v>0.000543665722331101</v>
      </c>
      <c r="AF15" s="0" t="n">
        <v>0.000128274736446413</v>
      </c>
      <c r="AG15" s="0" t="n">
        <v>0.98617468794437</v>
      </c>
    </row>
    <row r="16" customFormat="false" ht="14.25" hidden="false" customHeight="true" outlineLevel="0" collapsed="false">
      <c r="A16" s="18"/>
      <c r="B16" s="34" t="s">
        <v>33</v>
      </c>
      <c r="C16" s="34" t="n">
        <v>12</v>
      </c>
      <c r="D16" s="34" t="n">
        <v>2.7375</v>
      </c>
      <c r="E16" s="34" t="n">
        <v>100</v>
      </c>
      <c r="F16" s="34" t="n">
        <v>2.9323</v>
      </c>
      <c r="G16" s="30" t="n">
        <f aca="false">1000-E16</f>
        <v>900</v>
      </c>
      <c r="H16" s="34" t="n">
        <v>3.5715</v>
      </c>
      <c r="I16" s="35" t="n">
        <f aca="false">F16-D16</f>
        <v>0.1948</v>
      </c>
      <c r="J16" s="35" t="n">
        <f aca="false">H16-F16</f>
        <v>0.6392</v>
      </c>
      <c r="K16" s="35" t="n">
        <f aca="false">J16+I16</f>
        <v>0.834</v>
      </c>
      <c r="L16" s="36" t="n">
        <v>35.7111</v>
      </c>
      <c r="M16" s="36" t="n">
        <v>1.047</v>
      </c>
      <c r="N16" s="36" t="n">
        <v>0.3332</v>
      </c>
      <c r="O16" s="52" t="n">
        <f aca="false">(L16/$F$2)^(1/$F$3)</f>
        <v>0.248297440801176</v>
      </c>
      <c r="P16" s="53" t="n">
        <f aca="false">(M16/$G$2)^(1/$G$3)</f>
        <v>0.010291233839481</v>
      </c>
      <c r="Q16" s="54" t="n">
        <f aca="false">(N16/$H$2)^(1/$H$3)</f>
        <v>0.00242146156992492</v>
      </c>
      <c r="R16" s="55" t="n">
        <f aca="false">O16*$K16/$I16</f>
        <v>1.06303935127403</v>
      </c>
      <c r="S16" s="53" t="n">
        <f aca="false">P16*$K16/$I16</f>
        <v>0.044060005247059</v>
      </c>
      <c r="T16" s="54" t="n">
        <f aca="false">Q16*$K16/$I16</f>
        <v>0.010367037727502</v>
      </c>
      <c r="U16" s="2" t="n">
        <v>96.9043</v>
      </c>
      <c r="V16" s="2" t="n">
        <v>95.3365</v>
      </c>
      <c r="W16" s="51"/>
      <c r="Z16" s="33"/>
      <c r="AA16" s="2"/>
    </row>
    <row r="17" customFormat="false" ht="14.25" hidden="false" customHeight="true" outlineLevel="0" collapsed="false">
      <c r="A17" s="18" t="s">
        <v>66</v>
      </c>
      <c r="B17" s="19" t="s">
        <v>32</v>
      </c>
      <c r="C17" s="20" t="n">
        <v>13</v>
      </c>
      <c r="D17" s="19" t="n">
        <v>2.7722</v>
      </c>
      <c r="E17" s="19" t="n">
        <v>300</v>
      </c>
      <c r="F17" s="20" t="n">
        <v>2.9728</v>
      </c>
      <c r="G17" s="19" t="n">
        <f aca="false">1000-E17</f>
        <v>700</v>
      </c>
      <c r="H17" s="20" t="n">
        <v>3.5797</v>
      </c>
      <c r="I17" s="22" t="n">
        <f aca="false">F17-D17</f>
        <v>0.2006</v>
      </c>
      <c r="J17" s="22" t="n">
        <f aca="false">H17-F17</f>
        <v>0.6069</v>
      </c>
      <c r="K17" s="22" t="n">
        <f aca="false">J17+I17</f>
        <v>0.8075</v>
      </c>
      <c r="L17" s="23" t="n">
        <v>44.5326</v>
      </c>
      <c r="M17" s="23" t="n">
        <v>0.5871</v>
      </c>
      <c r="N17" s="23" t="n">
        <v>0.1766</v>
      </c>
      <c r="O17" s="24" t="n">
        <f aca="false">(L17/$F$2)^(1/$F$3)</f>
        <v>0.306288078540341</v>
      </c>
      <c r="P17" s="47" t="n">
        <f aca="false">(M17/$G$2)^(1/$G$3)</f>
        <v>0.00599017025353638</v>
      </c>
      <c r="Q17" s="26" t="n">
        <f aca="false">(N17/$H$2)^(1/$H$3)</f>
        <v>0.00130576005045756</v>
      </c>
      <c r="R17" s="25" t="n">
        <f aca="false">O17*$K17/$I17</f>
        <v>1.232939299209</v>
      </c>
      <c r="S17" s="47" t="n">
        <f aca="false">P17*$K17/$I17</f>
        <v>0.0241129734782185</v>
      </c>
      <c r="T17" s="26" t="n">
        <f aca="false">Q17*$K17/$I17</f>
        <v>0.00525623749124866</v>
      </c>
      <c r="U17" s="27" t="n">
        <v>98.1075</v>
      </c>
      <c r="V17" s="27"/>
      <c r="W17" s="56" t="n">
        <f aca="false">AVERAGE(R17:R18)/100</f>
        <v>0.0118897227611479</v>
      </c>
      <c r="X17" s="57" t="n">
        <f aca="false">AVERAGE(S17:S18)/100</f>
        <v>0.000231516305497412</v>
      </c>
      <c r="Y17" s="57" t="n">
        <f aca="false">AVERAGE(T17:T18)/100</f>
        <v>5.12132727659047E-005</v>
      </c>
      <c r="Z17" s="29" t="n">
        <f aca="false">AVERAGE(U17:V18)/100</f>
        <v>0.9842345</v>
      </c>
      <c r="AA17" s="2" t="n">
        <f aca="false">SUM(W17:Z17)</f>
        <v>0.996406952339411</v>
      </c>
      <c r="AD17" s="0" t="n">
        <v>0.0146551360933853</v>
      </c>
      <c r="AE17" s="0" t="n">
        <v>0.000285364346424406</v>
      </c>
      <c r="AF17" s="0" t="n">
        <v>6.31248934268285E-005</v>
      </c>
      <c r="AG17" s="0" t="n">
        <v>0.984996374666763</v>
      </c>
    </row>
    <row r="18" customFormat="false" ht="14.25" hidden="false" customHeight="true" outlineLevel="0" collapsed="false">
      <c r="A18" s="18"/>
      <c r="B18" s="20" t="s">
        <v>32</v>
      </c>
      <c r="C18" s="20" t="n">
        <v>14</v>
      </c>
      <c r="D18" s="20" t="n">
        <v>2.7884</v>
      </c>
      <c r="E18" s="20" t="n">
        <v>300</v>
      </c>
      <c r="F18" s="20" t="n">
        <v>2.9927</v>
      </c>
      <c r="G18" s="19" t="n">
        <f aca="false">1000-E18</f>
        <v>700</v>
      </c>
      <c r="H18" s="20" t="n">
        <v>3.617</v>
      </c>
      <c r="I18" s="22" t="n">
        <f aca="false">F18-D18</f>
        <v>0.2043</v>
      </c>
      <c r="J18" s="22" t="n">
        <f aca="false">H18-F18</f>
        <v>0.6243</v>
      </c>
      <c r="K18" s="22" t="n">
        <f aca="false">J18+I18</f>
        <v>0.8286</v>
      </c>
      <c r="L18" s="23" t="n">
        <v>40.874</v>
      </c>
      <c r="M18" s="23" t="n">
        <v>0.5329</v>
      </c>
      <c r="N18" s="23" t="n">
        <v>0.166</v>
      </c>
      <c r="O18" s="24" t="n">
        <f aca="false">(L18/$F$2)^(1/$F$3)</f>
        <v>0.282313025817166</v>
      </c>
      <c r="P18" s="47" t="n">
        <f aca="false">(M18/$G$2)^(1/$G$3)</f>
        <v>0.00547124759959475</v>
      </c>
      <c r="Q18" s="26" t="n">
        <f aca="false">(N18/$H$2)^(1/$H$3)</f>
        <v>0.00122945330165673</v>
      </c>
      <c r="R18" s="25" t="n">
        <f aca="false">O18*$K18/$I18</f>
        <v>1.14500525302058</v>
      </c>
      <c r="S18" s="47" t="n">
        <f aca="false">P18*$K18/$I18</f>
        <v>0.0221902876212639</v>
      </c>
      <c r="T18" s="26" t="n">
        <f aca="false">Q18*$K18/$I18</f>
        <v>0.00498641706193228</v>
      </c>
      <c r="U18" s="27" t="n">
        <v>98.7394</v>
      </c>
      <c r="V18" s="27"/>
      <c r="W18" s="51"/>
      <c r="Z18" s="33"/>
      <c r="AA18" s="2"/>
    </row>
    <row r="19" customFormat="false" ht="14.25" hidden="false" customHeight="true" outlineLevel="0" collapsed="false">
      <c r="A19" s="18"/>
      <c r="B19" s="34" t="s">
        <v>33</v>
      </c>
      <c r="C19" s="34" t="n">
        <v>15</v>
      </c>
      <c r="D19" s="34" t="n">
        <v>2.784</v>
      </c>
      <c r="E19" s="34" t="n">
        <v>100</v>
      </c>
      <c r="F19" s="34" t="n">
        <v>2.9666</v>
      </c>
      <c r="G19" s="30" t="n">
        <f aca="false">1000-E19</f>
        <v>900</v>
      </c>
      <c r="H19" s="34" t="n">
        <v>3.6048</v>
      </c>
      <c r="I19" s="35" t="n">
        <f aca="false">F19-D19</f>
        <v>0.1826</v>
      </c>
      <c r="J19" s="35" t="n">
        <f aca="false">H19-F19</f>
        <v>0.6382</v>
      </c>
      <c r="K19" s="35" t="n">
        <f aca="false">J19+I19</f>
        <v>0.8208</v>
      </c>
      <c r="L19" s="36" t="n">
        <v>1369.2996</v>
      </c>
      <c r="M19" s="36" t="n">
        <v>254.0392</v>
      </c>
      <c r="N19" s="36" t="n">
        <v>262.2779</v>
      </c>
      <c r="O19" s="52" t="n">
        <f aca="false">(L19/$F$2)^(1/$F$3)</f>
        <v>7.95702649940259</v>
      </c>
      <c r="P19" s="53" t="n">
        <f aca="false">(M19/$G$2)^(1/$G$3)</f>
        <v>1.75216874403373</v>
      </c>
      <c r="Q19" s="54" t="n">
        <f aca="false">(N19/$H$2)^(1/$H$3)</f>
        <v>1.58984431987318</v>
      </c>
      <c r="R19" s="55" t="n">
        <f aca="false">O19*$K19/$I19</f>
        <v>35.7674006062959</v>
      </c>
      <c r="S19" s="53" t="n">
        <f aca="false">P19*$K19/$I19</f>
        <v>7.87612324809903</v>
      </c>
      <c r="T19" s="54" t="n">
        <f aca="false">Q19*$K19/$I19</f>
        <v>7.14646340499402</v>
      </c>
      <c r="U19" s="2" t="n">
        <v>5.2624</v>
      </c>
      <c r="V19" s="2"/>
      <c r="W19" s="51" t="n">
        <f aca="false">AVERAGE(R19:R20)/100</f>
        <v>0.377159855749177</v>
      </c>
      <c r="X19" s="0" t="n">
        <f aca="false">AVERAGE(S19:S20)/100</f>
        <v>0.0827068093624299</v>
      </c>
      <c r="Y19" s="1" t="n">
        <f aca="false">AVERAGE(T19:T20)/100</f>
        <v>0.0755558126447871</v>
      </c>
      <c r="Z19" s="33" t="n">
        <f aca="false">AVERAGE(U19:V20)/100</f>
        <v>0.053717</v>
      </c>
      <c r="AA19" s="2" t="n">
        <f aca="false">SUM(W19:Z19)</f>
        <v>0.589139477756394</v>
      </c>
      <c r="AD19" s="0" t="n">
        <v>0.66657634784672</v>
      </c>
      <c r="AE19" s="0" t="n">
        <v>0.146172510373232</v>
      </c>
      <c r="AF19" s="0" t="n">
        <v>0.133534141780048</v>
      </c>
      <c r="AG19" s="0" t="n">
        <v>0.053717</v>
      </c>
    </row>
    <row r="20" customFormat="false" ht="14.25" hidden="false" customHeight="true" outlineLevel="0" collapsed="false">
      <c r="A20" s="18"/>
      <c r="B20" s="34" t="s">
        <v>33</v>
      </c>
      <c r="C20" s="34" t="n">
        <v>16</v>
      </c>
      <c r="D20" s="34" t="n">
        <v>2.7557</v>
      </c>
      <c r="E20" s="34" t="n">
        <v>100</v>
      </c>
      <c r="F20" s="34" t="n">
        <v>2.954</v>
      </c>
      <c r="G20" s="30" t="n">
        <f aca="false">1000-E20</f>
        <v>900</v>
      </c>
      <c r="H20" s="34" t="n">
        <v>3.5726</v>
      </c>
      <c r="I20" s="35" t="n">
        <f aca="false">F20-D20</f>
        <v>0.1983</v>
      </c>
      <c r="J20" s="35" t="n">
        <f aca="false">H20-F20</f>
        <v>0.6186</v>
      </c>
      <c r="K20" s="35" t="n">
        <f aca="false">J20+I20</f>
        <v>0.8169</v>
      </c>
      <c r="L20" s="36" t="n">
        <v>1673.3587</v>
      </c>
      <c r="M20" s="36" t="n">
        <v>308.8384</v>
      </c>
      <c r="N20" s="36" t="n">
        <v>320.7054</v>
      </c>
      <c r="O20" s="52" t="n">
        <f aca="false">(L20/$F$2)^(1/$F$3)</f>
        <v>9.62845432584637</v>
      </c>
      <c r="P20" s="53" t="n">
        <f aca="false">(M20/$G$2)^(1/$G$3)</f>
        <v>2.10346042259265</v>
      </c>
      <c r="Q20" s="54" t="n">
        <f aca="false">(N20/$H$2)^(1/$H$3)</f>
        <v>1.933406581322</v>
      </c>
      <c r="R20" s="55" t="n">
        <f aca="false">O20*$K20/$I20</f>
        <v>39.6645705435396</v>
      </c>
      <c r="S20" s="53" t="n">
        <f aca="false">P20*$K20/$I20</f>
        <v>8.66523862438694</v>
      </c>
      <c r="T20" s="54" t="n">
        <f aca="false">Q20*$K20/$I20</f>
        <v>7.9646991239634</v>
      </c>
      <c r="U20" s="2" t="n">
        <v>5.481</v>
      </c>
      <c r="V20" s="2"/>
      <c r="W20" s="51"/>
      <c r="Z20" s="33"/>
      <c r="AA20" s="2"/>
    </row>
    <row r="21" customFormat="false" ht="14.25" hidden="false" customHeight="true" outlineLevel="0" collapsed="false">
      <c r="A21" s="18" t="s">
        <v>67</v>
      </c>
      <c r="B21" s="19" t="s">
        <v>32</v>
      </c>
      <c r="C21" s="20" t="n">
        <v>17</v>
      </c>
      <c r="D21" s="19" t="n">
        <v>2.7849</v>
      </c>
      <c r="E21" s="19" t="n">
        <v>300</v>
      </c>
      <c r="F21" s="20" t="n">
        <v>2.9665</v>
      </c>
      <c r="G21" s="19" t="n">
        <f aca="false">1000-E21</f>
        <v>700</v>
      </c>
      <c r="H21" s="20" t="n">
        <v>3.6076</v>
      </c>
      <c r="I21" s="22" t="n">
        <f aca="false">F21-D21</f>
        <v>0.1816</v>
      </c>
      <c r="J21" s="22" t="n">
        <f aca="false">H21-F21</f>
        <v>0.6411</v>
      </c>
      <c r="K21" s="22" t="n">
        <f aca="false">J21+I21</f>
        <v>0.8227</v>
      </c>
      <c r="L21" s="23" t="n">
        <v>797.3173</v>
      </c>
      <c r="M21" s="23" t="n">
        <v>1021.0289</v>
      </c>
      <c r="N21" s="23" t="n">
        <v>1084.3597</v>
      </c>
      <c r="O21" s="24" t="n">
        <f aca="false">(L21/$F$2)^(1/$F$3)</f>
        <v>4.75815752860883</v>
      </c>
      <c r="P21" s="47" t="n">
        <f aca="false">(M21/$G$2)^(1/$G$3)</f>
        <v>6.43787158411199</v>
      </c>
      <c r="Q21" s="26" t="n">
        <f aca="false">(N21/$H$2)^(1/$H$3)</f>
        <v>6.32409514476834</v>
      </c>
      <c r="R21" s="25" t="n">
        <f aca="false">O21*$K21/$I21</f>
        <v>21.5558160726128</v>
      </c>
      <c r="S21" s="47" t="n">
        <f aca="false">P21*$K21/$I21</f>
        <v>29.1654017194325</v>
      </c>
      <c r="T21" s="26" t="n">
        <f aca="false">Q21*$K21/$I21</f>
        <v>28.6499618700491</v>
      </c>
      <c r="U21" s="27" t="n">
        <v>2.7174</v>
      </c>
      <c r="V21" s="27"/>
      <c r="W21" s="56" t="n">
        <f aca="false">AVERAGE(R21:R22)/100</f>
        <v>0.214902160818875</v>
      </c>
      <c r="X21" s="57" t="n">
        <f aca="false">AVERAGE(S21:S22)/100</f>
        <v>0.290557108657992</v>
      </c>
      <c r="Y21" s="57" t="n">
        <f aca="false">AVERAGE(T21:T22)/100</f>
        <v>0.283854815069946</v>
      </c>
      <c r="Z21" s="29" t="n">
        <f aca="false">AVERAGE(U21:V22)/100</f>
        <v>0.0271005</v>
      </c>
      <c r="AA21" s="2" t="n">
        <f aca="false">SUM(W21:Z21)</f>
        <v>0.816414584546813</v>
      </c>
      <c r="AD21" s="0" t="n">
        <v>0.264885941988031</v>
      </c>
      <c r="AE21" s="0" t="n">
        <v>0.358137364161074</v>
      </c>
      <c r="AF21" s="0" t="n">
        <v>0.349876193850895</v>
      </c>
      <c r="AG21" s="0" t="n">
        <v>0.0271005</v>
      </c>
    </row>
    <row r="22" customFormat="false" ht="14.25" hidden="false" customHeight="true" outlineLevel="0" collapsed="false">
      <c r="A22" s="18"/>
      <c r="B22" s="20" t="s">
        <v>32</v>
      </c>
      <c r="C22" s="20" t="n">
        <v>18</v>
      </c>
      <c r="D22" s="20" t="n">
        <v>2.7619</v>
      </c>
      <c r="E22" s="20" t="n">
        <v>300</v>
      </c>
      <c r="F22" s="20" t="n">
        <v>2.9568</v>
      </c>
      <c r="G22" s="19" t="n">
        <f aca="false">1000-E22</f>
        <v>700</v>
      </c>
      <c r="H22" s="20" t="n">
        <v>3.5838</v>
      </c>
      <c r="I22" s="22" t="n">
        <f aca="false">F22-D22</f>
        <v>0.1949</v>
      </c>
      <c r="J22" s="22" t="n">
        <f aca="false">H22-F22</f>
        <v>0.627</v>
      </c>
      <c r="K22" s="22" t="n">
        <f aca="false">J22+I22</f>
        <v>0.8219</v>
      </c>
      <c r="L22" s="23" t="n">
        <v>854.2231</v>
      </c>
      <c r="M22" s="23" t="n">
        <v>1093.4454</v>
      </c>
      <c r="N22" s="23" t="n">
        <v>1145.0975</v>
      </c>
      <c r="O22" s="24" t="n">
        <f aca="false">(L22/$F$2)^(1/$F$3)</f>
        <v>5.08049358336476</v>
      </c>
      <c r="P22" s="47" t="n">
        <f aca="false">(M22/$G$2)^(1/$G$3)</f>
        <v>6.86407020363931</v>
      </c>
      <c r="Q22" s="26" t="n">
        <f aca="false">(N22/$H$2)^(1/$H$3)</f>
        <v>6.6684306155906</v>
      </c>
      <c r="R22" s="25" t="n">
        <f aca="false">O22*$K22/$I22</f>
        <v>21.4246160911621</v>
      </c>
      <c r="S22" s="47" t="n">
        <f aca="false">P22*$K22/$I22</f>
        <v>28.946020012166</v>
      </c>
      <c r="T22" s="26" t="n">
        <f aca="false">Q22*$K22/$I22</f>
        <v>28.12100114394</v>
      </c>
      <c r="U22" s="27" t="n">
        <v>2.7027</v>
      </c>
      <c r="V22" s="27"/>
      <c r="W22" s="51"/>
      <c r="Z22" s="33"/>
      <c r="AA22" s="2"/>
    </row>
    <row r="23" customFormat="false" ht="14.25" hidden="false" customHeight="true" outlineLevel="0" collapsed="false">
      <c r="A23" s="18"/>
      <c r="B23" s="34" t="s">
        <v>33</v>
      </c>
      <c r="C23" s="34" t="n">
        <v>19</v>
      </c>
      <c r="D23" s="34" t="n">
        <v>2.7414</v>
      </c>
      <c r="E23" s="34" t="n">
        <v>100</v>
      </c>
      <c r="F23" s="34" t="n">
        <v>2.9428</v>
      </c>
      <c r="G23" s="30" t="n">
        <f aca="false">1000-E23</f>
        <v>900</v>
      </c>
      <c r="H23" s="34" t="n">
        <v>3.5649</v>
      </c>
      <c r="I23" s="35" t="n">
        <f aca="false">F23-D23</f>
        <v>0.2014</v>
      </c>
      <c r="J23" s="35" t="n">
        <f aca="false">H23-F23</f>
        <v>0.6221</v>
      </c>
      <c r="K23" s="35" t="n">
        <f aca="false">J23+I23</f>
        <v>0.8235</v>
      </c>
      <c r="L23" s="36" t="n">
        <v>23.7952</v>
      </c>
      <c r="M23" s="36" t="n">
        <v>1.4497</v>
      </c>
      <c r="N23" s="36" t="n">
        <v>0.5646</v>
      </c>
      <c r="O23" s="52" t="n">
        <f aca="false">(L23/$F$2)^(1/$F$3)</f>
        <v>0.168784628887013</v>
      </c>
      <c r="P23" s="53" t="n">
        <f aca="false">(M23/$G$2)^(1/$G$3)</f>
        <v>0.013953465226377</v>
      </c>
      <c r="Q23" s="54" t="n">
        <f aca="false">(N23/$H$2)^(1/$H$3)</f>
        <v>0.00404467040104209</v>
      </c>
      <c r="R23" s="55" t="n">
        <f aca="false">O23*$K23/$I23</f>
        <v>0.690139731323017</v>
      </c>
      <c r="S23" s="53" t="n">
        <f aca="false">P23*$K23/$I23</f>
        <v>0.0570540149648534</v>
      </c>
      <c r="T23" s="54" t="n">
        <f aca="false">Q23*$K23/$I23</f>
        <v>0.0165381632336552</v>
      </c>
      <c r="U23" s="2" t="n">
        <v>98.712</v>
      </c>
      <c r="V23" s="2"/>
      <c r="W23" s="51" t="n">
        <f aca="false">AVERAGE(R23:R24)/100</f>
        <v>0.00600981612283326</v>
      </c>
      <c r="X23" s="0" t="n">
        <f aca="false">AVERAGE(S23:S24)/100</f>
        <v>0.000493677333551138</v>
      </c>
      <c r="Y23" s="1" t="n">
        <f aca="false">AVERAGE(T23:T24)/100</f>
        <v>0.000138957062887524</v>
      </c>
      <c r="Z23" s="33" t="n">
        <f aca="false">AVERAGE(U23:V24)/100</f>
        <v>0.982924</v>
      </c>
      <c r="AA23" s="2" t="n">
        <f aca="false">SUM(W23:Z23)</f>
        <v>0.989566450519272</v>
      </c>
      <c r="AD23" s="0" t="n">
        <v>0.00740763051802561</v>
      </c>
      <c r="AE23" s="0" t="n">
        <v>0.000608501026874493</v>
      </c>
      <c r="AF23" s="0" t="n">
        <v>0.000171276884134611</v>
      </c>
      <c r="AG23" s="0" t="n">
        <v>0.991812591570965</v>
      </c>
    </row>
    <row r="24" customFormat="false" ht="14.25" hidden="false" customHeight="true" outlineLevel="0" collapsed="false">
      <c r="A24" s="18"/>
      <c r="B24" s="34" t="s">
        <v>33</v>
      </c>
      <c r="C24" s="34" t="n">
        <v>20</v>
      </c>
      <c r="D24" s="34" t="n">
        <v>2.7529</v>
      </c>
      <c r="E24" s="34" t="n">
        <v>100</v>
      </c>
      <c r="F24" s="34" t="n">
        <v>2.9573</v>
      </c>
      <c r="G24" s="30" t="n">
        <f aca="false">1000-E24</f>
        <v>900</v>
      </c>
      <c r="H24" s="34" t="n">
        <v>3.5641</v>
      </c>
      <c r="I24" s="35" t="n">
        <f aca="false">F24-D24</f>
        <v>0.2044</v>
      </c>
      <c r="J24" s="35" t="n">
        <f aca="false">H24-F24</f>
        <v>0.6068</v>
      </c>
      <c r="K24" s="35" t="n">
        <f aca="false">J24+I24</f>
        <v>0.8112</v>
      </c>
      <c r="L24" s="36" t="n">
        <v>17.9301</v>
      </c>
      <c r="M24" s="36" t="n">
        <v>1.07</v>
      </c>
      <c r="N24" s="36" t="n">
        <v>0.3919</v>
      </c>
      <c r="O24" s="58" t="n">
        <f aca="false">(L24/$F$2)^(1/$F$3)</f>
        <v>0.128965387104289</v>
      </c>
      <c r="P24" s="59" t="n">
        <f aca="false">(M24/$G$2)^(1/$G$3)</f>
        <v>0.010502574872725</v>
      </c>
      <c r="Q24" s="60" t="n">
        <f aca="false">(N24/$H$2)^(1/$H$3)</f>
        <v>0.00283550809403706</v>
      </c>
      <c r="R24" s="55" t="n">
        <f aca="false">O24*$K24/$I24</f>
        <v>0.511823493243635</v>
      </c>
      <c r="S24" s="53" t="n">
        <f aca="false">P24*$K24/$I24</f>
        <v>0.0416814517453742</v>
      </c>
      <c r="T24" s="54" t="n">
        <f aca="false">Q24*$K24/$I24</f>
        <v>0.0112532493438496</v>
      </c>
      <c r="U24" s="42" t="n">
        <v>97.8728</v>
      </c>
      <c r="V24" s="42"/>
      <c r="W24" s="61"/>
      <c r="X24" s="62"/>
      <c r="Y24" s="62"/>
      <c r="Z24" s="44"/>
      <c r="AA24" s="2"/>
    </row>
    <row r="25" customFormat="false" ht="14.25" hidden="false" customHeight="true" outlineLevel="0" collapsed="false">
      <c r="A25" s="45" t="s">
        <v>38</v>
      </c>
      <c r="B25" s="1" t="s">
        <v>32</v>
      </c>
      <c r="C25" s="1" t="n">
        <v>1</v>
      </c>
      <c r="D25" s="1" t="n">
        <v>2.7345</v>
      </c>
      <c r="F25" s="1" t="n">
        <v>3.0102</v>
      </c>
      <c r="G25" s="2" t="n">
        <f aca="false">1000-E25</f>
        <v>1000</v>
      </c>
      <c r="H25" s="1" t="n">
        <v>3.4933</v>
      </c>
      <c r="I25" s="1" t="n">
        <f aca="false">H25-F25</f>
        <v>0.4831</v>
      </c>
      <c r="J25" s="1" t="n">
        <f aca="false">H25-H25</f>
        <v>0</v>
      </c>
      <c r="K25" s="1" t="n">
        <f aca="false">J25+I25</f>
        <v>0.4831</v>
      </c>
      <c r="M25" s="1" t="n">
        <v>2933.79</v>
      </c>
      <c r="N25" s="1" t="n">
        <v>2886.68</v>
      </c>
      <c r="P25" s="1" t="n">
        <f aca="false">(M25/$G$2)^(1/$G$3)</f>
        <v>17.280806121993</v>
      </c>
      <c r="Q25" s="1" t="n">
        <f aca="false">(N25/$H$2)^(1/$H$3)</f>
        <v>16.3929276704743</v>
      </c>
      <c r="S25" s="1" t="n">
        <f aca="false">P25*$K25/$I25</f>
        <v>17.280806121993</v>
      </c>
      <c r="T25" s="1" t="n">
        <f aca="false">Q25*$K25/$I25</f>
        <v>16.3929276704743</v>
      </c>
      <c r="U25" s="1" t="n">
        <v>1.6402</v>
      </c>
      <c r="X25" s="1" t="n">
        <f aca="false">AVERAGE(S25:S26)/100</f>
        <v>0.173330329505173</v>
      </c>
      <c r="Y25" s="1" t="n">
        <f aca="false">AVERAGE(T25:T26)/100</f>
        <v>0.16452943490993</v>
      </c>
      <c r="Z25" s="1" t="n">
        <f aca="false">AVERAGE(U25:V26)/100</f>
        <v>0.016598</v>
      </c>
      <c r="AA25" s="1" t="n">
        <f aca="false">SUM(W25:Z25)</f>
        <v>0.354457764415103</v>
      </c>
      <c r="AE25" s="1" t="n">
        <f aca="false">IFERROR(X25/$AA25,"")</f>
        <v>0.48900136181581</v>
      </c>
      <c r="AF25" s="1" t="n">
        <f aca="false">IFERROR(Y25/$AA25,"")</f>
        <v>0.464172184749353</v>
      </c>
      <c r="AG25" s="1" t="n">
        <f aca="false">IFERROR(Z25/$AA25,"")</f>
        <v>0.0468264534348363</v>
      </c>
    </row>
    <row r="26" customFormat="false" ht="14.25" hidden="false" customHeight="true" outlineLevel="0" collapsed="false">
      <c r="A26" s="45"/>
      <c r="B26" s="1" t="s">
        <v>32</v>
      </c>
      <c r="C26" s="1" t="n">
        <v>2</v>
      </c>
      <c r="D26" s="1" t="n">
        <v>2.744</v>
      </c>
      <c r="F26" s="1" t="n">
        <v>3.0258</v>
      </c>
      <c r="G26" s="2" t="n">
        <f aca="false">1000-E26</f>
        <v>1000</v>
      </c>
      <c r="H26" s="1" t="n">
        <v>3.5156</v>
      </c>
      <c r="I26" s="1" t="n">
        <f aca="false">H26-F26</f>
        <v>0.4898</v>
      </c>
      <c r="J26" s="1" t="n">
        <f aca="false">H26-H26</f>
        <v>0</v>
      </c>
      <c r="K26" s="1" t="n">
        <f aca="false">J26+I26</f>
        <v>0.4898</v>
      </c>
      <c r="M26" s="1" t="n">
        <v>2952.75</v>
      </c>
      <c r="N26" s="1" t="n">
        <v>2908.41</v>
      </c>
      <c r="P26" s="1" t="n">
        <f aca="false">(M26/$G$2)^(1/$G$3)</f>
        <v>17.3852597790416</v>
      </c>
      <c r="Q26" s="1" t="n">
        <f aca="false">(N26/$H$2)^(1/$H$3)</f>
        <v>16.5129593115117</v>
      </c>
      <c r="S26" s="1" t="n">
        <f aca="false">P26*$K26/$I26</f>
        <v>17.3852597790416</v>
      </c>
      <c r="T26" s="1" t="n">
        <f aca="false">Q26*$K26/$I26</f>
        <v>16.5129593115117</v>
      </c>
      <c r="U26" s="1" t="n">
        <v>1.6794</v>
      </c>
    </row>
    <row r="27" customFormat="false" ht="14.25" hidden="false" customHeight="true" outlineLevel="0" collapsed="false">
      <c r="A27" s="45"/>
      <c r="B27" s="1" t="s">
        <v>33</v>
      </c>
      <c r="C27" s="1" t="n">
        <v>3</v>
      </c>
      <c r="D27" s="1" t="n">
        <v>2.7481</v>
      </c>
      <c r="F27" s="1" t="n">
        <v>3.008</v>
      </c>
      <c r="G27" s="2" t="n">
        <f aca="false">1000-E27</f>
        <v>1000</v>
      </c>
      <c r="H27" s="1" t="n">
        <v>3.4765</v>
      </c>
      <c r="I27" s="1" t="n">
        <f aca="false">H27-F27</f>
        <v>0.4685</v>
      </c>
      <c r="J27" s="1" t="n">
        <f aca="false">H27-H27</f>
        <v>0</v>
      </c>
      <c r="K27" s="1" t="n">
        <f aca="false">J27+I27</f>
        <v>0.4685</v>
      </c>
      <c r="M27" s="1" t="n">
        <v>31.5</v>
      </c>
      <c r="N27" s="1" t="n">
        <v>31.98</v>
      </c>
      <c r="P27" s="1" t="n">
        <f aca="false">(M27/$G$2)^(1/$G$3)</f>
        <v>0.248580414994283</v>
      </c>
      <c r="Q27" s="1" t="n">
        <f aca="false">(N27/$H$2)^(1/$H$3)</f>
        <v>0.205272691431931</v>
      </c>
      <c r="S27" s="1" t="n">
        <f aca="false">P27*$K27/$I27</f>
        <v>0.248580414994283</v>
      </c>
      <c r="T27" s="1" t="n">
        <f aca="false">Q27*$K27/$I27</f>
        <v>0.205272691431931</v>
      </c>
      <c r="X27" s="1" t="n">
        <f aca="false">AVERAGE(S27:S28)/100</f>
        <v>0.00136946024088762</v>
      </c>
      <c r="Y27" s="1" t="n">
        <f aca="false">AVERAGE(T27:T28)/100</f>
        <v>0.0010688148978506</v>
      </c>
      <c r="Z27" s="1" t="e">
        <f aca="false">AVERAGE(U27:V28)/100</f>
        <v>#DIV/0!</v>
      </c>
      <c r="AA27" s="1" t="e">
        <f aca="false">SUM(W27:Z27)</f>
        <v>#DIV/0!</v>
      </c>
      <c r="AE27" s="1" t="str">
        <f aca="false">IFERROR(X27/$AA27,"")</f>
        <v/>
      </c>
      <c r="AF27" s="1" t="str">
        <f aca="false">IFERROR(Y27/$AA27,"")</f>
        <v/>
      </c>
      <c r="AG27" s="1" t="str">
        <f aca="false">IFERROR(Z27/$AA27,"")</f>
        <v/>
      </c>
    </row>
    <row r="28" customFormat="false" ht="14.25" hidden="false" customHeight="true" outlineLevel="0" collapsed="false">
      <c r="A28" s="45"/>
      <c r="B28" s="1" t="s">
        <v>33</v>
      </c>
      <c r="C28" s="1" t="n">
        <v>4</v>
      </c>
      <c r="D28" s="1" t="n">
        <v>2.7282</v>
      </c>
      <c r="F28" s="1" t="n">
        <v>3.0039</v>
      </c>
      <c r="G28" s="2" t="n">
        <f aca="false">1000-E28</f>
        <v>1000</v>
      </c>
      <c r="H28" s="1" t="n">
        <v>3.4945</v>
      </c>
      <c r="I28" s="1" t="n">
        <f aca="false">H28-F28</f>
        <v>0.4906</v>
      </c>
      <c r="J28" s="1" t="n">
        <f aca="false">H28-H28</f>
        <v>0</v>
      </c>
      <c r="K28" s="1" t="n">
        <f aca="false">J28+I28</f>
        <v>0.4906</v>
      </c>
      <c r="M28" s="1" t="n">
        <v>2.74</v>
      </c>
      <c r="N28" s="1" t="n">
        <v>1.21</v>
      </c>
      <c r="P28" s="1" t="n">
        <f aca="false">(M28/$G$2)^(1/$G$3)</f>
        <v>0.0253116331832403</v>
      </c>
      <c r="Q28" s="1" t="n">
        <f aca="false">(N28/$H$2)^(1/$H$3)</f>
        <v>0.00849028813818957</v>
      </c>
      <c r="S28" s="1" t="n">
        <f aca="false">P28*$K28/$I28</f>
        <v>0.0253116331832403</v>
      </c>
      <c r="T28" s="1" t="n">
        <f aca="false">Q28*$K28/$I28</f>
        <v>0.00849028813818957</v>
      </c>
    </row>
  </sheetData>
  <mergeCells count="9">
    <mergeCell ref="O3:Q3"/>
    <mergeCell ref="R3:T3"/>
    <mergeCell ref="U3:V3"/>
    <mergeCell ref="A5:A8"/>
    <mergeCell ref="A9:A12"/>
    <mergeCell ref="A13:A16"/>
    <mergeCell ref="A17:A20"/>
    <mergeCell ref="A21:A24"/>
    <mergeCell ref="A25:A2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AG28"/>
  <sheetViews>
    <sheetView showFormulas="false" showGridLines="true" showRowColHeaders="true" showZeros="true" rightToLeft="false" tabSelected="true" showOutlineSymbols="true" defaultGridColor="true" view="normal" topLeftCell="H1" colorId="64" zoomScale="100" zoomScaleNormal="100" zoomScalePageLayoutView="100" workbookViewId="0">
      <selection pane="topLeft" activeCell="U29" activeCellId="0" sqref="U29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4" min="4" style="1" width="8.34"/>
    <col collapsed="false" customWidth="true" hidden="false" outlineLevel="0" max="5" min="5" style="1" width="10.53"/>
    <col collapsed="false" customWidth="true" hidden="false" outlineLevel="0" max="6" min="6" style="1" width="13.6"/>
    <col collapsed="false" customWidth="true" hidden="false" outlineLevel="0" max="7" min="7" style="2" width="10.66"/>
    <col collapsed="false" customWidth="true" hidden="false" outlineLevel="0" max="8" min="8" style="1" width="12.73"/>
    <col collapsed="false" customWidth="true" hidden="false" outlineLevel="0" max="13" min="12" style="1" width="10.47"/>
    <col collapsed="false" customWidth="true" hidden="false" outlineLevel="0" max="14" min="14" style="1" width="12.61"/>
    <col collapsed="false" customWidth="true" hidden="false" outlineLevel="0" max="16" min="15" style="1" width="11.12"/>
    <col collapsed="false" customWidth="true" hidden="false" outlineLevel="0" max="17" min="17" style="1" width="13.67"/>
    <col collapsed="false" customWidth="true" hidden="false" outlineLevel="0" max="19" min="18" style="1" width="11.12"/>
    <col collapsed="false" customWidth="true" hidden="false" outlineLevel="0" max="20" min="20" style="1" width="13.67"/>
    <col collapsed="false" customWidth="true" hidden="false" outlineLevel="0" max="22" min="21" style="1" width="9.53"/>
  </cols>
  <sheetData>
    <row r="1" customFormat="false" ht="26.25" hidden="false" customHeight="true" outlineLevel="0" collapsed="false">
      <c r="F1" s="3" t="s">
        <v>0</v>
      </c>
      <c r="G1" s="3" t="s">
        <v>71</v>
      </c>
    </row>
    <row r="2" customFormat="false" ht="14.25" hidden="false" customHeight="true" outlineLevel="0" collapsed="false">
      <c r="E2" s="1" t="s">
        <v>2</v>
      </c>
      <c r="F2" s="1" t="n">
        <v>154.574631</v>
      </c>
      <c r="G2" s="2" t="n">
        <v>139.485507</v>
      </c>
      <c r="H2" s="4" t="n">
        <v>128.508587</v>
      </c>
    </row>
    <row r="3" customFormat="false" ht="14.25" hidden="false" customHeight="true" outlineLevel="0" collapsed="false">
      <c r="E3" s="1" t="s">
        <v>3</v>
      </c>
      <c r="F3" s="1" t="n">
        <v>1.05174512</v>
      </c>
      <c r="G3" s="2" t="n">
        <v>1.06895477</v>
      </c>
      <c r="H3" s="1" t="n">
        <v>1.0374418</v>
      </c>
      <c r="M3" s="1" t="s">
        <v>70</v>
      </c>
      <c r="N3" s="1" t="s">
        <v>55</v>
      </c>
      <c r="O3" s="5" t="s">
        <v>6</v>
      </c>
      <c r="P3" s="5"/>
      <c r="Q3" s="5"/>
      <c r="R3" s="6" t="s">
        <v>7</v>
      </c>
      <c r="S3" s="6"/>
      <c r="T3" s="6"/>
      <c r="U3" s="7" t="s">
        <v>8</v>
      </c>
      <c r="V3" s="7"/>
    </row>
    <row r="4" customFormat="false" ht="14.25" hidden="false" customHeight="true" outlineLevel="0" collapsed="false">
      <c r="A4" s="8" t="s">
        <v>9</v>
      </c>
      <c r="B4" s="8" t="s">
        <v>10</v>
      </c>
      <c r="C4" s="8" t="s">
        <v>11</v>
      </c>
      <c r="D4" s="8" t="s">
        <v>12</v>
      </c>
      <c r="E4" s="8" t="s">
        <v>13</v>
      </c>
      <c r="F4" s="8" t="s">
        <v>14</v>
      </c>
      <c r="G4" s="8" t="s">
        <v>15</v>
      </c>
      <c r="H4" s="8" t="s">
        <v>16</v>
      </c>
      <c r="I4" s="9" t="s">
        <v>17</v>
      </c>
      <c r="J4" s="9" t="s">
        <v>18</v>
      </c>
      <c r="K4" s="9" t="s">
        <v>19</v>
      </c>
      <c r="L4" s="9" t="s">
        <v>20</v>
      </c>
      <c r="M4" s="10" t="s">
        <v>41</v>
      </c>
      <c r="N4" s="11" t="s">
        <v>22</v>
      </c>
      <c r="O4" s="12" t="s">
        <v>23</v>
      </c>
      <c r="P4" s="13" t="s">
        <v>24</v>
      </c>
      <c r="Q4" s="14" t="s">
        <v>25</v>
      </c>
      <c r="R4" s="12" t="s">
        <v>23</v>
      </c>
      <c r="S4" s="13" t="s">
        <v>24</v>
      </c>
      <c r="T4" s="14" t="s">
        <v>25</v>
      </c>
      <c r="U4" s="15" t="n">
        <v>1</v>
      </c>
      <c r="V4" s="15" t="n">
        <v>2</v>
      </c>
      <c r="W4" s="16" t="s">
        <v>26</v>
      </c>
      <c r="X4" s="15" t="s">
        <v>27</v>
      </c>
      <c r="Y4" s="15" t="s">
        <v>28</v>
      </c>
      <c r="Z4" s="17" t="s">
        <v>29</v>
      </c>
    </row>
    <row r="5" customFormat="false" ht="14.25" hidden="false" customHeight="true" outlineLevel="0" collapsed="false">
      <c r="A5" s="18" t="s">
        <v>63</v>
      </c>
      <c r="B5" s="19" t="s">
        <v>32</v>
      </c>
      <c r="C5" s="20" t="n">
        <v>1</v>
      </c>
      <c r="D5" s="21" t="n">
        <v>2.7983</v>
      </c>
      <c r="E5" s="19" t="n">
        <v>300</v>
      </c>
      <c r="F5" s="20" t="n">
        <v>2.9941</v>
      </c>
      <c r="G5" s="19" t="n">
        <f aca="false">1000-E5</f>
        <v>700</v>
      </c>
      <c r="H5" s="20" t="n">
        <v>3.6143</v>
      </c>
      <c r="I5" s="22" t="n">
        <f aca="false">F5-D5</f>
        <v>0.1958</v>
      </c>
      <c r="J5" s="22" t="n">
        <f aca="false">H5-F5</f>
        <v>0.6202</v>
      </c>
      <c r="K5" s="22" t="n">
        <f aca="false">J5+I5</f>
        <v>0.816</v>
      </c>
      <c r="L5" s="23" t="n">
        <v>6.6913</v>
      </c>
      <c r="M5" s="23" t="n">
        <v>0.0163</v>
      </c>
      <c r="N5" s="23" t="n">
        <v>0.0138</v>
      </c>
      <c r="O5" s="24" t="n">
        <f aca="false">(L5/$F$2)^(1/$F$3)</f>
        <v>0.0505198215163341</v>
      </c>
      <c r="P5" s="47" t="n">
        <f aca="false">(M5/$G$2)^(1/$G$3)</f>
        <v>0.00020956607740962</v>
      </c>
      <c r="Q5" s="26" t="n">
        <f aca="false">(N5/$H$2)^(1/$H$3)</f>
        <v>0.00014934547663136</v>
      </c>
      <c r="R5" s="25" t="n">
        <f aca="false">O5*$K5/$I5</f>
        <v>0.210542259230483</v>
      </c>
      <c r="S5" s="47" t="n">
        <f aca="false">P5*$K5/$I5</f>
        <v>0.000873370373678498</v>
      </c>
      <c r="T5" s="26" t="n">
        <f aca="false">Q5*$K5/$I5</f>
        <v>0.000622399943468795</v>
      </c>
      <c r="U5" s="27" t="n">
        <v>97.8647</v>
      </c>
      <c r="V5" s="27"/>
      <c r="W5" s="48" t="n">
        <f aca="false">AVERAGE(R5:R6)/100</f>
        <v>0.00174207999767895</v>
      </c>
      <c r="X5" s="49" t="n">
        <f aca="false">AVERAGE(S5:S6)/100</f>
        <v>8.36005031851114E-006</v>
      </c>
      <c r="Y5" s="49" t="n">
        <f aca="false">AVERAGE(T5:T6)/100</f>
        <v>4.20668670118973E-006</v>
      </c>
      <c r="Z5" s="50" t="n">
        <f aca="false">AVERAGE(U5:V6)/100</f>
        <v>0.9718735</v>
      </c>
      <c r="AA5" s="2" t="n">
        <f aca="false">SUM(W5:Z5)</f>
        <v>0.973628146734699</v>
      </c>
      <c r="AD5" s="0" t="n">
        <v>0.00210091632060141</v>
      </c>
      <c r="AE5" s="0" t="n">
        <v>1.00820663681404E-005</v>
      </c>
      <c r="AF5" s="0" t="n">
        <v>5.07318651150438E-006</v>
      </c>
      <c r="AG5" s="0" t="n">
        <v>0.997883928426519</v>
      </c>
    </row>
    <row r="6" customFormat="false" ht="14.25" hidden="false" customHeight="true" outlineLevel="0" collapsed="false">
      <c r="A6" s="18"/>
      <c r="B6" s="20" t="s">
        <v>32</v>
      </c>
      <c r="C6" s="20" t="n">
        <v>2</v>
      </c>
      <c r="D6" s="20" t="n">
        <v>2.8261</v>
      </c>
      <c r="E6" s="20" t="n">
        <v>300</v>
      </c>
      <c r="F6" s="20" t="n">
        <v>3.0312</v>
      </c>
      <c r="G6" s="19" t="n">
        <f aca="false">1000-E6</f>
        <v>700</v>
      </c>
      <c r="H6" s="20" t="n">
        <v>3.6261</v>
      </c>
      <c r="I6" s="22" t="n">
        <f aca="false">F6-D6</f>
        <v>0.2051</v>
      </c>
      <c r="J6" s="22" t="n">
        <f aca="false">H6-F6</f>
        <v>0.5949</v>
      </c>
      <c r="K6" s="22" t="n">
        <f aca="false">J6+I6</f>
        <v>0.8</v>
      </c>
      <c r="L6" s="23" t="n">
        <v>4.596</v>
      </c>
      <c r="M6" s="23" t="n">
        <v>0.0159</v>
      </c>
      <c r="N6" s="23" t="n">
        <v>0.005</v>
      </c>
      <c r="O6" s="24" t="n">
        <f aca="false">(L6/$F$2)^(1/$F$3)</f>
        <v>0.035347380170773</v>
      </c>
      <c r="P6" s="47" t="n">
        <f aca="false">(M6/$G$2)^(1/$G$3)</f>
        <v>0.000204751250529834</v>
      </c>
      <c r="Q6" s="26" t="n">
        <f aca="false">(N6/$H$2)^(1/$H$3)</f>
        <v>5.61300750966913E-005</v>
      </c>
      <c r="R6" s="25" t="n">
        <f aca="false">O6*$K6/$I6</f>
        <v>0.137873740305307</v>
      </c>
      <c r="S6" s="47" t="n">
        <f aca="false">P6*$K6/$I6</f>
        <v>0.00079863969002373</v>
      </c>
      <c r="T6" s="26" t="n">
        <f aca="false">Q6*$K6/$I6</f>
        <v>0.000218937396769152</v>
      </c>
      <c r="U6" s="27" t="n">
        <v>96.51</v>
      </c>
      <c r="V6" s="27"/>
      <c r="W6" s="51"/>
      <c r="Z6" s="33"/>
      <c r="AA6" s="2"/>
    </row>
    <row r="7" customFormat="false" ht="14.25" hidden="false" customHeight="true" outlineLevel="0" collapsed="false">
      <c r="A7" s="18"/>
      <c r="B7" s="34" t="s">
        <v>33</v>
      </c>
      <c r="C7" s="34" t="n">
        <v>3</v>
      </c>
      <c r="D7" s="34" t="n">
        <v>2.8035</v>
      </c>
      <c r="E7" s="34" t="n">
        <v>100</v>
      </c>
      <c r="F7" s="34" t="n">
        <v>2.9952</v>
      </c>
      <c r="G7" s="30" t="n">
        <f aca="false">1000-E7</f>
        <v>900</v>
      </c>
      <c r="H7" s="34" t="n">
        <v>3.5673</v>
      </c>
      <c r="I7" s="35" t="n">
        <f aca="false">F7-D7</f>
        <v>0.1917</v>
      </c>
      <c r="J7" s="35" t="n">
        <f aca="false">H7-F7</f>
        <v>0.5721</v>
      </c>
      <c r="K7" s="35" t="n">
        <f aca="false">J7+I7</f>
        <v>0.7638</v>
      </c>
      <c r="L7" s="1" t="n">
        <v>210.0123</v>
      </c>
      <c r="M7" s="1" t="n">
        <v>3.3435</v>
      </c>
      <c r="N7" s="36" t="n">
        <v>2.8868</v>
      </c>
      <c r="O7" s="52" t="n">
        <f aca="false">(L7/$F$2)^(1/$F$3)</f>
        <v>1.33831321393585</v>
      </c>
      <c r="P7" s="53" t="n">
        <f aca="false">(M7/$G$2)^(1/$G$3)</f>
        <v>0.0304925873918147</v>
      </c>
      <c r="Q7" s="54" t="n">
        <f aca="false">(N7/$H$2)^(1/$H$3)</f>
        <v>0.0257620432990333</v>
      </c>
      <c r="R7" s="55" t="n">
        <f aca="false">O7*$K7/$I7</f>
        <v>5.33230898698071</v>
      </c>
      <c r="S7" s="53" t="n">
        <f aca="false">P7*$K7/$I7</f>
        <v>0.121493157276307</v>
      </c>
      <c r="T7" s="54" t="n">
        <f aca="false">Q7*$K7/$I7</f>
        <v>0.102645011329169</v>
      </c>
      <c r="U7" s="2" t="n">
        <v>7.505</v>
      </c>
      <c r="V7" s="2"/>
      <c r="W7" s="51" t="n">
        <f aca="false">AVERAGE(R7:R8)/100</f>
        <v>0.221982813234413</v>
      </c>
      <c r="X7" s="0" t="n">
        <f aca="false">AVERAGE(S7:S8)/100</f>
        <v>0.00541646203090846</v>
      </c>
      <c r="Y7" s="1" t="n">
        <f aca="false">AVERAGE(T7:T8)/100</f>
        <v>0.00494215961044987</v>
      </c>
      <c r="Z7" s="33" t="n">
        <f aca="false">AVERAGE(U7:V8)/100</f>
        <v>0.0759605</v>
      </c>
      <c r="AA7" s="2" t="n">
        <f aca="false">SUM(W7:Z7)</f>
        <v>0.308301934875772</v>
      </c>
      <c r="AD7" s="0" t="n">
        <v>0.882842476458815</v>
      </c>
      <c r="AE7" s="0" t="n">
        <v>0.0215416801117964</v>
      </c>
      <c r="AF7" s="0" t="n">
        <v>0.019655343429389</v>
      </c>
      <c r="AG7" s="0" t="n">
        <v>0.0759605</v>
      </c>
    </row>
    <row r="8" customFormat="false" ht="14.25" hidden="false" customHeight="true" outlineLevel="0" collapsed="false">
      <c r="A8" s="18"/>
      <c r="B8" s="34" t="s">
        <v>33</v>
      </c>
      <c r="C8" s="34" t="n">
        <v>4</v>
      </c>
      <c r="D8" s="34" t="n">
        <v>2.8293</v>
      </c>
      <c r="E8" s="34" t="n">
        <v>100</v>
      </c>
      <c r="F8" s="34" t="n">
        <v>3.0447</v>
      </c>
      <c r="G8" s="30" t="n">
        <f aca="false">1000-E8</f>
        <v>900</v>
      </c>
      <c r="H8" s="34" t="n">
        <v>3.6537</v>
      </c>
      <c r="I8" s="35" t="n">
        <f aca="false">F8-D8</f>
        <v>0.2154</v>
      </c>
      <c r="J8" s="35" t="n">
        <f aca="false">H8-F8</f>
        <v>0.609</v>
      </c>
      <c r="K8" s="35" t="n">
        <f aca="false">J8+I8</f>
        <v>0.8244</v>
      </c>
      <c r="L8" s="36" t="n">
        <v>1779.2233</v>
      </c>
      <c r="M8" s="36" t="n">
        <v>31.8685</v>
      </c>
      <c r="N8" s="36" t="n">
        <v>28.1561</v>
      </c>
      <c r="O8" s="52" t="n">
        <f aca="false">(L8/$F$2)^(1/$F$3)</f>
        <v>10.2067445879948</v>
      </c>
      <c r="P8" s="53" t="n">
        <f aca="false">(M8/$G$2)^(1/$G$3)</f>
        <v>0.251299803753299</v>
      </c>
      <c r="Q8" s="54" t="n">
        <f aca="false">(N8/$H$2)^(1/$H$3)</f>
        <v>0.231439229230808</v>
      </c>
      <c r="R8" s="55" t="n">
        <f aca="false">O8*$K8/$I8</f>
        <v>39.0642536599019</v>
      </c>
      <c r="S8" s="53" t="n">
        <f aca="false">P8*$K8/$I8</f>
        <v>0.961799248905385</v>
      </c>
      <c r="T8" s="54" t="n">
        <f aca="false">Q8*$K8/$I8</f>
        <v>0.885786910760806</v>
      </c>
      <c r="U8" s="2" t="n">
        <v>7.6871</v>
      </c>
      <c r="V8" s="2"/>
      <c r="W8" s="51"/>
      <c r="Z8" s="33"/>
      <c r="AA8" s="2"/>
    </row>
    <row r="9" customFormat="false" ht="14.25" hidden="false" customHeight="true" outlineLevel="0" collapsed="false">
      <c r="A9" s="18" t="s">
        <v>64</v>
      </c>
      <c r="B9" s="19" t="s">
        <v>32</v>
      </c>
      <c r="C9" s="20" t="n">
        <v>5</v>
      </c>
      <c r="D9" s="19" t="n">
        <v>2.863</v>
      </c>
      <c r="E9" s="19" t="n">
        <v>300</v>
      </c>
      <c r="F9" s="20" t="n">
        <v>3.0669</v>
      </c>
      <c r="G9" s="19" t="n">
        <f aca="false">1000-E9</f>
        <v>700</v>
      </c>
      <c r="H9" s="20" t="n">
        <v>3.6895</v>
      </c>
      <c r="I9" s="22" t="n">
        <f aca="false">F9-D9</f>
        <v>0.2039</v>
      </c>
      <c r="J9" s="22" t="n">
        <f aca="false">H9-F9</f>
        <v>0.6226</v>
      </c>
      <c r="K9" s="22" t="n">
        <f aca="false">J9+I9</f>
        <v>0.8265</v>
      </c>
      <c r="L9" s="23" t="n">
        <v>4.8568</v>
      </c>
      <c r="M9" s="23" t="n">
        <v>17.796</v>
      </c>
      <c r="N9" s="23" t="n">
        <v>16.107</v>
      </c>
      <c r="O9" s="24" t="n">
        <f aca="false">(L9/$F$2)^(1/$F$3)</f>
        <v>0.0372518730065994</v>
      </c>
      <c r="P9" s="47" t="n">
        <f aca="false">(M9/$G$2)^(1/$G$3)</f>
        <v>0.145705402690506</v>
      </c>
      <c r="Q9" s="26" t="n">
        <f aca="false">(N9/$H$2)^(1/$H$3)</f>
        <v>0.135093100525103</v>
      </c>
      <c r="R9" s="25" t="n">
        <f aca="false">O9*$K9/$I9</f>
        <v>0.150998886905122</v>
      </c>
      <c r="S9" s="47" t="n">
        <f aca="false">P9*$K9/$I9</f>
        <v>0.590610668581183</v>
      </c>
      <c r="T9" s="26" t="n">
        <f aca="false">Q9*$K9/$I9</f>
        <v>0.547594151956828</v>
      </c>
      <c r="U9" s="27"/>
      <c r="V9" s="27" t="n">
        <v>98.8751</v>
      </c>
      <c r="W9" s="56" t="n">
        <f aca="false">AVERAGE(R9:R10)/100</f>
        <v>0.00121445750357764</v>
      </c>
      <c r="X9" s="57" t="n">
        <f aca="false">AVERAGE(S9:S10)/100</f>
        <v>0.00356036659353755</v>
      </c>
      <c r="Y9" s="57" t="n">
        <f aca="false">AVERAGE(T9:T10)/100</f>
        <v>0.00320911522594554</v>
      </c>
      <c r="Z9" s="29" t="n">
        <f aca="false">AVERAGE(U9:V10)/100</f>
        <v>0.988751</v>
      </c>
      <c r="AA9" s="2" t="n">
        <f aca="false">SUM(W9:Z9)</f>
        <v>0.996734939323061</v>
      </c>
      <c r="AD9" s="0" t="n">
        <v>0.00110820796033607</v>
      </c>
      <c r="AE9" s="0" t="n">
        <v>0.00146481714005033</v>
      </c>
      <c r="AF9" s="0" t="n">
        <v>0.00113638305891615</v>
      </c>
      <c r="AG9" s="0" t="n">
        <v>0.996290591840698</v>
      </c>
    </row>
    <row r="10" customFormat="false" ht="14.25" hidden="false" customHeight="true" outlineLevel="0" collapsed="false">
      <c r="A10" s="18"/>
      <c r="B10" s="20" t="s">
        <v>32</v>
      </c>
      <c r="C10" s="20" t="n">
        <v>6</v>
      </c>
      <c r="D10" s="20" t="n">
        <v>2.8033</v>
      </c>
      <c r="E10" s="20" t="n">
        <v>300</v>
      </c>
      <c r="F10" s="20" t="n">
        <v>3.0089</v>
      </c>
      <c r="G10" s="19" t="n">
        <f aca="false">1000-E10</f>
        <v>700</v>
      </c>
      <c r="H10" s="20" t="n">
        <v>3.6371</v>
      </c>
      <c r="I10" s="22" t="n">
        <f aca="false">F10-D10</f>
        <v>0.2056</v>
      </c>
      <c r="J10" s="22" t="n">
        <f aca="false">H10-F10</f>
        <v>0.6282</v>
      </c>
      <c r="K10" s="22" t="n">
        <f aca="false">J10+I10</f>
        <v>0.8338</v>
      </c>
      <c r="L10" s="23" t="n">
        <v>2.8792</v>
      </c>
      <c r="M10" s="23" t="n">
        <v>3.28</v>
      </c>
      <c r="N10" s="23" t="n">
        <v>2.5936</v>
      </c>
      <c r="O10" s="24" t="n">
        <f aca="false">(L10/$F$2)^(1/$F$3)</f>
        <v>0.0226590566076032</v>
      </c>
      <c r="P10" s="47" t="n">
        <f aca="false">(M10/$G$2)^(1/$G$3)</f>
        <v>0.0299504927632197</v>
      </c>
      <c r="Q10" s="26" t="n">
        <f aca="false">(N10/$H$2)^(1/$H$3)</f>
        <v>0.0232351408593867</v>
      </c>
      <c r="R10" s="25" t="n">
        <f aca="false">O10*$K10/$I10</f>
        <v>0.0918926138104065</v>
      </c>
      <c r="S10" s="47" t="n">
        <f aca="false">P10*$K10/$I10</f>
        <v>0.121462650126326</v>
      </c>
      <c r="T10" s="26" t="n">
        <f aca="false">Q10*$K10/$I10</f>
        <v>0.0942288932322795</v>
      </c>
      <c r="U10" s="27"/>
      <c r="V10" s="27"/>
      <c r="W10" s="51"/>
      <c r="Z10" s="33"/>
      <c r="AA10" s="2"/>
    </row>
    <row r="11" customFormat="false" ht="14.25" hidden="false" customHeight="true" outlineLevel="0" collapsed="false">
      <c r="A11" s="18"/>
      <c r="B11" s="34" t="s">
        <v>33</v>
      </c>
      <c r="C11" s="34" t="n">
        <v>7</v>
      </c>
      <c r="D11" s="34" t="n">
        <v>2.7772</v>
      </c>
      <c r="E11" s="34" t="n">
        <v>100</v>
      </c>
      <c r="F11" s="34" t="n">
        <v>2.98</v>
      </c>
      <c r="G11" s="30" t="n">
        <f aca="false">1000-E11</f>
        <v>900</v>
      </c>
      <c r="H11" s="34" t="n">
        <v>3.6018</v>
      </c>
      <c r="I11" s="35" t="n">
        <f aca="false">F11-D11</f>
        <v>0.2028</v>
      </c>
      <c r="J11" s="35" t="n">
        <f aca="false">H11-F11</f>
        <v>0.6218</v>
      </c>
      <c r="K11" s="35" t="n">
        <f aca="false">J11+I11</f>
        <v>0.8246</v>
      </c>
      <c r="L11" s="40" t="n">
        <v>71.0435</v>
      </c>
      <c r="M11" s="40" t="n">
        <v>797.268</v>
      </c>
      <c r="N11" s="36" t="n">
        <v>733.5436</v>
      </c>
      <c r="O11" s="52" t="n">
        <f aca="false">(L11/$F$2)^(1/$F$3)</f>
        <v>0.477525420300974</v>
      </c>
      <c r="P11" s="53" t="n">
        <f aca="false">(M11/$G$2)^(1/$G$3)</f>
        <v>5.10785786738667</v>
      </c>
      <c r="Q11" s="54" t="n">
        <f aca="false">(N11/$H$2)^(1/$H$3)</f>
        <v>5.36033016027047</v>
      </c>
      <c r="R11" s="55" t="n">
        <f aca="false">O11*$K11/$I11</f>
        <v>1.94165414980367</v>
      </c>
      <c r="S11" s="53" t="n">
        <f aca="false">P11*$K11/$I11</f>
        <v>20.7689329262675</v>
      </c>
      <c r="T11" s="54" t="n">
        <f aca="false">Q11*$K11/$I11</f>
        <v>21.7955041921057</v>
      </c>
      <c r="U11" s="2" t="n">
        <v>1.9451</v>
      </c>
      <c r="V11" s="2"/>
      <c r="W11" s="51" t="n">
        <f aca="false">AVERAGE(R11:R12)/100</f>
        <v>0.0265342850121142</v>
      </c>
      <c r="X11" s="0" t="n">
        <f aca="false">AVERAGE(S11:S12)/100</f>
        <v>0.282936391547775</v>
      </c>
      <c r="Y11" s="1" t="n">
        <f aca="false">AVERAGE(T11:T12)/100</f>
        <v>0.297147855370616</v>
      </c>
      <c r="Z11" s="33" t="n">
        <f aca="false">AVERAGE(U11:V12)/100</f>
        <v>0.0192655</v>
      </c>
      <c r="AA11" s="2" t="n">
        <f aca="false">SUM(W11:Z11)</f>
        <v>0.625884031930506</v>
      </c>
      <c r="AD11" s="0" t="n">
        <v>0.0428986049295219</v>
      </c>
      <c r="AE11" s="0" t="n">
        <v>0.45742994302093</v>
      </c>
      <c r="AF11" s="0" t="n">
        <v>0.480405952049548</v>
      </c>
      <c r="AG11" s="0" t="n">
        <v>0.0192655</v>
      </c>
    </row>
    <row r="12" customFormat="false" ht="14.25" hidden="false" customHeight="true" outlineLevel="0" collapsed="false">
      <c r="A12" s="18"/>
      <c r="B12" s="34" t="s">
        <v>33</v>
      </c>
      <c r="C12" s="34" t="n">
        <v>8</v>
      </c>
      <c r="D12" s="34" t="n">
        <v>2.8318</v>
      </c>
      <c r="E12" s="34" t="n">
        <v>100</v>
      </c>
      <c r="F12" s="34" t="n">
        <v>3.0383</v>
      </c>
      <c r="G12" s="30" t="n">
        <f aca="false">1000-E12</f>
        <v>900</v>
      </c>
      <c r="H12" s="34" t="n">
        <v>3.6495</v>
      </c>
      <c r="I12" s="35" t="n">
        <f aca="false">F12-D12</f>
        <v>0.2065</v>
      </c>
      <c r="J12" s="35" t="n">
        <f aca="false">H12-F12</f>
        <v>0.6112</v>
      </c>
      <c r="K12" s="35" t="n">
        <f aca="false">J12+I12</f>
        <v>0.8177</v>
      </c>
      <c r="L12" s="36" t="n">
        <v>130.2624</v>
      </c>
      <c r="M12" s="36" t="n">
        <v>1468.6259</v>
      </c>
      <c r="N12" s="36" t="n">
        <v>1328.7827</v>
      </c>
      <c r="O12" s="52" t="n">
        <f aca="false">(L12/$F$2)^(1/$F$3)</f>
        <v>0.849840270350813</v>
      </c>
      <c r="P12" s="53" t="n">
        <f aca="false">(M12/$G$2)^(1/$G$3)</f>
        <v>9.04547917530741</v>
      </c>
      <c r="Q12" s="54" t="n">
        <f aca="false">(N12/$H$2)^(1/$H$3)</f>
        <v>9.50401713481305</v>
      </c>
      <c r="R12" s="55" t="n">
        <f aca="false">O12*$K12/$I12</f>
        <v>3.36520285261917</v>
      </c>
      <c r="S12" s="53" t="n">
        <f aca="false">P12*$K12/$I12</f>
        <v>35.8183453832875</v>
      </c>
      <c r="T12" s="54" t="n">
        <f aca="false">Q12*$K12/$I12</f>
        <v>37.6340668820176</v>
      </c>
      <c r="U12" s="2" t="n">
        <v>1.908</v>
      </c>
      <c r="V12" s="2"/>
      <c r="W12" s="51"/>
      <c r="Z12" s="33"/>
      <c r="AA12" s="2"/>
    </row>
    <row r="13" customFormat="false" ht="14.25" hidden="false" customHeight="true" outlineLevel="0" collapsed="false">
      <c r="A13" s="18" t="s">
        <v>65</v>
      </c>
      <c r="B13" s="19" t="s">
        <v>32</v>
      </c>
      <c r="C13" s="20" t="n">
        <v>9</v>
      </c>
      <c r="D13" s="19" t="n">
        <v>2.7839</v>
      </c>
      <c r="E13" s="19" t="n">
        <v>300</v>
      </c>
      <c r="F13" s="20" t="n">
        <v>2.9841</v>
      </c>
      <c r="G13" s="19" t="n">
        <f aca="false">1000-E13</f>
        <v>700</v>
      </c>
      <c r="H13" s="20" t="n">
        <v>3.594</v>
      </c>
      <c r="I13" s="22" t="n">
        <f aca="false">F13-D13</f>
        <v>0.2002</v>
      </c>
      <c r="J13" s="22" t="n">
        <f aca="false">H13-F13</f>
        <v>0.6099</v>
      </c>
      <c r="K13" s="22" t="n">
        <f aca="false">J13+I13</f>
        <v>0.8101</v>
      </c>
      <c r="L13" s="23" t="n">
        <v>41.2488</v>
      </c>
      <c r="M13" s="23" t="n">
        <v>1.6185</v>
      </c>
      <c r="N13" s="23" t="n">
        <v>1.087</v>
      </c>
      <c r="O13" s="24" t="n">
        <f aca="false">(L13/$F$2)^(1/$F$3)</f>
        <v>0.284773819429059</v>
      </c>
      <c r="P13" s="47" t="n">
        <f aca="false">(M13/$G$2)^(1/$G$3)</f>
        <v>0.015467886910512</v>
      </c>
      <c r="Q13" s="26" t="n">
        <f aca="false">(N13/$H$2)^(1/$H$3)</f>
        <v>0.0100485241929928</v>
      </c>
      <c r="R13" s="25" t="n">
        <f aca="false">O13*$K13/$I13</f>
        <v>1.15232403156583</v>
      </c>
      <c r="S13" s="47" t="n">
        <f aca="false">P13*$K13/$I13</f>
        <v>0.0625900858451834</v>
      </c>
      <c r="T13" s="26" t="n">
        <f aca="false">Q13*$K13/$I13</f>
        <v>0.04066088635736</v>
      </c>
      <c r="U13" s="27" t="n">
        <v>94.9485</v>
      </c>
      <c r="V13" s="27"/>
      <c r="W13" s="56" t="n">
        <f aca="false">AVERAGE(R13:R14)/100</f>
        <v>0.0111578413416647</v>
      </c>
      <c r="X13" s="57" t="n">
        <f aca="false">AVERAGE(S13:S14)/100</f>
        <v>0.000604780119741901</v>
      </c>
      <c r="Y13" s="57" t="n">
        <f aca="false">AVERAGE(T13:T14)/100</f>
        <v>0.000391452679899662</v>
      </c>
      <c r="Z13" s="29" t="n">
        <f aca="false">AVERAGE(U13:V14)/100</f>
        <v>0.968553</v>
      </c>
      <c r="AA13" s="2" t="n">
        <f aca="false">SUM(W13:Z13)</f>
        <v>0.980707074141306</v>
      </c>
      <c r="AD13" s="0" t="n">
        <v>0.0134561506983703</v>
      </c>
      <c r="AE13" s="0" t="n">
        <v>0.000729353660930557</v>
      </c>
      <c r="AF13" s="0" t="n">
        <v>0.000472084706236278</v>
      </c>
      <c r="AG13" s="0" t="n">
        <v>0.985342410934463</v>
      </c>
    </row>
    <row r="14" customFormat="false" ht="14.25" hidden="false" customHeight="true" outlineLevel="0" collapsed="false">
      <c r="A14" s="18"/>
      <c r="B14" s="19" t="s">
        <v>32</v>
      </c>
      <c r="C14" s="20" t="n">
        <v>10</v>
      </c>
      <c r="D14" s="20" t="n">
        <v>2.8205</v>
      </c>
      <c r="E14" s="20" t="n">
        <v>300</v>
      </c>
      <c r="F14" s="20" t="n">
        <v>3.0266</v>
      </c>
      <c r="G14" s="19" t="n">
        <f aca="false">1000-E14</f>
        <v>700</v>
      </c>
      <c r="H14" s="20" t="n">
        <v>3.6371</v>
      </c>
      <c r="I14" s="22" t="n">
        <f aca="false">F14-D14</f>
        <v>0.2061</v>
      </c>
      <c r="J14" s="22" t="n">
        <f aca="false">H14-F14</f>
        <v>0.6105</v>
      </c>
      <c r="K14" s="22" t="n">
        <f aca="false">J14+I14</f>
        <v>0.8166</v>
      </c>
      <c r="L14" s="23" t="n">
        <v>39.3641</v>
      </c>
      <c r="M14" s="23" t="n">
        <v>1.5362</v>
      </c>
      <c r="N14" s="23" t="n">
        <v>1.0252</v>
      </c>
      <c r="O14" s="24" t="n">
        <f aca="false">(L14/$F$2)^(1/$F$3)</f>
        <v>0.272388240506614</v>
      </c>
      <c r="P14" s="47" t="n">
        <f aca="false">(M14/$G$2)^(1/$G$3)</f>
        <v>0.014730859469837</v>
      </c>
      <c r="Q14" s="26" t="n">
        <f aca="false">(N14/$H$2)^(1/$H$3)</f>
        <v>0.00949727012884177</v>
      </c>
      <c r="R14" s="25" t="n">
        <f aca="false">O14*$K14/$I14</f>
        <v>1.07924423676711</v>
      </c>
      <c r="S14" s="47" t="n">
        <f aca="false">P14*$K14/$I14</f>
        <v>0.0583659381031968</v>
      </c>
      <c r="T14" s="26" t="n">
        <f aca="false">Q14*$K14/$I14</f>
        <v>0.0376296496225724</v>
      </c>
      <c r="U14" s="27" t="n">
        <v>99.0665</v>
      </c>
      <c r="V14" s="27" t="n">
        <v>96.5509</v>
      </c>
      <c r="W14" s="51"/>
      <c r="Z14" s="33"/>
      <c r="AA14" s="2"/>
    </row>
    <row r="15" customFormat="false" ht="14.25" hidden="false" customHeight="true" outlineLevel="0" collapsed="false">
      <c r="A15" s="18"/>
      <c r="B15" s="34" t="s">
        <v>33</v>
      </c>
      <c r="C15" s="34" t="n">
        <v>11</v>
      </c>
      <c r="D15" s="34" t="n">
        <v>2.803</v>
      </c>
      <c r="E15" s="34" t="n">
        <v>100</v>
      </c>
      <c r="F15" s="34" t="n">
        <v>2.999</v>
      </c>
      <c r="G15" s="30" t="n">
        <f aca="false">1000-E15</f>
        <v>900</v>
      </c>
      <c r="H15" s="34" t="n">
        <v>3.6274</v>
      </c>
      <c r="I15" s="35" t="n">
        <f aca="false">F15-D15</f>
        <v>0.196</v>
      </c>
      <c r="J15" s="35" t="n">
        <f aca="false">H15-F15</f>
        <v>0.6284</v>
      </c>
      <c r="K15" s="35" t="n">
        <f aca="false">J15+I15</f>
        <v>0.8244</v>
      </c>
      <c r="L15" s="36" t="n">
        <v>1570.6322</v>
      </c>
      <c r="M15" s="36" t="n">
        <v>759.7819</v>
      </c>
      <c r="N15" s="41" t="n">
        <v>694.9843</v>
      </c>
      <c r="O15" s="52" t="n">
        <f aca="false">(L15/$F$2)^(1/$F$3)</f>
        <v>9.06558265401841</v>
      </c>
      <c r="P15" s="53" t="n">
        <f aca="false">(M15/$G$2)^(1/$G$3)</f>
        <v>4.88284116674251</v>
      </c>
      <c r="Q15" s="54" t="n">
        <f aca="false">(N15/$H$2)^(1/$H$3)</f>
        <v>5.08846694730775</v>
      </c>
      <c r="R15" s="55" t="n">
        <f aca="false">O15*$K15/$I15</f>
        <v>38.1309507141468</v>
      </c>
      <c r="S15" s="53" t="n">
        <f aca="false">P15*$K15/$I15</f>
        <v>20.5378278462374</v>
      </c>
      <c r="T15" s="54" t="n">
        <f aca="false">Q15*$K15/$I15</f>
        <v>21.4027150579617</v>
      </c>
      <c r="U15" s="2" t="n">
        <v>5.1862</v>
      </c>
      <c r="V15" s="2"/>
      <c r="W15" s="51" t="n">
        <f aca="false">AVERAGE(R15:R16)/100</f>
        <v>0.379060398775977</v>
      </c>
      <c r="X15" s="0" t="n">
        <f aca="false">AVERAGE(S15:S16)/100</f>
        <v>0.204493869050424</v>
      </c>
      <c r="Y15" s="1" t="n">
        <f aca="false">AVERAGE(T15:T16)/100</f>
        <v>0.212403790522799</v>
      </c>
      <c r="Z15" s="33" t="n">
        <f aca="false">AVERAGE(U15:V16)/100</f>
        <v>0.047845</v>
      </c>
      <c r="AA15" s="2" t="n">
        <f aca="false">SUM(W15:Z15)</f>
        <v>0.8438030583492</v>
      </c>
      <c r="AD15" s="0" t="n">
        <v>0.453446321964613</v>
      </c>
      <c r="AE15" s="0" t="n">
        <v>0.244623266066972</v>
      </c>
      <c r="AF15" s="0" t="n">
        <v>0.254085411968415</v>
      </c>
      <c r="AG15" s="0" t="n">
        <v>0.047845</v>
      </c>
    </row>
    <row r="16" customFormat="false" ht="14.25" hidden="false" customHeight="true" outlineLevel="0" collapsed="false">
      <c r="A16" s="18"/>
      <c r="B16" s="34" t="s">
        <v>33</v>
      </c>
      <c r="C16" s="34" t="n">
        <v>12</v>
      </c>
      <c r="D16" s="34" t="n">
        <v>2.8581</v>
      </c>
      <c r="E16" s="34" t="n">
        <v>100</v>
      </c>
      <c r="F16" s="34" t="n">
        <v>3.0519</v>
      </c>
      <c r="G16" s="30" t="n">
        <f aca="false">1000-E16</f>
        <v>900</v>
      </c>
      <c r="H16" s="34" t="n">
        <v>3.673</v>
      </c>
      <c r="I16" s="35" t="n">
        <f aca="false">F16-D16</f>
        <v>0.1938</v>
      </c>
      <c r="J16" s="35" t="n">
        <f aca="false">H16-F16</f>
        <v>0.6211</v>
      </c>
      <c r="K16" s="35" t="n">
        <f aca="false">J16+I16</f>
        <v>0.8149</v>
      </c>
      <c r="L16" s="36" t="n">
        <v>1551.6446</v>
      </c>
      <c r="M16" s="36" t="n">
        <v>753.0326</v>
      </c>
      <c r="N16" s="36" t="n">
        <v>684.2647</v>
      </c>
      <c r="O16" s="52" t="n">
        <f aca="false">(L16/$F$2)^(1/$F$3)</f>
        <v>8.96134839631268</v>
      </c>
      <c r="P16" s="53" t="n">
        <f aca="false">(M16/$G$2)^(1/$G$3)</f>
        <v>4.8422522122882</v>
      </c>
      <c r="Q16" s="54" t="n">
        <f aca="false">(N16/$H$2)^(1/$H$3)</f>
        <v>5.01279266465912</v>
      </c>
      <c r="R16" s="55" t="n">
        <f aca="false">O16*$K16/$I16</f>
        <v>37.6811290410485</v>
      </c>
      <c r="S16" s="53" t="n">
        <f aca="false">P16*$K16/$I16</f>
        <v>20.3609459638475</v>
      </c>
      <c r="T16" s="54" t="n">
        <f aca="false">Q16*$K16/$I16</f>
        <v>21.0780430465981</v>
      </c>
      <c r="U16" s="2" t="n">
        <v>4.5975</v>
      </c>
      <c r="V16" s="2" t="n">
        <v>4.5698</v>
      </c>
      <c r="W16" s="51"/>
      <c r="Z16" s="33"/>
      <c r="AA16" s="2"/>
    </row>
    <row r="17" customFormat="false" ht="14.25" hidden="false" customHeight="true" outlineLevel="0" collapsed="false">
      <c r="A17" s="18" t="s">
        <v>66</v>
      </c>
      <c r="B17" s="19" t="s">
        <v>32</v>
      </c>
      <c r="C17" s="20" t="n">
        <v>13</v>
      </c>
      <c r="D17" s="19" t="n">
        <v>2.7894</v>
      </c>
      <c r="E17" s="19" t="n">
        <v>300</v>
      </c>
      <c r="F17" s="20" t="n">
        <v>2.9903</v>
      </c>
      <c r="G17" s="19" t="n">
        <f aca="false">1000-E17</f>
        <v>700</v>
      </c>
      <c r="H17" s="20" t="n">
        <v>3.5685</v>
      </c>
      <c r="I17" s="22" t="n">
        <f aca="false">F17-D17</f>
        <v>0.2009</v>
      </c>
      <c r="J17" s="22" t="n">
        <f aca="false">H17-F17</f>
        <v>0.5782</v>
      </c>
      <c r="K17" s="22" t="n">
        <f aca="false">J17+I17</f>
        <v>0.7791</v>
      </c>
      <c r="L17" s="23" t="n">
        <v>60.8063</v>
      </c>
      <c r="M17" s="23" t="n">
        <v>0.9138</v>
      </c>
      <c r="N17" s="23" t="n">
        <v>0.6404</v>
      </c>
      <c r="O17" s="24" t="n">
        <f aca="false">(L17/$F$2)^(1/$F$3)</f>
        <v>0.411856007050728</v>
      </c>
      <c r="P17" s="47" t="n">
        <f aca="false">(M17/$G$2)^(1/$G$3)</f>
        <v>0.00906116371848025</v>
      </c>
      <c r="Q17" s="26" t="n">
        <f aca="false">(N17/$H$2)^(1/$H$3)</f>
        <v>0.00603416072770653</v>
      </c>
      <c r="R17" s="25" t="n">
        <f aca="false">O17*$K17/$I17</f>
        <v>1.59719768587965</v>
      </c>
      <c r="S17" s="47" t="n">
        <f aca="false">P17*$K17/$I17</f>
        <v>0.0351396349082527</v>
      </c>
      <c r="T17" s="26" t="n">
        <f aca="false">Q17*$K17/$I17</f>
        <v>0.0234007696513497</v>
      </c>
      <c r="U17" s="27" t="n">
        <v>97.0684</v>
      </c>
      <c r="V17" s="27"/>
      <c r="W17" s="56" t="n">
        <f aca="false">AVERAGE(R17:R18)/100</f>
        <v>0.0130570241673517</v>
      </c>
      <c r="X17" s="57" t="n">
        <f aca="false">AVERAGE(S17:S18)/100</f>
        <v>0.000288588254156595</v>
      </c>
      <c r="Y17" s="57" t="n">
        <f aca="false">AVERAGE(T17:T18)/100</f>
        <v>0.000190978822347075</v>
      </c>
      <c r="Z17" s="29" t="n">
        <f aca="false">AVERAGE(U17:V18)/100</f>
        <v>0.988856</v>
      </c>
      <c r="AA17" s="2" t="n">
        <f aca="false">SUM(W17:Z17)</f>
        <v>1.00239259124386</v>
      </c>
      <c r="AD17" s="0" t="n">
        <v>0.0157465301296295</v>
      </c>
      <c r="AE17" s="0" t="n">
        <v>0.000348032107537691</v>
      </c>
      <c r="AF17" s="0" t="n">
        <v>0.000230316934522402</v>
      </c>
      <c r="AG17" s="0" t="n">
        <v>0.98367512082831</v>
      </c>
    </row>
    <row r="18" customFormat="false" ht="14.25" hidden="false" customHeight="true" outlineLevel="0" collapsed="false">
      <c r="A18" s="18"/>
      <c r="B18" s="20" t="s">
        <v>32</v>
      </c>
      <c r="C18" s="20" t="n">
        <v>14</v>
      </c>
      <c r="D18" s="20" t="n">
        <v>2.694</v>
      </c>
      <c r="E18" s="20" t="n">
        <v>300</v>
      </c>
      <c r="F18" s="20" t="n">
        <v>3.0768</v>
      </c>
      <c r="G18" s="19" t="n">
        <f aca="false">1000-E18</f>
        <v>700</v>
      </c>
      <c r="H18" s="20" t="n">
        <v>3.7007</v>
      </c>
      <c r="I18" s="22" t="n">
        <f aca="false">F18-D18</f>
        <v>0.3828</v>
      </c>
      <c r="J18" s="22" t="n">
        <f aca="false">H18-F18</f>
        <v>0.6239</v>
      </c>
      <c r="K18" s="22" t="n">
        <f aca="false">J18+I18</f>
        <v>1.0067</v>
      </c>
      <c r="L18" s="23" t="n">
        <v>56.7446</v>
      </c>
      <c r="M18" s="23" t="n">
        <v>0.8626</v>
      </c>
      <c r="N18" s="23" t="n">
        <v>0.5955</v>
      </c>
      <c r="O18" s="24" t="n">
        <f aca="false">(L18/$F$2)^(1/$F$3)</f>
        <v>0.385654610209316</v>
      </c>
      <c r="P18" s="47" t="n">
        <f aca="false">(M18/$G$2)^(1/$G$3)</f>
        <v>0.00858534269926474</v>
      </c>
      <c r="Q18" s="26" t="n">
        <f aca="false">(N18/$H$2)^(1/$H$3)</f>
        <v>0.00562583094899714</v>
      </c>
      <c r="R18" s="25" t="n">
        <f aca="false">O18*$K18/$I18</f>
        <v>1.0142071475907</v>
      </c>
      <c r="S18" s="47" t="n">
        <f aca="false">P18*$K18/$I18</f>
        <v>0.0225780159230664</v>
      </c>
      <c r="T18" s="26" t="n">
        <f aca="false">Q18*$K18/$I18</f>
        <v>0.0147949948180654</v>
      </c>
      <c r="U18" s="27" t="n">
        <v>100.5119</v>
      </c>
      <c r="V18" s="27" t="n">
        <v>99.0765</v>
      </c>
      <c r="W18" s="51"/>
      <c r="Z18" s="33"/>
      <c r="AA18" s="2"/>
    </row>
    <row r="19" customFormat="false" ht="14.25" hidden="false" customHeight="true" outlineLevel="0" collapsed="false">
      <c r="A19" s="18"/>
      <c r="B19" s="34" t="s">
        <v>33</v>
      </c>
      <c r="C19" s="34" t="n">
        <v>15</v>
      </c>
      <c r="D19" s="34" t="n">
        <v>2.8448</v>
      </c>
      <c r="E19" s="34" t="n">
        <v>100</v>
      </c>
      <c r="F19" s="34" t="n">
        <v>3.076</v>
      </c>
      <c r="G19" s="30" t="n">
        <f aca="false">1000-E19</f>
        <v>900</v>
      </c>
      <c r="H19" s="34" t="n">
        <v>3.6777</v>
      </c>
      <c r="I19" s="35" t="n">
        <f aca="false">F19-D19</f>
        <v>0.2312</v>
      </c>
      <c r="J19" s="35" t="n">
        <f aca="false">H19-F19</f>
        <v>0.6017</v>
      </c>
      <c r="K19" s="35" t="n">
        <f aca="false">J19+I19</f>
        <v>0.8329</v>
      </c>
      <c r="L19" s="36" t="n">
        <v>2587.7175</v>
      </c>
      <c r="M19" s="36" t="n">
        <v>456.0498</v>
      </c>
      <c r="N19" s="36" t="n">
        <v>416.8024</v>
      </c>
      <c r="O19" s="52" t="n">
        <f aca="false">(L19/$F$2)^(1/$F$3)</f>
        <v>14.5736923061734</v>
      </c>
      <c r="P19" s="53" t="n">
        <f aca="false">(M19/$G$2)^(1/$G$3)</f>
        <v>3.02897409890509</v>
      </c>
      <c r="Q19" s="54" t="n">
        <f aca="false">(N19/$H$2)^(1/$H$3)</f>
        <v>3.10853587434022</v>
      </c>
      <c r="R19" s="55" t="n">
        <f aca="false">O19*$K19/$I19</f>
        <v>52.5018526029922</v>
      </c>
      <c r="S19" s="53" t="n">
        <f aca="false">P19*$K19/$I19</f>
        <v>10.9119053935037</v>
      </c>
      <c r="T19" s="54" t="n">
        <f aca="false">Q19*$K19/$I19</f>
        <v>11.1985273777594</v>
      </c>
      <c r="U19" s="2" t="n">
        <v>6.2745</v>
      </c>
      <c r="V19" s="2"/>
      <c r="W19" s="51" t="n">
        <f aca="false">AVERAGE(R19:R20)/100</f>
        <v>0.541729384334884</v>
      </c>
      <c r="X19" s="0" t="n">
        <f aca="false">AVERAGE(S19:S20)/100</f>
        <v>0.112544238902586</v>
      </c>
      <c r="Y19" s="1" t="n">
        <f aca="false">AVERAGE(T19:T20)/100</f>
        <v>0.115496269472424</v>
      </c>
      <c r="Z19" s="33" t="n">
        <f aca="false">AVERAGE(U19:V20)/100</f>
        <v>0.064449</v>
      </c>
      <c r="AA19" s="2" t="n">
        <f aca="false">SUM(W19:Z19)</f>
        <v>0.834218892709893</v>
      </c>
      <c r="AD19" s="0" t="n">
        <v>0.658398661786699</v>
      </c>
      <c r="AE19" s="0" t="n">
        <v>0.136782272529376</v>
      </c>
      <c r="AF19" s="0" t="n">
        <v>0.140370065683925</v>
      </c>
      <c r="AG19" s="0" t="n">
        <v>0.064449</v>
      </c>
    </row>
    <row r="20" customFormat="false" ht="14.25" hidden="false" customHeight="true" outlineLevel="0" collapsed="false">
      <c r="A20" s="18"/>
      <c r="B20" s="34" t="s">
        <v>33</v>
      </c>
      <c r="C20" s="34" t="n">
        <v>16</v>
      </c>
      <c r="D20" s="34" t="n">
        <v>2.8036</v>
      </c>
      <c r="E20" s="34" t="n">
        <v>100</v>
      </c>
      <c r="F20" s="34" t="n">
        <v>3.0196</v>
      </c>
      <c r="G20" s="30" t="n">
        <f aca="false">1000-E20</f>
        <v>900</v>
      </c>
      <c r="H20" s="34" t="n">
        <v>3.6117</v>
      </c>
      <c r="I20" s="35" t="n">
        <f aca="false">F20-D20</f>
        <v>0.216</v>
      </c>
      <c r="J20" s="35" t="n">
        <f aca="false">H20-F20</f>
        <v>0.5921</v>
      </c>
      <c r="K20" s="35" t="n">
        <f aca="false">J20+I20</f>
        <v>0.8081</v>
      </c>
      <c r="L20" s="36" t="n">
        <v>2653.6922</v>
      </c>
      <c r="M20" s="36" t="n">
        <v>467.4562</v>
      </c>
      <c r="N20" s="36" t="n">
        <v>426.8852</v>
      </c>
      <c r="O20" s="52" t="n">
        <f aca="false">(L20/$F$2)^(1/$F$3)</f>
        <v>14.9267531753751</v>
      </c>
      <c r="P20" s="53" t="n">
        <f aca="false">(M20/$G$2)^(1/$G$3)</f>
        <v>3.09978908005805</v>
      </c>
      <c r="Q20" s="54" t="n">
        <f aca="false">(N20/$H$2)^(1/$H$3)</f>
        <v>3.18098864944027</v>
      </c>
      <c r="R20" s="55" t="n">
        <f aca="false">O20*$K20/$I20</f>
        <v>55.8440242639845</v>
      </c>
      <c r="S20" s="53" t="n">
        <f aca="false">P20*$K20/$I20</f>
        <v>11.5969423870135</v>
      </c>
      <c r="T20" s="54" t="n">
        <f aca="false">Q20*$K20/$I20</f>
        <v>11.9007265167254</v>
      </c>
      <c r="U20" s="2" t="n">
        <v>6.6153</v>
      </c>
      <c r="V20" s="2"/>
      <c r="W20" s="51"/>
      <c r="Z20" s="33"/>
      <c r="AA20" s="2"/>
    </row>
    <row r="21" customFormat="false" ht="14.25" hidden="false" customHeight="true" outlineLevel="0" collapsed="false">
      <c r="A21" s="18" t="s">
        <v>67</v>
      </c>
      <c r="B21" s="19" t="s">
        <v>32</v>
      </c>
      <c r="C21" s="20" t="n">
        <v>17</v>
      </c>
      <c r="D21" s="19" t="n">
        <v>2.8602</v>
      </c>
      <c r="E21" s="19" t="n">
        <v>300</v>
      </c>
      <c r="F21" s="20" t="n">
        <v>3.0624</v>
      </c>
      <c r="G21" s="19" t="n">
        <f aca="false">1000-E21</f>
        <v>700</v>
      </c>
      <c r="H21" s="20" t="n">
        <v>3.6719</v>
      </c>
      <c r="I21" s="22" t="n">
        <f aca="false">F21-D21</f>
        <v>0.2022</v>
      </c>
      <c r="J21" s="22" t="n">
        <f aca="false">H21-F21</f>
        <v>0.6095</v>
      </c>
      <c r="K21" s="22" t="n">
        <f aca="false">J21+I21</f>
        <v>0.8117</v>
      </c>
      <c r="L21" s="23" t="n">
        <v>34.9706</v>
      </c>
      <c r="M21" s="23" t="n">
        <v>1.8906</v>
      </c>
      <c r="N21" s="23" t="n">
        <v>1.189</v>
      </c>
      <c r="O21" s="24" t="n">
        <f aca="false">(L21/$F$2)^(1/$F$3)</f>
        <v>0.243399577379964</v>
      </c>
      <c r="P21" s="47" t="n">
        <f aca="false">(M21/$G$2)^(1/$G$3)</f>
        <v>0.0178881149070863</v>
      </c>
      <c r="Q21" s="26" t="n">
        <f aca="false">(N21/$H$2)^(1/$H$3)</f>
        <v>0.0109559182845499</v>
      </c>
      <c r="R21" s="25" t="n">
        <f aca="false">O21*$K21/$I21</f>
        <v>0.977089203557453</v>
      </c>
      <c r="S21" s="47" t="n">
        <f aca="false">P21*$K21/$I21</f>
        <v>0.0718090151833926</v>
      </c>
      <c r="T21" s="26" t="n">
        <f aca="false">Q21*$K21/$I21</f>
        <v>0.0439808054973748</v>
      </c>
      <c r="U21" s="27" t="n">
        <v>99.6909</v>
      </c>
      <c r="V21" s="27"/>
      <c r="W21" s="56" t="n">
        <f aca="false">AVERAGE(R21:R22)/100</f>
        <v>0.00949522559982443</v>
      </c>
      <c r="X21" s="57" t="n">
        <f aca="false">AVERAGE(S21:S22)/100</f>
        <v>0.000686480517819178</v>
      </c>
      <c r="Y21" s="57" t="n">
        <f aca="false">AVERAGE(T21:T22)/100</f>
        <v>0.000426639108022695</v>
      </c>
      <c r="Z21" s="29" t="n">
        <f aca="false">AVERAGE(U21:V22)/100</f>
        <v>0.9964865</v>
      </c>
      <c r="AA21" s="2" t="n">
        <f aca="false">SUM(W21:Z21)</f>
        <v>1.00709484522567</v>
      </c>
      <c r="AD21" s="0" t="n">
        <v>0.0114510668035004</v>
      </c>
      <c r="AE21" s="0" t="n">
        <v>0.000827882832925456</v>
      </c>
      <c r="AF21" s="0" t="n">
        <v>0.000514518889055574</v>
      </c>
      <c r="AG21" s="0" t="n">
        <v>0.987206531474519</v>
      </c>
    </row>
    <row r="22" customFormat="false" ht="14.25" hidden="false" customHeight="true" outlineLevel="0" collapsed="false">
      <c r="A22" s="18"/>
      <c r="B22" s="20" t="s">
        <v>32</v>
      </c>
      <c r="C22" s="20" t="n">
        <v>18</v>
      </c>
      <c r="D22" s="20" t="n">
        <v>2.7962</v>
      </c>
      <c r="E22" s="20" t="n">
        <v>300</v>
      </c>
      <c r="F22" s="20" t="n">
        <v>3.0027</v>
      </c>
      <c r="G22" s="19" t="n">
        <f aca="false">1000-E22</f>
        <v>700</v>
      </c>
      <c r="H22" s="20" t="n">
        <v>3.6231</v>
      </c>
      <c r="I22" s="22" t="n">
        <f aca="false">F22-D22</f>
        <v>0.2065</v>
      </c>
      <c r="J22" s="22" t="n">
        <f aca="false">H22-F22</f>
        <v>0.6204</v>
      </c>
      <c r="K22" s="22" t="n">
        <f aca="false">J22+I22</f>
        <v>0.8269</v>
      </c>
      <c r="L22" s="23" t="n">
        <v>32.9846</v>
      </c>
      <c r="M22" s="23" t="n">
        <v>1.7178</v>
      </c>
      <c r="N22" s="23" t="n">
        <v>1.1181</v>
      </c>
      <c r="O22" s="24" t="n">
        <f aca="false">(L22/$F$2)^(1/$F$3)</f>
        <v>0.230238114328377</v>
      </c>
      <c r="P22" s="47" t="n">
        <f aca="false">(M22/$G$2)^(1/$G$3)</f>
        <v>0.0163539530179725</v>
      </c>
      <c r="Q22" s="26" t="n">
        <f aca="false">(N22/$H$2)^(1/$H$3)</f>
        <v>0.0103255034782071</v>
      </c>
      <c r="R22" s="25" t="n">
        <f aca="false">O22*$K22/$I22</f>
        <v>0.921955916407434</v>
      </c>
      <c r="S22" s="47" t="n">
        <f aca="false">P22*$K22/$I22</f>
        <v>0.065487088380443</v>
      </c>
      <c r="T22" s="26" t="n">
        <f aca="false">Q22*$K22/$I22</f>
        <v>0.0413470161071643</v>
      </c>
      <c r="U22" s="27" t="n">
        <v>99.6064</v>
      </c>
      <c r="V22" s="27"/>
      <c r="W22" s="51"/>
      <c r="Z22" s="33"/>
      <c r="AA22" s="2"/>
    </row>
    <row r="23" customFormat="false" ht="14.25" hidden="false" customHeight="true" outlineLevel="0" collapsed="false">
      <c r="A23" s="18"/>
      <c r="B23" s="34" t="s">
        <v>33</v>
      </c>
      <c r="C23" s="34" t="n">
        <v>19</v>
      </c>
      <c r="D23" s="34" t="n">
        <v>2.8642</v>
      </c>
      <c r="E23" s="34" t="n">
        <v>100</v>
      </c>
      <c r="F23" s="34" t="n">
        <v>3.0524</v>
      </c>
      <c r="G23" s="30" t="n">
        <f aca="false">1000-E23</f>
        <v>900</v>
      </c>
      <c r="H23" s="34" t="n">
        <v>3.652</v>
      </c>
      <c r="I23" s="35" t="n">
        <f aca="false">F23-D23</f>
        <v>0.1882</v>
      </c>
      <c r="J23" s="35" t="n">
        <f aca="false">H23-F23</f>
        <v>0.5996</v>
      </c>
      <c r="K23" s="35" t="n">
        <f aca="false">J23+I23</f>
        <v>0.7878</v>
      </c>
      <c r="L23" s="36" t="n">
        <v>1231.0217</v>
      </c>
      <c r="M23" s="36" t="n">
        <v>841.3084</v>
      </c>
      <c r="N23" s="36" t="n">
        <v>762.9919</v>
      </c>
      <c r="O23" s="52" t="n">
        <f aca="false">(L23/$F$2)^(1/$F$3)</f>
        <v>7.19105568162104</v>
      </c>
      <c r="P23" s="53" t="n">
        <f aca="false">(M23/$G$2)^(1/$G$3)</f>
        <v>5.37134943434382</v>
      </c>
      <c r="Q23" s="54" t="n">
        <f aca="false">(N23/$H$2)^(1/$H$3)</f>
        <v>5.56760741201139</v>
      </c>
      <c r="R23" s="55" t="n">
        <f aca="false">O23*$K23/$I23</f>
        <v>30.1015603930981</v>
      </c>
      <c r="S23" s="53" t="n">
        <f aca="false">P23*$K23/$I23</f>
        <v>22.484320320808</v>
      </c>
      <c r="T23" s="54" t="n">
        <f aca="false">Q23*$K23/$I23</f>
        <v>23.305850792681</v>
      </c>
      <c r="U23" s="2" t="n">
        <v>4.3433</v>
      </c>
      <c r="V23" s="2"/>
      <c r="W23" s="51" t="n">
        <f aca="false">AVERAGE(R23:R24)/100</f>
        <v>0.314627239883138</v>
      </c>
      <c r="X23" s="0" t="n">
        <f aca="false">AVERAGE(S23:S24)/100</f>
        <v>0.233701397841368</v>
      </c>
      <c r="Y23" s="1" t="n">
        <f aca="false">AVERAGE(T23:T24)/100</f>
        <v>0.245523894212824</v>
      </c>
      <c r="Z23" s="33" t="n">
        <f aca="false">AVERAGE(U23:V24)/100</f>
        <v>0.0426285</v>
      </c>
      <c r="AA23" s="2" t="n">
        <f aca="false">SUM(W23:Z23)</f>
        <v>0.83648103193733</v>
      </c>
      <c r="AD23" s="0" t="n">
        <v>0.379434643677069</v>
      </c>
      <c r="AE23" s="0" t="n">
        <v>0.281839571963663</v>
      </c>
      <c r="AF23" s="0" t="n">
        <v>0.296097284359268</v>
      </c>
      <c r="AG23" s="0" t="n">
        <v>0.0426285</v>
      </c>
    </row>
    <row r="24" customFormat="false" ht="14.25" hidden="false" customHeight="true" outlineLevel="0" collapsed="false">
      <c r="A24" s="18"/>
      <c r="B24" s="34" t="s">
        <v>33</v>
      </c>
      <c r="C24" s="34" t="n">
        <v>20</v>
      </c>
      <c r="D24" s="34" t="n">
        <v>2.7888</v>
      </c>
      <c r="E24" s="34" t="n">
        <v>100</v>
      </c>
      <c r="F24" s="34" t="n">
        <v>3.0046</v>
      </c>
      <c r="G24" s="30" t="n">
        <f aca="false">1000-E24</f>
        <v>900</v>
      </c>
      <c r="H24" s="34" t="n">
        <v>3.6248</v>
      </c>
      <c r="I24" s="35" t="n">
        <f aca="false">F24-D24</f>
        <v>0.2158</v>
      </c>
      <c r="J24" s="35" t="n">
        <f aca="false">H24-F24</f>
        <v>0.6202</v>
      </c>
      <c r="K24" s="35" t="n">
        <f aca="false">J24+I24</f>
        <v>0.836</v>
      </c>
      <c r="L24" s="36" t="n">
        <v>1462.8328</v>
      </c>
      <c r="M24" s="36" t="n">
        <v>991.1205</v>
      </c>
      <c r="N24" s="36" t="n">
        <v>918.7774</v>
      </c>
      <c r="O24" s="58" t="n">
        <f aca="false">(L24/$F$2)^(1/$F$3)</f>
        <v>8.47296045517424</v>
      </c>
      <c r="P24" s="59" t="n">
        <f aca="false">(M24/$G$2)^(1/$G$3)</f>
        <v>6.26128708804196</v>
      </c>
      <c r="Q24" s="60" t="n">
        <f aca="false">(N24/$H$2)^(1/$H$3)</f>
        <v>6.65957975258961</v>
      </c>
      <c r="R24" s="55" t="n">
        <f aca="false">O24*$K24/$I24</f>
        <v>32.8238875835295</v>
      </c>
      <c r="S24" s="53" t="n">
        <f aca="false">P24*$K24/$I24</f>
        <v>24.2559592474656</v>
      </c>
      <c r="T24" s="54" t="n">
        <f aca="false">Q24*$K24/$I24</f>
        <v>25.7989280498838</v>
      </c>
      <c r="U24" s="42" t="n">
        <v>4.1824</v>
      </c>
      <c r="V24" s="42"/>
      <c r="W24" s="61"/>
      <c r="X24" s="62"/>
      <c r="Y24" s="62"/>
      <c r="Z24" s="44"/>
      <c r="AA24" s="2"/>
    </row>
    <row r="25" customFormat="false" ht="14.25" hidden="false" customHeight="true" outlineLevel="0" collapsed="false">
      <c r="A25" s="45" t="s">
        <v>38</v>
      </c>
      <c r="B25" s="1" t="s">
        <v>32</v>
      </c>
      <c r="C25" s="1" t="n">
        <v>1</v>
      </c>
      <c r="D25" s="1" t="n">
        <v>2.7597</v>
      </c>
      <c r="F25" s="1" t="n">
        <v>3.0728</v>
      </c>
      <c r="G25" s="2" t="n">
        <f aca="false">1000-E25</f>
        <v>1000</v>
      </c>
      <c r="H25" s="1" t="n">
        <v>3.5535</v>
      </c>
      <c r="I25" s="1" t="n">
        <f aca="false">F25-D25</f>
        <v>0.3131</v>
      </c>
      <c r="J25" s="1" t="n">
        <f aca="false">H25-F25</f>
        <v>0.4807</v>
      </c>
      <c r="K25" s="1" t="n">
        <f aca="false">J25+I25</f>
        <v>0.7938</v>
      </c>
      <c r="M25" s="1" t="n">
        <v>4.34</v>
      </c>
      <c r="N25" s="1" t="n">
        <v>2.7</v>
      </c>
      <c r="P25" s="1" t="n">
        <f aca="false">(M25/$G$2)^(1/$G$3)</f>
        <v>0.0389201777921435</v>
      </c>
      <c r="Q25" s="1" t="n">
        <f aca="false">(N25/$H$2)^(1/$H$3)</f>
        <v>0.0241532684544262</v>
      </c>
      <c r="S25" s="1" t="n">
        <f aca="false">P25*$K25/$I25</f>
        <v>0.0986740246930806</v>
      </c>
      <c r="T25" s="1" t="n">
        <f aca="false">Q25*$K25/$I25</f>
        <v>0.0612355940566067</v>
      </c>
      <c r="X25" s="1" t="n">
        <f aca="false">AVERAGE(S25:S26)/100</f>
        <v>0.000978839379828612</v>
      </c>
      <c r="Y25" s="1" t="n">
        <f aca="false">AVERAGE(T25:T26)/100</f>
        <v>0.000612655779384382</v>
      </c>
      <c r="Z25" s="1" t="e">
        <f aca="false">AVERAGE(U25:V26)/100</f>
        <v>#DIV/0!</v>
      </c>
      <c r="AA25" s="1" t="e">
        <f aca="false">SUM(W25:Z25)</f>
        <v>#DIV/0!</v>
      </c>
      <c r="AE25" s="1" t="str">
        <f aca="false">IFERROR(X25/$AA25,"")</f>
        <v/>
      </c>
      <c r="AF25" s="1" t="str">
        <f aca="false">IFERROR(Y25/$AA25,"")</f>
        <v/>
      </c>
      <c r="AG25" s="1" t="str">
        <f aca="false">IFERROR(Z25/$AA25,"")</f>
        <v/>
      </c>
    </row>
    <row r="26" customFormat="false" ht="14.25" hidden="false" customHeight="true" outlineLevel="0" collapsed="false">
      <c r="A26" s="45"/>
      <c r="B26" s="1" t="s">
        <v>32</v>
      </c>
      <c r="C26" s="1" t="n">
        <v>2</v>
      </c>
      <c r="D26" s="1" t="n">
        <v>2.7827</v>
      </c>
      <c r="F26" s="1" t="n">
        <v>3.0985</v>
      </c>
      <c r="G26" s="2" t="n">
        <f aca="false">1000-E26</f>
        <v>1000</v>
      </c>
      <c r="H26" s="1" t="n">
        <v>3.5987</v>
      </c>
      <c r="I26" s="1" t="n">
        <f aca="false">F26-D26</f>
        <v>0.3158</v>
      </c>
      <c r="J26" s="1" t="n">
        <f aca="false">H26-F26</f>
        <v>0.5002</v>
      </c>
      <c r="K26" s="1" t="n">
        <f aca="false">J26+I26</f>
        <v>0.816</v>
      </c>
      <c r="M26" s="1" t="n">
        <v>4.18</v>
      </c>
      <c r="N26" s="1" t="n">
        <v>2.65</v>
      </c>
      <c r="P26" s="1" t="n">
        <f aca="false">(M26/$G$2)^(1/$G$3)</f>
        <v>0.0375762723430151</v>
      </c>
      <c r="Q26" s="1" t="n">
        <f aca="false">(N26/$H$2)^(1/$H$3)</f>
        <v>0.023721983361325</v>
      </c>
      <c r="S26" s="1" t="n">
        <f aca="false">P26*$K26/$I26</f>
        <v>0.0970938512726418</v>
      </c>
      <c r="T26" s="1" t="n">
        <f aca="false">Q26*$K26/$I26</f>
        <v>0.0612955618202697</v>
      </c>
    </row>
    <row r="27" customFormat="false" ht="14.25" hidden="false" customHeight="true" outlineLevel="0" collapsed="false">
      <c r="A27" s="45"/>
      <c r="B27" s="1" t="s">
        <v>33</v>
      </c>
      <c r="C27" s="1" t="n">
        <v>3</v>
      </c>
      <c r="D27" s="1" t="n">
        <v>2.7811</v>
      </c>
      <c r="F27" s="1" t="n">
        <v>3.0656</v>
      </c>
      <c r="G27" s="2" t="n">
        <f aca="false">1000-E27</f>
        <v>1000</v>
      </c>
      <c r="H27" s="1" t="n">
        <v>3.55</v>
      </c>
      <c r="I27" s="1" t="n">
        <f aca="false">F27-D27</f>
        <v>0.2845</v>
      </c>
      <c r="J27" s="1" t="n">
        <f aca="false">H27-F27</f>
        <v>0.4844</v>
      </c>
      <c r="K27" s="1" t="n">
        <f aca="false">J27+I27</f>
        <v>0.7689</v>
      </c>
      <c r="M27" s="1" t="n">
        <v>2796.21</v>
      </c>
      <c r="N27" s="1" t="n">
        <v>2506.32</v>
      </c>
      <c r="P27" s="1" t="n">
        <f aca="false">(M27/$G$2)^(1/$G$3)</f>
        <v>16.5215321399056</v>
      </c>
      <c r="Q27" s="1" t="n">
        <f aca="false">(N27/$H$2)^(1/$H$3)</f>
        <v>17.5203933050834</v>
      </c>
      <c r="S27" s="1" t="n">
        <f aca="false">P27*$K27/$I27</f>
        <v>44.6516909046517</v>
      </c>
      <c r="T27" s="1" t="n">
        <f aca="false">Q27*$K27/$I27</f>
        <v>47.3512492522974</v>
      </c>
      <c r="U27" s="1" t="n">
        <v>1.6475</v>
      </c>
      <c r="X27" s="1" t="n">
        <f aca="false">AVERAGE(S27:S28)/100</f>
        <v>0.448337149454742</v>
      </c>
      <c r="Y27" s="1" t="n">
        <f aca="false">AVERAGE(T27:T28)/100</f>
        <v>0.476222557679019</v>
      </c>
      <c r="Z27" s="1" t="n">
        <f aca="false">AVERAGE(U27:V28)/100</f>
        <v>0.0164795</v>
      </c>
      <c r="AA27" s="1" t="n">
        <f aca="false">SUM(W27:Z27)</f>
        <v>0.941039207133761</v>
      </c>
      <c r="AE27" s="1" t="n">
        <f aca="false">IFERROR(X27/$AA27,"")</f>
        <v>0.476427704665247</v>
      </c>
      <c r="AF27" s="1" t="n">
        <f aca="false">IFERROR(Y27/$AA27,"")</f>
        <v>0.50606027258897</v>
      </c>
      <c r="AG27" s="1" t="n">
        <f aca="false">IFERROR(Z27/$AA27,"")</f>
        <v>0.017512022745783</v>
      </c>
    </row>
    <row r="28" customFormat="false" ht="14.25" hidden="false" customHeight="true" outlineLevel="0" collapsed="false">
      <c r="A28" s="45"/>
      <c r="B28" s="1" t="s">
        <v>33</v>
      </c>
      <c r="C28" s="1" t="n">
        <v>4</v>
      </c>
      <c r="D28" s="1" t="n">
        <v>2.7433</v>
      </c>
      <c r="F28" s="1" t="n">
        <v>3.0422</v>
      </c>
      <c r="G28" s="2" t="n">
        <f aca="false">1000-E28</f>
        <v>1000</v>
      </c>
      <c r="H28" s="1" t="n">
        <v>3.5249</v>
      </c>
      <c r="I28" s="1" t="n">
        <f aca="false">F28-D28</f>
        <v>0.2989</v>
      </c>
      <c r="J28" s="1" t="n">
        <f aca="false">H28-F28</f>
        <v>0.4827</v>
      </c>
      <c r="K28" s="1" t="n">
        <f aca="false">J28+I28</f>
        <v>0.7816</v>
      </c>
      <c r="M28" s="1" t="n">
        <v>2921.84</v>
      </c>
      <c r="N28" s="1" t="n">
        <v>2624.4</v>
      </c>
      <c r="P28" s="1" t="n">
        <f aca="false">(M28/$G$2)^(1/$G$3)</f>
        <v>17.214949312953</v>
      </c>
      <c r="Q28" s="1" t="n">
        <f aca="false">(N28/$H$2)^(1/$H$3)</f>
        <v>18.3153737161464</v>
      </c>
      <c r="S28" s="1" t="n">
        <f aca="false">P28*$K28/$I28</f>
        <v>45.0157389862967</v>
      </c>
      <c r="T28" s="1" t="n">
        <f aca="false">Q28*$K28/$I28</f>
        <v>47.8932622835064</v>
      </c>
      <c r="U28" s="1" t="n">
        <v>1.6484</v>
      </c>
    </row>
  </sheetData>
  <mergeCells count="9">
    <mergeCell ref="O3:Q3"/>
    <mergeCell ref="R3:T3"/>
    <mergeCell ref="U3:V3"/>
    <mergeCell ref="A5:A8"/>
    <mergeCell ref="A9:A12"/>
    <mergeCell ref="A13:A16"/>
    <mergeCell ref="A17:A20"/>
    <mergeCell ref="A21:A24"/>
    <mergeCell ref="A25:A2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LibreOffice/26.8.1.1$MacOSX_AARCH64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Sebastian Ormazabal</dc:creator>
  <dc:description/>
  <dc:language>en-GB</dc:language>
  <cp:lastModifiedBy/>
  <dcterms:modified xsi:type="dcterms:W3CDTF">2026-10-12T16:19:37Z</dcterms:modified>
  <cp:revision>57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