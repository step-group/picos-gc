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Bloque A" sheetId="1" state="visible" r:id="rId3"/>
    <sheet name="Bloque B" sheetId="2" state="visible" r:id="rId4"/>
    <sheet name="Bloque C" sheetId="3" state="visible" r:id="rId5"/>
    <sheet name="Bloque D" sheetId="4" state="visible" r:id="rId6"/>
    <sheet name="Bloque E" sheetId="5" state="visible" r:id="rId7"/>
    <sheet name="Bloque F" sheetId="6" state="visible" r:id="rId8"/>
    <sheet name="Bloque H" sheetId="7" state="visible" r:id="rId9"/>
    <sheet name="Bloque I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<sst xmlns="http://schemas.openxmlformats.org/spreadsheetml/2006/main" count="501" uniqueCount="71">
  <si>
    <t xml:space="preserve">2PhEt</t>
  </si>
  <si>
    <t xml:space="preserve">Thymol:Carvone</t>
  </si>
  <si>
    <t xml:space="preserve">Pend. CC</t>
  </si>
  <si>
    <t xml:space="preserve">Thymol</t>
  </si>
  <si>
    <t xml:space="preserve">Carvone</t>
  </si>
  <si>
    <t xml:space="preserve">Diluido</t>
  </si>
  <si>
    <t xml:space="preserve">Real</t>
  </si>
  <si>
    <t xml:space="preserve">KF - Water %m/m</t>
  </si>
  <si>
    <t xml:space="preserve">Cód. Sist</t>
  </si>
  <si>
    <t xml:space="preserve">Fase</t>
  </si>
  <si>
    <t xml:space="preserve">Cód. vial</t>
  </si>
  <si>
    <t xml:space="preserve">Vial, g</t>
  </si>
  <si>
    <t xml:space="preserve">Muestra, uL</t>
  </si>
  <si>
    <t xml:space="preserve">V + muestra, g</t>
  </si>
  <si>
    <t xml:space="preserve">2-propanol, uL</t>
  </si>
  <si>
    <t xml:space="preserve">V + M + Met, g</t>
  </si>
  <si>
    <t xml:space="preserve">Muestra, g</t>
  </si>
  <si>
    <t xml:space="preserve">2-propanol</t>
  </si>
  <si>
    <t xml:space="preserve">Mue + Met</t>
  </si>
  <si>
    <t xml:space="preserve">Area Soluto</t>
  </si>
  <si>
    <t xml:space="preserve">Area  HBA</t>
  </si>
  <si>
    <t xml:space="preserve">Area HBD</t>
  </si>
  <si>
    <t xml:space="preserve">2PhEt, %m/m</t>
  </si>
  <si>
    <t xml:space="preserve">HBA, %m/m</t>
  </si>
  <si>
    <t xml:space="preserve">HBD, %m/m</t>
  </si>
  <si>
    <t xml:space="preserve">Solute</t>
  </si>
  <si>
    <t xml:space="preserve">HBA</t>
  </si>
  <si>
    <t xml:space="preserve">HBD</t>
  </si>
  <si>
    <t xml:space="preserve">Water</t>
  </si>
  <si>
    <t xml:space="preserve">A</t>
  </si>
  <si>
    <t xml:space="preserve">A1</t>
  </si>
  <si>
    <t xml:space="preserve">Superior</t>
  </si>
  <si>
    <t xml:space="preserve">Inferior</t>
  </si>
  <si>
    <t xml:space="preserve">A2</t>
  </si>
  <si>
    <t xml:space="preserve">A3</t>
  </si>
  <si>
    <t xml:space="preserve">A4</t>
  </si>
  <si>
    <t xml:space="preserve">A5</t>
  </si>
  <si>
    <t xml:space="preserve">Bin</t>
  </si>
  <si>
    <t xml:space="preserve">Thym:Geraniol</t>
  </si>
  <si>
    <t xml:space="preserve">Geraniol</t>
  </si>
  <si>
    <t xml:space="preserve">Area HBA</t>
  </si>
  <si>
    <t xml:space="preserve">B1</t>
  </si>
  <si>
    <t xml:space="preserve">B2</t>
  </si>
  <si>
    <t xml:space="preserve">B3</t>
  </si>
  <si>
    <t xml:space="preserve">B4</t>
  </si>
  <si>
    <t xml:space="preserve">B5</t>
  </si>
  <si>
    <t xml:space="preserve">Thym:Carvacrol</t>
  </si>
  <si>
    <t xml:space="preserve">Carvacrol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</si>
  <si>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</si>
  <si>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</si>
  <si>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</si>
  <si>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</si>
  <si>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</si>
  <si>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Thym:Eug</t>
  </si>
  <si>
    <t xml:space="preserve">Eugenol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</si>
  <si>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</si>
  <si>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</si>
  <si>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</si>
  <si>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</si>
  <si>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</si>
  <si>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Thym:Camph</t>
  </si>
  <si>
    <t xml:space="preserve">Camphor</t>
  </si>
  <si>
    <t xml:space="preserve">E1</t>
  </si>
  <si>
    <t xml:space="preserve">E2</t>
  </si>
  <si>
    <t xml:space="preserve">E3</t>
  </si>
  <si>
    <t xml:space="preserve">E4</t>
  </si>
  <si>
    <t xml:space="preserve">E5</t>
  </si>
  <si>
    <t xml:space="preserve">Camph:Carvone</t>
  </si>
  <si>
    <t xml:space="preserve">Camph:Carv</t>
  </si>
  <si>
    <t xml:space="preserve">Camph</t>
  </si>
  <si>
    <t xml:space="preserve">Camph:Eugenol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</si>
</sst>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00"/>
    <numFmt numFmtId="166" formatCode="0.0000"/>
    <numFmt numFmtId="167" formatCode="#,##0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20"/>
      <color theme="1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7" tint="0.7999"/>
        <bgColor rgb="FFFFFFFF"/>
      </patternFill>
    </fill>
    <fill>
      <patternFill patternType="solid">
        <fgColor theme="0"/>
        <bgColor rgb="FFFFF2CC"/>
      </patternFill>
    </fill>
    <fill>
      <patternFill patternType="solid">
        <fgColor rgb="FFFFFF00"/>
        <bgColor rgb="FFFFFF00"/>
      </patternFill>
    </fill>
  </fills>
  <borders count="25">
    <border diagonalUp="false" diagonalDown="false">
      <left/>
      <right/>
      <top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2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2D05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K28" activeCellId="0" sqref="K28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  <col collapsed="false" customWidth="true" hidden="false" outlineLevel="0" max="28" min="28" style="1" width="5.33"/>
  </cols>
  <sheetData>
    <row r="1" customFormat="false" ht="26.25" hidden="false" customHeight="true" outlineLevel="0" collapsed="false">
      <c r="F1" s="3" t="s">
        <v>0</v>
      </c>
      <c r="G1" s="3" t="s">
        <v>1</v>
      </c>
    </row>
    <row r="2" customFormat="false" ht="14.25" hidden="false" customHeight="true" outlineLevel="0" collapsed="false">
      <c r="E2" s="1" t="s">
        <v>2</v>
      </c>
      <c r="F2" s="1" t="n">
        <v>187.3142</v>
      </c>
      <c r="G2" s="2" t="n">
        <v>176.3849</v>
      </c>
      <c r="H2" s="4" t="n">
        <v>171.2346</v>
      </c>
    </row>
    <row r="3" customFormat="false" ht="14.25" hidden="false" customHeight="true" outlineLevel="0" collapsed="false">
      <c r="M3" s="1" t="s">
        <v>3</v>
      </c>
      <c r="N3" s="1" t="s">
        <v>4</v>
      </c>
      <c r="O3" s="5" t="s">
        <v>5</v>
      </c>
      <c r="P3" s="5"/>
      <c r="Q3" s="5"/>
      <c r="R3" s="6" t="s">
        <v>6</v>
      </c>
      <c r="S3" s="6"/>
      <c r="T3" s="6"/>
      <c r="U3" s="7" t="s">
        <v>7</v>
      </c>
      <c r="V3" s="7"/>
    </row>
    <row r="4" customFormat="false" ht="14.25" hidden="false" customHeight="true" outlineLevel="0" collapsed="false">
      <c r="A4" s="8" t="s">
        <v>8</v>
      </c>
      <c r="B4" s="8" t="s">
        <v>9</v>
      </c>
      <c r="C4" s="8" t="s">
        <v>10</v>
      </c>
      <c r="D4" s="8" t="s">
        <v>11</v>
      </c>
      <c r="E4" s="8" t="s">
        <v>12</v>
      </c>
      <c r="F4" s="8" t="s">
        <v>13</v>
      </c>
      <c r="G4" s="8" t="s">
        <v>14</v>
      </c>
      <c r="H4" s="8" t="s">
        <v>15</v>
      </c>
      <c r="I4" s="9" t="s">
        <v>16</v>
      </c>
      <c r="J4" s="9" t="s">
        <v>17</v>
      </c>
      <c r="K4" s="9" t="s">
        <v>18</v>
      </c>
      <c r="L4" s="9" t="s">
        <v>19</v>
      </c>
      <c r="M4" s="10" t="s">
        <v>20</v>
      </c>
      <c r="N4" s="11" t="s">
        <v>21</v>
      </c>
      <c r="O4" s="12" t="s">
        <v>22</v>
      </c>
      <c r="P4" s="13" t="s">
        <v>23</v>
      </c>
      <c r="Q4" s="14" t="s">
        <v>24</v>
      </c>
      <c r="R4" s="12" t="s">
        <v>22</v>
      </c>
      <c r="S4" s="13" t="s">
        <v>23</v>
      </c>
      <c r="T4" s="14" t="s">
        <v>24</v>
      </c>
      <c r="U4" s="15" t="n">
        <v>1</v>
      </c>
      <c r="V4" s="15" t="n">
        <v>2</v>
      </c>
      <c r="W4" s="16" t="s">
        <v>25</v>
      </c>
      <c r="X4" s="15" t="s">
        <v>26</v>
      </c>
      <c r="Y4" s="15" t="s">
        <v>27</v>
      </c>
      <c r="Z4" s="17" t="s">
        <v>28</v>
      </c>
      <c r="AA4" s="2"/>
      <c r="AB4" s="2"/>
      <c r="AC4" s="8" t="s">
        <v>29</v>
      </c>
      <c r="AD4" s="8" t="s">
        <v>25</v>
      </c>
      <c r="AE4" s="8" t="s">
        <v>3</v>
      </c>
      <c r="AF4" s="8" t="s">
        <v>4</v>
      </c>
      <c r="AG4" s="8" t="s">
        <v>28</v>
      </c>
    </row>
    <row r="5" customFormat="false" ht="14.25" hidden="false" customHeight="true" outlineLevel="0" collapsed="false">
      <c r="A5" s="18" t="s">
        <v>30</v>
      </c>
      <c r="B5" s="19" t="s">
        <v>31</v>
      </c>
      <c r="C5" s="20" t="n">
        <v>1</v>
      </c>
      <c r="D5" s="21" t="n">
        <v>2.7385</v>
      </c>
      <c r="E5" s="19" t="n">
        <v>300</v>
      </c>
      <c r="F5" s="20" t="n">
        <v>2.9211</v>
      </c>
      <c r="G5" s="19" t="n">
        <f aca="false">1000-E5</f>
        <v>700</v>
      </c>
      <c r="H5" s="20" t="n">
        <v>3.4876</v>
      </c>
      <c r="I5" s="22" t="n">
        <f aca="false">F5-D5</f>
        <v>0.1826</v>
      </c>
      <c r="J5" s="22" t="n">
        <f aca="false">H5-F5</f>
        <v>0.5665</v>
      </c>
      <c r="K5" s="22" t="n">
        <f aca="false">J5+I5</f>
        <v>0.7491</v>
      </c>
      <c r="L5" s="23" t="n">
        <v>143.7888</v>
      </c>
      <c r="M5" s="23" t="n">
        <v>1825.2707</v>
      </c>
      <c r="N5" s="23" t="n">
        <v>1726.4384</v>
      </c>
      <c r="O5" s="24" t="n">
        <f aca="false">L5/$F$2</f>
        <v>0.767634274390303</v>
      </c>
      <c r="P5" s="24" t="n">
        <f aca="false">M5/$G$2</f>
        <v>10.3482253866402</v>
      </c>
      <c r="Q5" s="24" t="n">
        <f aca="false">N5/$H$2</f>
        <v>10.082298787745</v>
      </c>
      <c r="R5" s="25" t="n">
        <f aca="false">O5*$K5/$I5</f>
        <v>3.14915024614335</v>
      </c>
      <c r="S5" s="25" t="n">
        <f aca="false">P5*$K5/$I5</f>
        <v>42.4526595680844</v>
      </c>
      <c r="T5" s="26" t="n">
        <f aca="false">Q5*$K5/$I5</f>
        <v>41.3617197256286</v>
      </c>
      <c r="U5" s="27" t="n">
        <v>1.9303</v>
      </c>
      <c r="V5" s="27"/>
      <c r="W5" s="28" t="n">
        <f aca="false">AVERAGE(R5:R6)/100</f>
        <v>0.0320005478226474</v>
      </c>
      <c r="X5" s="27" t="n">
        <f aca="false">AVERAGE(S5:S6)/100</f>
        <v>0.430732299008456</v>
      </c>
      <c r="Y5" s="27" t="n">
        <f aca="false">AVERAGE(T5:T6)/100</f>
        <v>0.419873235764452</v>
      </c>
      <c r="Z5" s="29" t="n">
        <f aca="false">AVERAGE(U5:V6)/100</f>
        <v>0.0194915</v>
      </c>
      <c r="AA5" s="2" t="n">
        <f aca="false">SUM(W5:Z5)</f>
        <v>0.902097582595555</v>
      </c>
      <c r="AB5" s="2"/>
      <c r="AC5" s="30" t="n">
        <v>1</v>
      </c>
      <c r="AD5" s="31" t="n">
        <v>0.0355501845766685</v>
      </c>
      <c r="AE5" s="31" t="n">
        <v>0.478510956054518</v>
      </c>
      <c r="AF5" s="31" t="n">
        <v>0.466447359368813</v>
      </c>
      <c r="AG5" s="31" t="n">
        <v>0.0194915</v>
      </c>
    </row>
    <row r="6" customFormat="false" ht="14.25" hidden="false" customHeight="true" outlineLevel="0" collapsed="false">
      <c r="A6" s="18"/>
      <c r="B6" s="20" t="s">
        <v>31</v>
      </c>
      <c r="C6" s="20" t="n">
        <v>2</v>
      </c>
      <c r="D6" s="20" t="n">
        <v>2.7637</v>
      </c>
      <c r="E6" s="20" t="n">
        <v>300</v>
      </c>
      <c r="F6" s="20" t="n">
        <v>2.9548</v>
      </c>
      <c r="G6" s="19" t="n">
        <f aca="false">1000-E6</f>
        <v>700</v>
      </c>
      <c r="H6" s="20" t="n">
        <v>3.5091</v>
      </c>
      <c r="I6" s="22" t="n">
        <f aca="false">F6-D6</f>
        <v>0.1911</v>
      </c>
      <c r="J6" s="22" t="n">
        <f aca="false">H6-F6</f>
        <v>0.5543</v>
      </c>
      <c r="K6" s="22" t="n">
        <f aca="false">J6+I6</f>
        <v>0.7454</v>
      </c>
      <c r="L6" s="23" t="n">
        <v>156.1182</v>
      </c>
      <c r="M6" s="23" t="n">
        <v>1975.8434</v>
      </c>
      <c r="N6" s="23" t="n">
        <v>1870.7002</v>
      </c>
      <c r="O6" s="24" t="n">
        <f aca="false">L6/$F$2</f>
        <v>0.833456299629179</v>
      </c>
      <c r="P6" s="24" t="n">
        <f aca="false">M6/$G$2</f>
        <v>11.201885195388</v>
      </c>
      <c r="Q6" s="24" t="n">
        <f aca="false">N6/$H$2</f>
        <v>10.9247792210219</v>
      </c>
      <c r="R6" s="25" t="n">
        <f aca="false">O6*$K6/$I6</f>
        <v>3.25095931838613</v>
      </c>
      <c r="S6" s="25" t="n">
        <f aca="false">P6*$K6/$I6</f>
        <v>43.6938002336067</v>
      </c>
      <c r="T6" s="26" t="n">
        <f aca="false">Q6*$K6/$I6</f>
        <v>42.6129274272618</v>
      </c>
      <c r="U6" s="27" t="n">
        <v>1.968</v>
      </c>
      <c r="V6" s="27"/>
      <c r="W6" s="32"/>
      <c r="X6" s="2"/>
      <c r="Y6" s="2"/>
      <c r="Z6" s="33"/>
      <c r="AA6" s="2"/>
      <c r="AB6" s="2"/>
      <c r="AC6" s="30"/>
      <c r="AD6" s="31" t="n">
        <f aca="false">W7/$AA7</f>
        <v>0.000877034952519977</v>
      </c>
      <c r="AE6" s="31" t="n">
        <f aca="false">X7/$AA7</f>
        <v>0.000479295737716274</v>
      </c>
      <c r="AF6" s="31" t="n">
        <f aca="false">Y7/$AA7</f>
        <v>0.000484922308187968</v>
      </c>
      <c r="AG6" s="31" t="n">
        <f aca="false">Z7/$AA7</f>
        <v>0.998158747001576</v>
      </c>
    </row>
    <row r="7" customFormat="false" ht="14.25" hidden="false" customHeight="true" outlineLevel="0" collapsed="false">
      <c r="A7" s="18"/>
      <c r="B7" s="34" t="s">
        <v>32</v>
      </c>
      <c r="C7" s="34" t="n">
        <v>3</v>
      </c>
      <c r="D7" s="34" t="n">
        <v>2.7229</v>
      </c>
      <c r="E7" s="34" t="n">
        <v>100</v>
      </c>
      <c r="F7" s="34" t="n">
        <v>2.924</v>
      </c>
      <c r="G7" s="30" t="n">
        <f aca="false">1000-E7</f>
        <v>900</v>
      </c>
      <c r="H7" s="34" t="n">
        <v>3.4906</v>
      </c>
      <c r="I7" s="35" t="n">
        <f aca="false">F7-D7</f>
        <v>0.2011</v>
      </c>
      <c r="J7" s="35" t="n">
        <f aca="false">H7-F7</f>
        <v>0.5666</v>
      </c>
      <c r="K7" s="35" t="n">
        <f aca="false">J7+I7</f>
        <v>0.7677</v>
      </c>
      <c r="L7" s="36" t="n">
        <v>4.1589</v>
      </c>
      <c r="M7" s="1" t="n">
        <v>1.0102</v>
      </c>
      <c r="N7" s="1" t="n">
        <v>1.0892</v>
      </c>
      <c r="O7" s="37" t="n">
        <f aca="false">L7/$F$2</f>
        <v>0.0222028014960959</v>
      </c>
      <c r="P7" s="37" t="n">
        <f aca="false">M7/$G$2</f>
        <v>0.00572724762720618</v>
      </c>
      <c r="Q7" s="37" t="n">
        <f aca="false">N7/$H$2</f>
        <v>0.00636086398426486</v>
      </c>
      <c r="R7" s="38" t="n">
        <f aca="false">O7*$K7/$I7</f>
        <v>0.0847592775164237</v>
      </c>
      <c r="S7" s="38" t="n">
        <f aca="false">P7*$K7/$I7</f>
        <v>0.0218637891765599</v>
      </c>
      <c r="T7" s="39" t="n">
        <f aca="false">Q7*$K7/$I7</f>
        <v>0.0242826219826959</v>
      </c>
      <c r="U7" s="2" t="n">
        <v>97.9104</v>
      </c>
      <c r="V7" s="2"/>
      <c r="W7" s="32" t="n">
        <f aca="false">AVERAGE(R7:R8)/100</f>
        <v>0.000860668070259335</v>
      </c>
      <c r="X7" s="2" t="n">
        <f aca="false">AVERAGE(S7:S8)/100</f>
        <v>0.000470351308666223</v>
      </c>
      <c r="Y7" s="2" t="n">
        <f aca="false">AVERAGE(T7:T8)/100</f>
        <v>0.000475872878286837</v>
      </c>
      <c r="Z7" s="33" t="n">
        <f aca="false">AVERAGE(U7:V8)/100</f>
        <v>0.9795315</v>
      </c>
      <c r="AA7" s="2" t="n">
        <f aca="false">SUM(W7:Z7)</f>
        <v>0.981338392257212</v>
      </c>
      <c r="AB7" s="2"/>
      <c r="AC7" s="30" t="n">
        <v>2</v>
      </c>
      <c r="AD7" s="31" t="n">
        <v>0.000860668070259335</v>
      </c>
      <c r="AE7" s="31" t="n">
        <v>0.000470351308666223</v>
      </c>
      <c r="AF7" s="31" t="n">
        <v>0.000475872878286837</v>
      </c>
      <c r="AG7" s="31" t="n">
        <v>0.998193107742788</v>
      </c>
    </row>
    <row r="8" customFormat="false" ht="14.25" hidden="false" customHeight="true" outlineLevel="0" collapsed="false">
      <c r="A8" s="18"/>
      <c r="B8" s="34" t="s">
        <v>32</v>
      </c>
      <c r="C8" s="34" t="n">
        <v>4</v>
      </c>
      <c r="D8" s="34" t="n">
        <v>2.7988</v>
      </c>
      <c r="E8" s="34" t="n">
        <v>100</v>
      </c>
      <c r="F8" s="34" t="n">
        <v>3.0014</v>
      </c>
      <c r="G8" s="30" t="n">
        <f aca="false">1000-E8</f>
        <v>900</v>
      </c>
      <c r="H8" s="34" t="n">
        <v>3.5781</v>
      </c>
      <c r="I8" s="35" t="n">
        <f aca="false">F8-D8</f>
        <v>0.2026</v>
      </c>
      <c r="J8" s="35" t="n">
        <f aca="false">H8-F8</f>
        <v>0.5767</v>
      </c>
      <c r="K8" s="35" t="n">
        <f aca="false">J8+I8</f>
        <v>0.7793</v>
      </c>
      <c r="L8" s="36" t="n">
        <v>4.2549</v>
      </c>
      <c r="M8" s="36" t="n">
        <v>3.3111</v>
      </c>
      <c r="N8" s="1" t="n">
        <v>3.1559</v>
      </c>
      <c r="O8" s="37" t="n">
        <f aca="false">L8/$F$2</f>
        <v>0.0227153093572191</v>
      </c>
      <c r="P8" s="37" t="n">
        <f aca="false">M8/$G$2</f>
        <v>0.0187720150647816</v>
      </c>
      <c r="Q8" s="37" t="n">
        <f aca="false">N8/$H$2</f>
        <v>0.0184302705177575</v>
      </c>
      <c r="R8" s="38" t="n">
        <f aca="false">O8*$K8/$I8</f>
        <v>0.0873743365354433</v>
      </c>
      <c r="S8" s="38" t="n">
        <f aca="false">P8*$K8/$I8</f>
        <v>0.0722064725566848</v>
      </c>
      <c r="T8" s="39" t="n">
        <f aca="false">Q8*$K8/$I8</f>
        <v>0.0708919536746715</v>
      </c>
      <c r="U8" s="2" t="n">
        <v>97.9959</v>
      </c>
      <c r="V8" s="2"/>
      <c r="W8" s="32"/>
      <c r="X8" s="2"/>
      <c r="Y8" s="2"/>
      <c r="Z8" s="33"/>
      <c r="AA8" s="2"/>
      <c r="AB8" s="2"/>
      <c r="AC8" s="30"/>
      <c r="AD8" s="31" t="n">
        <f aca="false">W11/$AA11</f>
        <v>0.864807993469482</v>
      </c>
      <c r="AE8" s="31" t="n">
        <f aca="false">X11/$AA11</f>
        <v>0.0207443333249846</v>
      </c>
      <c r="AF8" s="31" t="n">
        <f aca="false">Y11/$AA11</f>
        <v>0.0199189351147428</v>
      </c>
      <c r="AG8" s="31" t="n">
        <f aca="false">Z11/$AA11</f>
        <v>0.0945287380907908</v>
      </c>
    </row>
    <row r="9" customFormat="false" ht="14.25" hidden="false" customHeight="true" outlineLevel="0" collapsed="false">
      <c r="A9" s="18" t="s">
        <v>33</v>
      </c>
      <c r="B9" s="19" t="s">
        <v>31</v>
      </c>
      <c r="C9" s="20" t="n">
        <v>5</v>
      </c>
      <c r="D9" s="19" t="n">
        <v>2.8045</v>
      </c>
      <c r="E9" s="19" t="n">
        <v>300</v>
      </c>
      <c r="F9" s="20" t="n">
        <v>3.0039</v>
      </c>
      <c r="G9" s="19" t="n">
        <f aca="false">1000-E9</f>
        <v>700</v>
      </c>
      <c r="H9" s="20" t="n">
        <v>3.5604</v>
      </c>
      <c r="I9" s="22" t="n">
        <f aca="false">F9-D9</f>
        <v>0.1994</v>
      </c>
      <c r="J9" s="22" t="n">
        <f aca="false">H9-F9</f>
        <v>0.5565</v>
      </c>
      <c r="K9" s="22" t="n">
        <f aca="false">J9+I9</f>
        <v>0.7559</v>
      </c>
      <c r="L9" s="23" t="n">
        <v>89.7368</v>
      </c>
      <c r="M9" s="23" t="n">
        <v>0.0573</v>
      </c>
      <c r="N9" s="23" t="n">
        <v>0.0966</v>
      </c>
      <c r="O9" s="24" t="n">
        <f aca="false">L9/$F$2</f>
        <v>0.479070994083737</v>
      </c>
      <c r="P9" s="24" t="n">
        <f aca="false">M9/$G$2</f>
        <v>0.000324857740089996</v>
      </c>
      <c r="Q9" s="24" t="n">
        <f aca="false">N9/$H$2</f>
        <v>0.000564138322511922</v>
      </c>
      <c r="R9" s="25" t="n">
        <f aca="false">O9*$K9/$I9</f>
        <v>1.81609711347993</v>
      </c>
      <c r="S9" s="25" t="n">
        <f aca="false">P9*$K9/$I9</f>
        <v>0.00123149431160496</v>
      </c>
      <c r="T9" s="26" t="n">
        <f aca="false">Q9*$K9/$I9</f>
        <v>0.00213857651949229</v>
      </c>
      <c r="U9" s="27" t="n">
        <v>98.9515</v>
      </c>
      <c r="V9" s="27"/>
      <c r="W9" s="28" t="n">
        <f aca="false">AVERAGE(R9:R10)/100</f>
        <v>0.0180182233557829</v>
      </c>
      <c r="X9" s="27" t="n">
        <f aca="false">AVERAGE(S9:S10)/100</f>
        <v>1.51741824583651E-005</v>
      </c>
      <c r="Y9" s="27" t="n">
        <f aca="false">AVERAGE(T9:T10)/100</f>
        <v>2.4394741226228E-005</v>
      </c>
      <c r="Z9" s="29" t="n">
        <f aca="false">AVERAGE(U9:V10)/100</f>
        <v>0.9848105</v>
      </c>
      <c r="AA9" s="2" t="n">
        <f aca="false">SUM(W9:Z9)</f>
        <v>1.00286829227947</v>
      </c>
      <c r="AB9" s="2"/>
      <c r="AC9" s="30" t="n">
        <v>3</v>
      </c>
      <c r="AD9" s="31" t="n">
        <v>0.0180182233557829</v>
      </c>
      <c r="AE9" s="31" t="n">
        <v>1.51741824583651E-005</v>
      </c>
      <c r="AF9" s="31" t="n">
        <v>2.43947412262281E-005</v>
      </c>
      <c r="AG9" s="31" t="n">
        <v>0.981942207720533</v>
      </c>
    </row>
    <row r="10" customFormat="false" ht="14.25" hidden="false" customHeight="true" outlineLevel="0" collapsed="false">
      <c r="A10" s="18"/>
      <c r="B10" s="20" t="s">
        <v>31</v>
      </c>
      <c r="C10" s="20" t="n">
        <v>6</v>
      </c>
      <c r="D10" s="20" t="n">
        <v>2.766</v>
      </c>
      <c r="E10" s="20" t="n">
        <v>300</v>
      </c>
      <c r="F10" s="20" t="n">
        <v>2.972</v>
      </c>
      <c r="G10" s="19" t="n">
        <f aca="false">1000-E10</f>
        <v>700</v>
      </c>
      <c r="H10" s="20" t="n">
        <v>3.5387</v>
      </c>
      <c r="I10" s="22" t="n">
        <f aca="false">F10-D10</f>
        <v>0.206</v>
      </c>
      <c r="J10" s="22" t="n">
        <f aca="false">H10-F10</f>
        <v>0.5667</v>
      </c>
      <c r="K10" s="22" t="n">
        <f aca="false">J10+I10</f>
        <v>0.7727</v>
      </c>
      <c r="L10" s="23" t="n">
        <v>89.2657</v>
      </c>
      <c r="M10" s="23" t="n">
        <v>0.0848</v>
      </c>
      <c r="N10" s="23" t="n">
        <v>0.1251</v>
      </c>
      <c r="O10" s="24" t="n">
        <f aca="false">L10/$F$2</f>
        <v>0.476555968527746</v>
      </c>
      <c r="P10" s="24" t="n">
        <f aca="false">M10/$G$2</f>
        <v>0.000480766777655003</v>
      </c>
      <c r="Q10" s="24" t="n">
        <f aca="false">N10/$H$2</f>
        <v>0.00073057664747662</v>
      </c>
      <c r="R10" s="25" t="n">
        <f aca="false">O10*$K10/$I10</f>
        <v>1.78754755767665</v>
      </c>
      <c r="S10" s="25" t="n">
        <f aca="false">P10*$K10/$I10</f>
        <v>0.00180334218006806</v>
      </c>
      <c r="T10" s="26" t="n">
        <f aca="false">Q10*$K10/$I10</f>
        <v>0.00274037172575332</v>
      </c>
      <c r="U10" s="27" t="n">
        <v>98.0106</v>
      </c>
      <c r="V10" s="27"/>
      <c r="W10" s="32"/>
      <c r="X10" s="2"/>
      <c r="Y10" s="2"/>
      <c r="Z10" s="33"/>
      <c r="AA10" s="2"/>
      <c r="AB10" s="2"/>
      <c r="AC10" s="30"/>
      <c r="AD10" s="31" t="n">
        <f aca="false">W15/$AA15</f>
        <v>0.0105489577123</v>
      </c>
      <c r="AE10" s="31" t="n">
        <f aca="false">X15/$AA15</f>
        <v>9.92747406620509E-005</v>
      </c>
      <c r="AF10" s="31" t="n">
        <f aca="false">Y15/$AA15</f>
        <v>0.000165345195245082</v>
      </c>
      <c r="AG10" s="31" t="n">
        <f aca="false">Z15/$AA15</f>
        <v>0.989186422351793</v>
      </c>
    </row>
    <row r="11" customFormat="false" ht="14.25" hidden="false" customHeight="true" outlineLevel="0" collapsed="false">
      <c r="A11" s="18"/>
      <c r="B11" s="34" t="s">
        <v>32</v>
      </c>
      <c r="C11" s="34" t="n">
        <v>7</v>
      </c>
      <c r="D11" s="34" t="n">
        <v>2.794</v>
      </c>
      <c r="E11" s="34" t="n">
        <v>100</v>
      </c>
      <c r="F11" s="34" t="n">
        <v>2.9914</v>
      </c>
      <c r="G11" s="30" t="n">
        <f aca="false">1000-E11</f>
        <v>900</v>
      </c>
      <c r="H11" s="34" t="n">
        <v>3.5716</v>
      </c>
      <c r="I11" s="35" t="n">
        <f aca="false">F11-D11</f>
        <v>0.1974</v>
      </c>
      <c r="J11" s="35" t="n">
        <f aca="false">H11-F11</f>
        <v>0.5802</v>
      </c>
      <c r="K11" s="35" t="n">
        <f aca="false">J11+I11</f>
        <v>0.7776</v>
      </c>
      <c r="L11" s="40" t="n">
        <v>3665.0895</v>
      </c>
      <c r="M11" s="1" t="n">
        <v>82.897</v>
      </c>
      <c r="N11" s="36" t="n">
        <v>77.3413</v>
      </c>
      <c r="O11" s="37" t="n">
        <f aca="false">L11/$F$2</f>
        <v>19.5665331298962</v>
      </c>
      <c r="P11" s="37" t="n">
        <f aca="false">M11/$G$2</f>
        <v>0.469977872255505</v>
      </c>
      <c r="Q11" s="37" t="n">
        <f aca="false">N11/$H$2</f>
        <v>0.451668646406743</v>
      </c>
      <c r="R11" s="38" t="n">
        <f aca="false">O11*$K11/$I11</f>
        <v>77.0766776180713</v>
      </c>
      <c r="S11" s="38" t="n">
        <f aca="false">P11*$K11/$I11</f>
        <v>1.85134140560223</v>
      </c>
      <c r="T11" s="39" t="n">
        <f aca="false">Q11*$K11/$I11</f>
        <v>1.77921752505513</v>
      </c>
      <c r="U11" s="2" t="n">
        <v>8.5693</v>
      </c>
      <c r="V11" s="2" t="n">
        <v>8.5126</v>
      </c>
      <c r="W11" s="32" t="n">
        <f aca="false">AVERAGE(R11:R12)/100</f>
        <v>0.780749771889085</v>
      </c>
      <c r="X11" s="2" t="n">
        <f aca="false">AVERAGE(S11:S12)/100</f>
        <v>0.0187280108807695</v>
      </c>
      <c r="Y11" s="2" t="n">
        <f aca="false">AVERAGE(T11:T12)/100</f>
        <v>0.0179828403120071</v>
      </c>
      <c r="Z11" s="33" t="n">
        <f aca="false">AVERAGE(U11:V12)/100</f>
        <v>0.0853406666666667</v>
      </c>
      <c r="AA11" s="2" t="n">
        <f aca="false">SUM(W11:Z11)</f>
        <v>0.902801289748528</v>
      </c>
      <c r="AB11" s="2"/>
      <c r="AC11" s="30" t="n">
        <v>4</v>
      </c>
      <c r="AD11" s="31" t="n">
        <v>0.873583443278233</v>
      </c>
      <c r="AE11" s="31" t="n">
        <v>0.0209548319065011</v>
      </c>
      <c r="AF11" s="31" t="n">
        <v>0.0201210581485991</v>
      </c>
      <c r="AG11" s="31" t="n">
        <v>0.0853406666666667</v>
      </c>
    </row>
    <row r="12" customFormat="false" ht="14.25" hidden="false" customHeight="true" outlineLevel="0" collapsed="false">
      <c r="A12" s="18"/>
      <c r="B12" s="34" t="s">
        <v>32</v>
      </c>
      <c r="C12" s="34" t="n">
        <v>8</v>
      </c>
      <c r="D12" s="34" t="n">
        <v>2.738</v>
      </c>
      <c r="E12" s="34" t="n">
        <v>100</v>
      </c>
      <c r="F12" s="34" t="n">
        <v>2.949</v>
      </c>
      <c r="G12" s="30" t="n">
        <f aca="false">1000-E12</f>
        <v>900</v>
      </c>
      <c r="H12" s="34" t="n">
        <v>3.5288</v>
      </c>
      <c r="I12" s="35" t="n">
        <f aca="false">F12-D12</f>
        <v>0.211</v>
      </c>
      <c r="J12" s="35" t="n">
        <f aca="false">H12-F12</f>
        <v>0.5798</v>
      </c>
      <c r="K12" s="35" t="n">
        <f aca="false">J12+I12</f>
        <v>0.7908</v>
      </c>
      <c r="L12" s="36" t="n">
        <v>3951.9936</v>
      </c>
      <c r="M12" s="1" t="n">
        <v>89.1491</v>
      </c>
      <c r="N12" s="36" t="n">
        <v>83.0321</v>
      </c>
      <c r="O12" s="37" t="n">
        <f aca="false">L12/$F$2</f>
        <v>21.0982061157136</v>
      </c>
      <c r="P12" s="37" t="n">
        <f aca="false">M12/$G$2</f>
        <v>0.505423650210421</v>
      </c>
      <c r="Q12" s="37" t="n">
        <f aca="false">N12/$H$2</f>
        <v>0.484902583940395</v>
      </c>
      <c r="R12" s="38" t="n">
        <f aca="false">O12*$K12/$I12</f>
        <v>79.0732767597456</v>
      </c>
      <c r="S12" s="38" t="n">
        <f aca="false">P12*$K12/$I12</f>
        <v>1.89426077055166</v>
      </c>
      <c r="T12" s="39" t="n">
        <f aca="false">Q12*$K12/$I12</f>
        <v>1.81735053734628</v>
      </c>
      <c r="U12" s="2"/>
      <c r="V12" s="2" t="n">
        <v>8.5203</v>
      </c>
      <c r="W12" s="32"/>
      <c r="X12" s="2"/>
      <c r="Y12" s="2"/>
      <c r="Z12" s="33"/>
      <c r="AA12" s="2"/>
      <c r="AB12" s="2"/>
      <c r="AC12" s="30"/>
      <c r="AD12" s="31" t="n">
        <f aca="false">W19/$AA19</f>
        <v>0.00613537526734453</v>
      </c>
      <c r="AE12" s="31" t="n">
        <f aca="false">X19/$AA19</f>
        <v>0.000550546399856059</v>
      </c>
      <c r="AF12" s="31" t="n">
        <f aca="false">Y19/$AA19</f>
        <v>0.000585928745054493</v>
      </c>
      <c r="AG12" s="31" t="n">
        <f aca="false">Z19/$AA19</f>
        <v>0.992728149587745</v>
      </c>
    </row>
    <row r="13" customFormat="false" ht="14.25" hidden="false" customHeight="true" outlineLevel="0" collapsed="false">
      <c r="A13" s="18" t="s">
        <v>34</v>
      </c>
      <c r="B13" s="19" t="s">
        <v>31</v>
      </c>
      <c r="C13" s="20" t="n">
        <v>9</v>
      </c>
      <c r="D13" s="19" t="n">
        <v>2.7535</v>
      </c>
      <c r="E13" s="19" t="n">
        <v>300</v>
      </c>
      <c r="F13" s="20" t="n">
        <v>2.946</v>
      </c>
      <c r="G13" s="19" t="n">
        <f aca="false">1000-E13</f>
        <v>700</v>
      </c>
      <c r="H13" s="20" t="n">
        <v>3.5107</v>
      </c>
      <c r="I13" s="22" t="n">
        <f aca="false">F13-D13</f>
        <v>0.1925</v>
      </c>
      <c r="J13" s="22" t="n">
        <f aca="false">H13-F13</f>
        <v>0.5647</v>
      </c>
      <c r="K13" s="22" t="n">
        <f aca="false">J13+I13</f>
        <v>0.7572</v>
      </c>
      <c r="L13" s="23" t="n">
        <v>2051.7156</v>
      </c>
      <c r="M13" s="23" t="n">
        <v>956.2822</v>
      </c>
      <c r="N13" s="23" t="n">
        <v>906.9137</v>
      </c>
      <c r="O13" s="24" t="n">
        <f aca="false">L13/$F$2</f>
        <v>10.9533372269694</v>
      </c>
      <c r="P13" s="24" t="n">
        <f aca="false">M13/$G$2</f>
        <v>5.42156499791082</v>
      </c>
      <c r="Q13" s="24" t="n">
        <f aca="false">N13/$H$2</f>
        <v>5.29632270580829</v>
      </c>
      <c r="R13" s="25" t="n">
        <f aca="false">O13*$K13/$I13</f>
        <v>43.0850231078507</v>
      </c>
      <c r="S13" s="25" t="n">
        <f aca="false">P13*$K13/$I13</f>
        <v>21.3257611242497</v>
      </c>
      <c r="T13" s="26" t="n">
        <f aca="false">Q13*$K13/$I13</f>
        <v>20.8331197550028</v>
      </c>
      <c r="U13" s="27" t="n">
        <v>4.0063</v>
      </c>
      <c r="V13" s="27"/>
      <c r="W13" s="28" t="n">
        <f aca="false">AVERAGE(R13:R14)/100</f>
        <v>0.432512900343067</v>
      </c>
      <c r="X13" s="27" t="n">
        <f aca="false">AVERAGE(S13:S14)/100</f>
        <v>0.213850678149348</v>
      </c>
      <c r="Y13" s="27" t="n">
        <f aca="false">AVERAGE(T13:T14)/100</f>
        <v>0.208791866401809</v>
      </c>
      <c r="Z13" s="29" t="n">
        <f aca="false">AVERAGE(U13:V14)/100</f>
        <v>0.0402765</v>
      </c>
      <c r="AA13" s="2" t="n">
        <f aca="false">SUM(W13:Z13)</f>
        <v>0.895431944894223</v>
      </c>
      <c r="AB13" s="2"/>
      <c r="AC13" s="30" t="n">
        <v>5</v>
      </c>
      <c r="AD13" s="31" t="n">
        <v>0.485400399413633</v>
      </c>
      <c r="AE13" s="31" t="n">
        <v>0.240000250873983</v>
      </c>
      <c r="AF13" s="31" t="n">
        <v>0.234322849712384</v>
      </c>
      <c r="AG13" s="31" t="n">
        <v>0.0402765</v>
      </c>
    </row>
    <row r="14" customFormat="false" ht="14.25" hidden="false" customHeight="true" outlineLevel="0" collapsed="false">
      <c r="A14" s="18"/>
      <c r="B14" s="19" t="s">
        <v>31</v>
      </c>
      <c r="C14" s="20" t="n">
        <v>10</v>
      </c>
      <c r="D14" s="20" t="n">
        <v>2.775</v>
      </c>
      <c r="E14" s="20" t="n">
        <v>300</v>
      </c>
      <c r="F14" s="20" t="n">
        <v>2.976</v>
      </c>
      <c r="G14" s="19" t="n">
        <f aca="false">1000-E14</f>
        <v>700</v>
      </c>
      <c r="H14" s="20" t="n">
        <v>3.4966</v>
      </c>
      <c r="I14" s="22" t="n">
        <f aca="false">F14-D14</f>
        <v>0.201</v>
      </c>
      <c r="J14" s="22" t="n">
        <f aca="false">H14-F14</f>
        <v>0.5206</v>
      </c>
      <c r="K14" s="22" t="n">
        <f aca="false">J14+I14</f>
        <v>0.7216</v>
      </c>
      <c r="L14" s="23" t="n">
        <v>2265.3516</v>
      </c>
      <c r="M14" s="23" t="n">
        <v>1053.5965</v>
      </c>
      <c r="N14" s="23" t="n">
        <v>998.0718</v>
      </c>
      <c r="O14" s="24" t="n">
        <f aca="false">L14/$F$2</f>
        <v>12.0938594084164</v>
      </c>
      <c r="P14" s="24" t="n">
        <f aca="false">M14/$G$2</f>
        <v>5.97328059261309</v>
      </c>
      <c r="Q14" s="24" t="n">
        <f aca="false">N14/$H$2</f>
        <v>5.82868065215792</v>
      </c>
      <c r="R14" s="25" t="n">
        <f aca="false">O14*$K14/$I14</f>
        <v>43.4175569607627</v>
      </c>
      <c r="S14" s="25" t="n">
        <f aca="false">P14*$K14/$I14</f>
        <v>21.4443745056199</v>
      </c>
      <c r="T14" s="26" t="n">
        <f aca="false">Q14*$K14/$I14</f>
        <v>20.925253525359</v>
      </c>
      <c r="U14" s="27" t="n">
        <v>4.049</v>
      </c>
      <c r="V14" s="27"/>
      <c r="W14" s="32"/>
      <c r="X14" s="2"/>
      <c r="Y14" s="2"/>
      <c r="Z14" s="33"/>
      <c r="AA14" s="2"/>
      <c r="AB14" s="2"/>
      <c r="AC14" s="30"/>
      <c r="AD14" s="31" t="n">
        <f aca="false">W23/$AA23</f>
        <v>0.715443207760595</v>
      </c>
      <c r="AE14" s="31" t="n">
        <f aca="false">X23/$AA23</f>
        <v>0.104950222041257</v>
      </c>
      <c r="AF14" s="31" t="n">
        <f aca="false">Y23/$AA23</f>
        <v>0.102069012354542</v>
      </c>
      <c r="AG14" s="31" t="n">
        <f aca="false">Z23/$AA23</f>
        <v>0.0775375578436054</v>
      </c>
    </row>
    <row r="15" customFormat="false" ht="14.25" hidden="false" customHeight="true" outlineLevel="0" collapsed="false">
      <c r="A15" s="18"/>
      <c r="B15" s="34" t="s">
        <v>32</v>
      </c>
      <c r="C15" s="34" t="n">
        <v>11</v>
      </c>
      <c r="D15" s="34" t="n">
        <v>2.8117</v>
      </c>
      <c r="E15" s="34" t="n">
        <v>100</v>
      </c>
      <c r="F15" s="34" t="n">
        <v>3.0243</v>
      </c>
      <c r="G15" s="30" t="n">
        <f aca="false">1000-E15</f>
        <v>900</v>
      </c>
      <c r="H15" s="34" t="n">
        <v>3.5274</v>
      </c>
      <c r="I15" s="35" t="n">
        <f aca="false">F15-D15</f>
        <v>0.2126</v>
      </c>
      <c r="J15" s="35" t="n">
        <f aca="false">H15-F15</f>
        <v>0.5031</v>
      </c>
      <c r="K15" s="35" t="n">
        <f aca="false">J15+I15</f>
        <v>0.7157</v>
      </c>
      <c r="L15" s="36" t="n">
        <v>55.0291</v>
      </c>
      <c r="M15" s="36" t="n">
        <v>0.4878</v>
      </c>
      <c r="N15" s="41" t="n">
        <v>0.7858</v>
      </c>
      <c r="O15" s="37" t="n">
        <f aca="false">L15/$F$2</f>
        <v>0.29377964938056</v>
      </c>
      <c r="P15" s="37" t="n">
        <f aca="false">M15/$G$2</f>
        <v>0.00276554285542583</v>
      </c>
      <c r="Q15" s="37" t="n">
        <f aca="false">N15/$H$2</f>
        <v>0.00458902581604419</v>
      </c>
      <c r="R15" s="38" t="n">
        <f aca="false">O15*$K15/$I15</f>
        <v>0.98898445466447</v>
      </c>
      <c r="S15" s="38" t="n">
        <f aca="false">P15*$K15/$I15</f>
        <v>0.00930996717605018</v>
      </c>
      <c r="T15" s="39" t="n">
        <f aca="false">Q15*$K15/$I15</f>
        <v>0.0154485690335975</v>
      </c>
      <c r="U15" s="2" t="n">
        <v>97.5173</v>
      </c>
      <c r="V15" s="2"/>
      <c r="W15" s="32" t="n">
        <f aca="false">AVERAGE(R15:R16)/100</f>
        <v>0.0104278603463358</v>
      </c>
      <c r="X15" s="2" t="n">
        <f aca="false">AVERAGE(S15:S16)/100</f>
        <v>9.81351105745269E-005</v>
      </c>
      <c r="Y15" s="2" t="n">
        <f aca="false">AVERAGE(T15:T16)/100</f>
        <v>0.00016344710557925</v>
      </c>
      <c r="Z15" s="33" t="n">
        <f aca="false">AVERAGE(U15:V16)/100</f>
        <v>0.977831</v>
      </c>
      <c r="AA15" s="2" t="n">
        <f aca="false">SUM(W15:Z15)</f>
        <v>0.98852044256249</v>
      </c>
      <c r="AB15" s="2"/>
      <c r="AD15" s="0" t="n">
        <v>0.0104278603463358</v>
      </c>
      <c r="AE15" s="0" t="n">
        <v>9.81351105745269E-005</v>
      </c>
      <c r="AF15" s="0" t="n">
        <v>0.00016344710557925</v>
      </c>
      <c r="AG15" s="0" t="n">
        <v>0.98931055743751</v>
      </c>
    </row>
    <row r="16" customFormat="false" ht="14.25" hidden="false" customHeight="true" outlineLevel="0" collapsed="false">
      <c r="A16" s="18"/>
      <c r="B16" s="34" t="s">
        <v>32</v>
      </c>
      <c r="C16" s="34" t="n">
        <v>12</v>
      </c>
      <c r="D16" s="34" t="n">
        <v>2.8198</v>
      </c>
      <c r="E16" s="34" t="n">
        <v>100</v>
      </c>
      <c r="F16" s="34" t="n">
        <v>3.0125</v>
      </c>
      <c r="G16" s="30" t="n">
        <f aca="false">1000-E16</f>
        <v>900</v>
      </c>
      <c r="H16" s="34" t="n">
        <v>3.5258</v>
      </c>
      <c r="I16" s="35" t="n">
        <f aca="false">F16-D16</f>
        <v>0.1927</v>
      </c>
      <c r="J16" s="35" t="n">
        <f aca="false">H16-F16</f>
        <v>0.5133</v>
      </c>
      <c r="K16" s="35" t="n">
        <f aca="false">J16+I16</f>
        <v>0.706</v>
      </c>
      <c r="L16" s="36" t="n">
        <v>56.0649</v>
      </c>
      <c r="M16" s="36" t="n">
        <v>0.4967</v>
      </c>
      <c r="N16" s="36" t="n">
        <v>0.8058</v>
      </c>
      <c r="O16" s="37" t="n">
        <f aca="false">L16/$F$2</f>
        <v>0.299309395657137</v>
      </c>
      <c r="P16" s="37" t="n">
        <f aca="false">M16/$G$2</f>
        <v>0.00281600068940142</v>
      </c>
      <c r="Q16" s="37" t="n">
        <f aca="false">N16/$H$2</f>
        <v>0.00470582464058082</v>
      </c>
      <c r="R16" s="38" t="n">
        <f aca="false">O16*$K16/$I16</f>
        <v>1.09658761460269</v>
      </c>
      <c r="S16" s="38" t="n">
        <f aca="false">P16*$K16/$I16</f>
        <v>0.0103170549388552</v>
      </c>
      <c r="T16" s="39" t="n">
        <f aca="false">Q16*$K16/$I16</f>
        <v>0.0172408520822525</v>
      </c>
      <c r="U16" s="2" t="n">
        <v>97.0495</v>
      </c>
      <c r="V16" s="2" t="n">
        <v>98.7825</v>
      </c>
      <c r="W16" s="32"/>
      <c r="X16" s="2"/>
      <c r="Y16" s="2"/>
      <c r="Z16" s="33"/>
      <c r="AA16" s="2"/>
      <c r="AB16" s="2"/>
    </row>
    <row r="17" customFormat="false" ht="14.25" hidden="false" customHeight="true" outlineLevel="0" collapsed="false">
      <c r="A17" s="18" t="s">
        <v>35</v>
      </c>
      <c r="B17" s="19" t="s">
        <v>31</v>
      </c>
      <c r="C17" s="20" t="n">
        <v>13</v>
      </c>
      <c r="D17" s="19" t="n">
        <v>2.8007</v>
      </c>
      <c r="E17" s="19" t="n">
        <v>300</v>
      </c>
      <c r="F17" s="20" t="n">
        <v>2.9858</v>
      </c>
      <c r="G17" s="19" t="n">
        <f aca="false">1000-E17</f>
        <v>700</v>
      </c>
      <c r="H17" s="20" t="n">
        <v>3.5551</v>
      </c>
      <c r="I17" s="22" t="n">
        <f aca="false">F17-D17</f>
        <v>0.1851</v>
      </c>
      <c r="J17" s="22" t="n">
        <f aca="false">H17-F17</f>
        <v>0.5693</v>
      </c>
      <c r="K17" s="22" t="n">
        <f aca="false">J17+I17</f>
        <v>0.7544</v>
      </c>
      <c r="L17" s="23" t="n">
        <v>974.4634</v>
      </c>
      <c r="M17" s="23" t="n">
        <v>1408.018</v>
      </c>
      <c r="N17" s="23" t="n">
        <v>1335.317</v>
      </c>
      <c r="O17" s="24" t="n">
        <f aca="false">L17/$F$2</f>
        <v>5.20229325913358</v>
      </c>
      <c r="P17" s="24" t="n">
        <f aca="false">M17/$G$2</f>
        <v>7.98264477288022</v>
      </c>
      <c r="Q17" s="24" t="n">
        <f aca="false">N17/$H$2</f>
        <v>7.79817279918895</v>
      </c>
      <c r="R17" s="25" t="n">
        <f aca="false">O17*$K17/$I17</f>
        <v>21.2026474051344</v>
      </c>
      <c r="S17" s="25" t="n">
        <f aca="false">P17*$K17/$I17</f>
        <v>32.5343447685621</v>
      </c>
      <c r="T17" s="26" t="n">
        <f aca="false">Q17*$K17/$I17</f>
        <v>31.7825043744362</v>
      </c>
      <c r="U17" s="27" t="n">
        <v>2.6416</v>
      </c>
      <c r="V17" s="27"/>
      <c r="W17" s="32" t="n">
        <f aca="false">AVERAGE(R17:R18)/100</f>
        <v>0.213370914489921</v>
      </c>
      <c r="X17" s="2" t="n">
        <f aca="false">AVERAGE(S17:S18)/100</f>
        <v>0.327847817430573</v>
      </c>
      <c r="Y17" s="2" t="n">
        <f aca="false">AVERAGE(T17:T18)/100</f>
        <v>0.319903460157109</v>
      </c>
      <c r="Z17" s="33" t="n">
        <f aca="false">AVERAGE(U17:V18)/100</f>
        <v>0.0266205</v>
      </c>
      <c r="AA17" s="2" t="n">
        <f aca="false">SUM(W17:Z17)</f>
        <v>0.887742692077604</v>
      </c>
      <c r="AB17" s="2"/>
      <c r="AD17" s="0" t="n">
        <v>0.24118629849691</v>
      </c>
      <c r="AE17" s="0" t="n">
        <v>0.370586599140745</v>
      </c>
      <c r="AF17" s="0" t="n">
        <v>0.361606602362345</v>
      </c>
      <c r="AG17" s="0" t="n">
        <v>0.0266205</v>
      </c>
    </row>
    <row r="18" customFormat="false" ht="14.25" hidden="false" customHeight="true" outlineLevel="0" collapsed="false">
      <c r="A18" s="18"/>
      <c r="B18" s="20" t="s">
        <v>31</v>
      </c>
      <c r="C18" s="20" t="n">
        <v>14</v>
      </c>
      <c r="D18" s="20" t="n">
        <v>2.7353</v>
      </c>
      <c r="E18" s="20" t="n">
        <v>300</v>
      </c>
      <c r="F18" s="20" t="n">
        <v>2.9248</v>
      </c>
      <c r="G18" s="19" t="n">
        <f aca="false">1000-E18</f>
        <v>700</v>
      </c>
      <c r="H18" s="20" t="n">
        <v>3.4292</v>
      </c>
      <c r="I18" s="22" t="n">
        <f aca="false">F18-D18</f>
        <v>0.1895</v>
      </c>
      <c r="J18" s="22" t="n">
        <f aca="false">H18-F18</f>
        <v>0.5044</v>
      </c>
      <c r="K18" s="22" t="n">
        <f aca="false">J18+I18</f>
        <v>0.6939</v>
      </c>
      <c r="L18" s="23" t="n">
        <v>1098.3636</v>
      </c>
      <c r="M18" s="23" t="n">
        <v>1591.2958</v>
      </c>
      <c r="N18" s="23" t="n">
        <v>1505.689</v>
      </c>
      <c r="O18" s="24" t="n">
        <f aca="false">L18/$F$2</f>
        <v>5.8637497851204</v>
      </c>
      <c r="P18" s="24" t="n">
        <f aca="false">M18/$G$2</f>
        <v>9.02172351488138</v>
      </c>
      <c r="Q18" s="24" t="n">
        <f aca="false">N18/$H$2</f>
        <v>8.79313526588669</v>
      </c>
      <c r="R18" s="25" t="n">
        <f aca="false">O18*$K18/$I18</f>
        <v>21.4715354928499</v>
      </c>
      <c r="S18" s="25" t="n">
        <f aca="false">P18*$K18/$I18</f>
        <v>33.0352187175525</v>
      </c>
      <c r="T18" s="26" t="n">
        <f aca="false">Q18*$K18/$I18</f>
        <v>32.1981876569856</v>
      </c>
      <c r="U18" s="27" t="n">
        <v>2.6825</v>
      </c>
      <c r="V18" s="27"/>
      <c r="W18" s="32"/>
      <c r="X18" s="2"/>
      <c r="Y18" s="2"/>
      <c r="Z18" s="33"/>
      <c r="AA18" s="2"/>
      <c r="AB18" s="2"/>
    </row>
    <row r="19" customFormat="false" ht="14.25" hidden="false" customHeight="true" outlineLevel="0" collapsed="false">
      <c r="A19" s="18"/>
      <c r="B19" s="34" t="s">
        <v>32</v>
      </c>
      <c r="C19" s="34" t="n">
        <v>15</v>
      </c>
      <c r="D19" s="34" t="n">
        <v>2.7786</v>
      </c>
      <c r="E19" s="34" t="n">
        <v>100</v>
      </c>
      <c r="F19" s="34" t="n">
        <v>2.9831</v>
      </c>
      <c r="G19" s="30" t="n">
        <f aca="false">1000-E19</f>
        <v>900</v>
      </c>
      <c r="H19" s="34" t="n">
        <v>3.5251</v>
      </c>
      <c r="I19" s="35" t="n">
        <f aca="false">F19-D19</f>
        <v>0.2045</v>
      </c>
      <c r="J19" s="35" t="n">
        <f aca="false">H19-F19</f>
        <v>0.542</v>
      </c>
      <c r="K19" s="35" t="n">
        <f aca="false">J19+I19</f>
        <v>0.7465</v>
      </c>
      <c r="L19" s="36" t="n">
        <v>32.6611</v>
      </c>
      <c r="M19" s="36" t="n">
        <v>4.1042</v>
      </c>
      <c r="N19" s="36" t="n">
        <v>4.0416</v>
      </c>
      <c r="O19" s="37" t="n">
        <f aca="false">L19/$F$2</f>
        <v>0.174365317738858</v>
      </c>
      <c r="P19" s="37" t="n">
        <f aca="false">M19/$G$2</f>
        <v>0.0232684317081564</v>
      </c>
      <c r="Q19" s="37" t="n">
        <f aca="false">N19/$H$2</f>
        <v>0.0236027064623622</v>
      </c>
      <c r="R19" s="38" t="n">
        <f aca="false">O19*$K19/$I19</f>
        <v>0.636497357907372</v>
      </c>
      <c r="S19" s="38" t="n">
        <f aca="false">P19*$K19/$I19</f>
        <v>0.0849383093894317</v>
      </c>
      <c r="T19" s="39" t="n">
        <f aca="false">Q19*$K19/$I19</f>
        <v>0.0861585348369358</v>
      </c>
      <c r="U19" s="2" t="n">
        <v>96.7978</v>
      </c>
      <c r="V19" s="2"/>
      <c r="W19" s="32" t="n">
        <f aca="false">AVERAGE(R19:R20)/100</f>
        <v>0.00596643742101231</v>
      </c>
      <c r="X19" s="2" t="n">
        <f aca="false">AVERAGE(S19:S20)/100</f>
        <v>0.000535387078861844</v>
      </c>
      <c r="Y19" s="2" t="n">
        <f aca="false">AVERAGE(T19:T20)/100</f>
        <v>0.000569795169522366</v>
      </c>
      <c r="Z19" s="33" t="n">
        <f aca="false">AVERAGE(U19:V20)/100</f>
        <v>0.965393333333333</v>
      </c>
      <c r="AA19" s="2" t="n">
        <f aca="false">SUM(W19:Z19)</f>
        <v>0.97246495300273</v>
      </c>
      <c r="AB19" s="2"/>
      <c r="AD19" s="0" t="n">
        <v>0.00596643742101231</v>
      </c>
      <c r="AE19" s="0" t="n">
        <v>0.000535387078861844</v>
      </c>
      <c r="AF19" s="0" t="n">
        <v>0.000569795169522366</v>
      </c>
      <c r="AG19" s="0" t="n">
        <v>0.992928380330604</v>
      </c>
    </row>
    <row r="20" customFormat="false" ht="14.25" hidden="false" customHeight="true" outlineLevel="0" collapsed="false">
      <c r="A20" s="18"/>
      <c r="B20" s="34" t="s">
        <v>32</v>
      </c>
      <c r="C20" s="34" t="n">
        <v>16</v>
      </c>
      <c r="D20" s="34" t="n">
        <v>2.8286</v>
      </c>
      <c r="E20" s="34" t="n">
        <v>100</v>
      </c>
      <c r="F20" s="34" t="n">
        <v>3.0303</v>
      </c>
      <c r="G20" s="30" t="n">
        <f aca="false">1000-E20</f>
        <v>900</v>
      </c>
      <c r="H20" s="34" t="n">
        <v>3.585</v>
      </c>
      <c r="I20" s="35" t="n">
        <f aca="false">F20-D20</f>
        <v>0.2017</v>
      </c>
      <c r="J20" s="35" t="n">
        <f aca="false">H20-F20</f>
        <v>0.5547</v>
      </c>
      <c r="K20" s="35" t="n">
        <f aca="false">J20+I20</f>
        <v>0.7564</v>
      </c>
      <c r="L20" s="36" t="n">
        <v>27.811</v>
      </c>
      <c r="M20" s="36" t="n">
        <v>1.0413</v>
      </c>
      <c r="N20" s="36" t="n">
        <v>1.2694</v>
      </c>
      <c r="O20" s="37" t="n">
        <f aca="false">L20/$F$2</f>
        <v>0.148472459642675</v>
      </c>
      <c r="P20" s="37" t="n">
        <f aca="false">M20/$G$2</f>
        <v>0.00590356657514334</v>
      </c>
      <c r="Q20" s="37" t="n">
        <f aca="false">N20/$H$2</f>
        <v>0.0074132213933399</v>
      </c>
      <c r="R20" s="38" t="n">
        <f aca="false">O20*$K20/$I20</f>
        <v>0.556790126295089</v>
      </c>
      <c r="S20" s="38" t="n">
        <f aca="false">P20*$K20/$I20</f>
        <v>0.0221391063829371</v>
      </c>
      <c r="T20" s="39" t="n">
        <f aca="false">Q20*$K20/$I20</f>
        <v>0.0278004990675374</v>
      </c>
      <c r="U20" s="2" t="n">
        <v>96.7891</v>
      </c>
      <c r="V20" s="2" t="n">
        <v>96.0311</v>
      </c>
      <c r="W20" s="32"/>
      <c r="X20" s="2"/>
      <c r="Y20" s="2"/>
      <c r="Z20" s="33"/>
      <c r="AA20" s="2"/>
      <c r="AB20" s="2"/>
    </row>
    <row r="21" customFormat="false" ht="14.25" hidden="false" customHeight="true" outlineLevel="0" collapsed="false">
      <c r="A21" s="18" t="s">
        <v>36</v>
      </c>
      <c r="B21" s="19" t="s">
        <v>31</v>
      </c>
      <c r="C21" s="20" t="n">
        <v>17</v>
      </c>
      <c r="D21" s="19" t="n">
        <v>2.7875</v>
      </c>
      <c r="E21" s="19" t="n">
        <v>300</v>
      </c>
      <c r="F21" s="20" t="n">
        <v>2.9887</v>
      </c>
      <c r="G21" s="19" t="n">
        <f aca="false">1000-E21</f>
        <v>700</v>
      </c>
      <c r="H21" s="20" t="n">
        <v>3.5473</v>
      </c>
      <c r="I21" s="22" t="n">
        <f aca="false">F21-D21</f>
        <v>0.2012</v>
      </c>
      <c r="J21" s="22" t="n">
        <f aca="false">H21-F21</f>
        <v>0.5586</v>
      </c>
      <c r="K21" s="22" t="n">
        <f aca="false">J21+I21</f>
        <v>0.7598</v>
      </c>
      <c r="L21" s="23" t="n">
        <v>84.132</v>
      </c>
      <c r="M21" s="23" t="n">
        <v>1.4229</v>
      </c>
      <c r="N21" s="23" t="n">
        <v>1.4982</v>
      </c>
      <c r="O21" s="24" t="n">
        <f aca="false">L21/$F$2</f>
        <v>0.449149076791829</v>
      </c>
      <c r="P21" s="24" t="n">
        <f aca="false">M21/$G$2</f>
        <v>0.00806701707459085</v>
      </c>
      <c r="Q21" s="24" t="n">
        <f aca="false">N21/$H$2</f>
        <v>0.00874939994603894</v>
      </c>
      <c r="R21" s="25" t="n">
        <f aca="false">O21*$K21/$I21</f>
        <v>1.69614049973376</v>
      </c>
      <c r="S21" s="25" t="n">
        <f aca="false">P21*$K21/$I21</f>
        <v>0.0304638149765116</v>
      </c>
      <c r="T21" s="26" t="n">
        <f aca="false">Q21*$K21/$I21</f>
        <v>0.0330407260387693</v>
      </c>
      <c r="U21" s="27" t="n">
        <v>98.8196</v>
      </c>
      <c r="V21" s="27"/>
      <c r="W21" s="28" t="n">
        <f aca="false">AVERAGE(R21:R22)/100</f>
        <v>0.0199375866583608</v>
      </c>
      <c r="X21" s="27" t="n">
        <f aca="false">AVERAGE(S21:S22)/100</f>
        <v>0.000742727981004254</v>
      </c>
      <c r="Y21" s="27" t="n">
        <f aca="false">AVERAGE(T21:T22)/100</f>
        <v>0.000750274915997966</v>
      </c>
      <c r="Z21" s="29" t="n">
        <f aca="false">AVERAGE(U21:V22)/100</f>
        <v>0.988196</v>
      </c>
      <c r="AA21" s="2" t="n">
        <f aca="false">SUM(W21:Z21)</f>
        <v>1.00962658955536</v>
      </c>
      <c r="AB21" s="2"/>
      <c r="AD21" s="0" t="n">
        <v>0.0199375866583608</v>
      </c>
      <c r="AE21" s="0" t="n">
        <v>0.000742727981004254</v>
      </c>
      <c r="AF21" s="0" t="n">
        <v>0.000750274915997966</v>
      </c>
      <c r="AG21" s="0" t="n">
        <v>0.978569410444637</v>
      </c>
    </row>
    <row r="22" customFormat="false" ht="14.25" hidden="false" customHeight="true" outlineLevel="0" collapsed="false">
      <c r="A22" s="18"/>
      <c r="B22" s="20" t="s">
        <v>31</v>
      </c>
      <c r="C22" s="20" t="n">
        <v>18</v>
      </c>
      <c r="D22" s="20" t="n">
        <v>2.7193</v>
      </c>
      <c r="E22" s="20" t="n">
        <v>300</v>
      </c>
      <c r="F22" s="20" t="n">
        <v>2.9273</v>
      </c>
      <c r="G22" s="19" t="n">
        <f aca="false">1000-E22</f>
        <v>700</v>
      </c>
      <c r="H22" s="20" t="n">
        <v>3.4719</v>
      </c>
      <c r="I22" s="22" t="n">
        <f aca="false">F22-D22</f>
        <v>0.208</v>
      </c>
      <c r="J22" s="22" t="n">
        <f aca="false">H22-F22</f>
        <v>0.5446</v>
      </c>
      <c r="K22" s="22" t="n">
        <f aca="false">J22+I22</f>
        <v>0.7526</v>
      </c>
      <c r="L22" s="23" t="n">
        <v>118.6223</v>
      </c>
      <c r="M22" s="23" t="n">
        <v>5.7563</v>
      </c>
      <c r="N22" s="23" t="n">
        <v>5.5377</v>
      </c>
      <c r="O22" s="24" t="n">
        <f aca="false">L22/$F$2</f>
        <v>0.633279804734505</v>
      </c>
      <c r="P22" s="24" t="n">
        <f aca="false">M22/$G$2</f>
        <v>0.0326348797431073</v>
      </c>
      <c r="Q22" s="24" t="n">
        <f aca="false">N22/$H$2</f>
        <v>0.0323398425318248</v>
      </c>
      <c r="R22" s="25" t="n">
        <f aca="false">O22*$K22/$I22</f>
        <v>2.29137683193841</v>
      </c>
      <c r="S22" s="25" t="n">
        <f aca="false">P22*$K22/$I22</f>
        <v>0.118081781224339</v>
      </c>
      <c r="T22" s="26" t="n">
        <f aca="false">Q22*$K22/$I22</f>
        <v>0.117014257160824</v>
      </c>
      <c r="U22" s="27" t="n">
        <v>98.8196</v>
      </c>
      <c r="V22" s="27"/>
      <c r="W22" s="32"/>
      <c r="X22" s="2"/>
      <c r="Y22" s="2"/>
      <c r="Z22" s="33"/>
      <c r="AA22" s="2"/>
      <c r="AB22" s="2"/>
    </row>
    <row r="23" customFormat="false" ht="14.25" hidden="false" customHeight="true" outlineLevel="0" collapsed="false">
      <c r="A23" s="18"/>
      <c r="B23" s="34" t="s">
        <v>32</v>
      </c>
      <c r="C23" s="34" t="n">
        <v>19</v>
      </c>
      <c r="D23" s="34" t="n">
        <v>2.7716</v>
      </c>
      <c r="E23" s="34" t="n">
        <v>100</v>
      </c>
      <c r="F23" s="34" t="n">
        <v>2.9588</v>
      </c>
      <c r="G23" s="30" t="n">
        <f aca="false">1000-E23</f>
        <v>900</v>
      </c>
      <c r="H23" s="34" t="n">
        <v>3.4919</v>
      </c>
      <c r="I23" s="35" t="n">
        <f aca="false">F23-D23</f>
        <v>0.1872</v>
      </c>
      <c r="J23" s="35" t="n">
        <f aca="false">H23-F23</f>
        <v>0.5331</v>
      </c>
      <c r="K23" s="35" t="n">
        <f aca="false">J23+I23</f>
        <v>0.7203</v>
      </c>
      <c r="L23" s="36" t="n">
        <v>2900.802</v>
      </c>
      <c r="M23" s="36" t="n">
        <v>400.9074</v>
      </c>
      <c r="N23" s="36" t="n">
        <v>379.0231</v>
      </c>
      <c r="O23" s="37" t="n">
        <f aca="false">L23/$F$2</f>
        <v>15.4862898808526</v>
      </c>
      <c r="P23" s="37" t="n">
        <f aca="false">M23/$G$2</f>
        <v>2.27291225042507</v>
      </c>
      <c r="Q23" s="37" t="n">
        <f aca="false">N23/$H$2</f>
        <v>2.21347262761148</v>
      </c>
      <c r="R23" s="38" t="n">
        <f aca="false">O23*$K23/$I23</f>
        <v>59.5874711601395</v>
      </c>
      <c r="S23" s="38" t="n">
        <f aca="false">P23*$K23/$I23</f>
        <v>8.74561268152336</v>
      </c>
      <c r="T23" s="39" t="n">
        <f aca="false">Q23*$K23/$I23</f>
        <v>8.51690349181914</v>
      </c>
      <c r="U23" s="2" t="n">
        <v>6.6554</v>
      </c>
      <c r="V23" s="2"/>
      <c r="W23" s="32" t="n">
        <f aca="false">AVERAGE(R23:R24)/100</f>
        <v>0.612570252653778</v>
      </c>
      <c r="X23" s="2" t="n">
        <f aca="false">AVERAGE(S23:S24)/100</f>
        <v>0.0898595211115569</v>
      </c>
      <c r="Y23" s="2" t="n">
        <f aca="false">AVERAGE(T23:T24)/100</f>
        <v>0.0873925980538009</v>
      </c>
      <c r="Z23" s="33" t="n">
        <f aca="false">AVERAGE(U23:V24)/100</f>
        <v>0.0663885</v>
      </c>
      <c r="AA23" s="2" t="n">
        <f aca="false">SUM(W23:Z23)</f>
        <v>0.856210871819136</v>
      </c>
      <c r="AB23" s="2"/>
      <c r="AD23" s="0" t="n">
        <v>0.724090191467044</v>
      </c>
      <c r="AE23" s="0" t="n">
        <v>0.10621867053603</v>
      </c>
      <c r="AF23" s="0" t="n">
        <v>0.103302637996927</v>
      </c>
      <c r="AG23" s="0" t="n">
        <v>0.0663885</v>
      </c>
    </row>
    <row r="24" customFormat="false" ht="14.25" hidden="false" customHeight="true" outlineLevel="0" collapsed="false">
      <c r="A24" s="18"/>
      <c r="B24" s="34" t="s">
        <v>32</v>
      </c>
      <c r="C24" s="34" t="n">
        <v>20</v>
      </c>
      <c r="D24" s="34" t="n">
        <v>2.7758</v>
      </c>
      <c r="E24" s="34" t="n">
        <v>100</v>
      </c>
      <c r="F24" s="34" t="n">
        <v>2.9852</v>
      </c>
      <c r="G24" s="30" t="n">
        <f aca="false">1000-E24</f>
        <v>900</v>
      </c>
      <c r="H24" s="34" t="n">
        <v>3.5446</v>
      </c>
      <c r="I24" s="35" t="n">
        <f aca="false">F24-D24</f>
        <v>0.2094</v>
      </c>
      <c r="J24" s="35" t="n">
        <f aca="false">H24-F24</f>
        <v>0.5594</v>
      </c>
      <c r="K24" s="35" t="n">
        <f aca="false">J24+I24</f>
        <v>0.7688</v>
      </c>
      <c r="L24" s="36" t="n">
        <v>3210.4664</v>
      </c>
      <c r="M24" s="36" t="n">
        <v>443.2532</v>
      </c>
      <c r="N24" s="36" t="n">
        <v>417.9662</v>
      </c>
      <c r="O24" s="37" t="n">
        <f aca="false">L24/$F$2</f>
        <v>17.1394715403317</v>
      </c>
      <c r="P24" s="37" t="n">
        <f aca="false">M24/$G$2</f>
        <v>2.51298835671307</v>
      </c>
      <c r="Q24" s="37" t="n">
        <f aca="false">N24/$H$2</f>
        <v>2.4408980428021</v>
      </c>
      <c r="R24" s="38" t="n">
        <f aca="false">O24*$K24/$I24</f>
        <v>62.9265793706161</v>
      </c>
      <c r="S24" s="38" t="n">
        <f aca="false">P24*$K24/$I24</f>
        <v>9.22629154078802</v>
      </c>
      <c r="T24" s="39" t="n">
        <f aca="false">Q24*$K24/$I24</f>
        <v>8.96161611894103</v>
      </c>
      <c r="U24" s="42" t="n">
        <v>6.6223</v>
      </c>
      <c r="V24" s="42"/>
      <c r="W24" s="43"/>
      <c r="X24" s="42"/>
      <c r="Y24" s="42"/>
      <c r="Z24" s="44"/>
      <c r="AA24" s="2"/>
      <c r="AB24" s="2"/>
    </row>
    <row r="25" customFormat="false" ht="14.25" hidden="false" customHeight="true" outlineLevel="0" collapsed="false">
      <c r="A25" s="45" t="s">
        <v>37</v>
      </c>
      <c r="B25" s="1" t="s">
        <v>31</v>
      </c>
      <c r="C25" s="1" t="n">
        <v>1</v>
      </c>
      <c r="D25" s="1" t="n">
        <v>2.7788</v>
      </c>
      <c r="F25" s="1" t="n">
        <v>3.0512</v>
      </c>
      <c r="G25" s="2" t="n">
        <f aca="false">1000-E25</f>
        <v>1000</v>
      </c>
      <c r="H25" s="1" t="n">
        <v>3.5279</v>
      </c>
      <c r="I25" s="1" t="n">
        <f aca="false">F25-D25</f>
        <v>0.2724</v>
      </c>
      <c r="J25" s="1" t="n">
        <f aca="false">H25-F25</f>
        <v>0.4767</v>
      </c>
      <c r="K25" s="1" t="n">
        <f aca="false">J25+I25</f>
        <v>0.7491</v>
      </c>
      <c r="M25" s="1" t="n">
        <v>3044.3</v>
      </c>
      <c r="N25" s="1" t="n">
        <v>2833.35</v>
      </c>
      <c r="P25" s="1" t="n">
        <f aca="false">M25/$G$2</f>
        <v>17.2594139294237</v>
      </c>
      <c r="Q25" s="1" t="n">
        <f aca="false">N25/$H$2</f>
        <v>16.546597475043</v>
      </c>
      <c r="S25" s="1" t="n">
        <f aca="false">P25*$K25/$I25</f>
        <v>47.463388305915</v>
      </c>
      <c r="T25" s="1" t="n">
        <f aca="false">Q25*$K25/$I25</f>
        <v>45.5031430563682</v>
      </c>
      <c r="U25" s="1" t="n">
        <v>1.5599</v>
      </c>
      <c r="V25" s="1" t="n">
        <v>1.6021</v>
      </c>
      <c r="X25" s="1" t="n">
        <f aca="false">AVERAGE(S25:S26)/100</f>
        <v>0.483146411231337</v>
      </c>
      <c r="Y25" s="1" t="n">
        <f aca="false">AVERAGE(T25:T26)/100</f>
        <v>0.462991627824198</v>
      </c>
      <c r="Z25" s="1" t="n">
        <f aca="false">AVERAGE(U25:V26)/100</f>
        <v>0.015452</v>
      </c>
      <c r="AA25" s="1" t="n">
        <f aca="false">SUM(W25:Z25)</f>
        <v>0.961590039055534</v>
      </c>
      <c r="AE25" s="1" t="n">
        <f aca="false">IFERROR(X25/$AA25,"")</f>
        <v>0.502445316203441</v>
      </c>
      <c r="AF25" s="1" t="n">
        <f aca="false">IFERROR(Y25/$AA25,"")</f>
        <v>0.481485465759342</v>
      </c>
      <c r="AG25" s="1" t="n">
        <f aca="false">IFERROR(Z25/$AA25,"")</f>
        <v>0.0160692180372176</v>
      </c>
    </row>
    <row r="26" customFormat="false" ht="14.25" hidden="false" customHeight="true" outlineLevel="0" collapsed="false">
      <c r="A26" s="45"/>
      <c r="B26" s="1" t="s">
        <v>31</v>
      </c>
      <c r="C26" s="1" t="n">
        <v>2</v>
      </c>
      <c r="D26" s="1" t="n">
        <v>2.7389</v>
      </c>
      <c r="F26" s="1" t="n">
        <v>3.0126</v>
      </c>
      <c r="G26" s="2" t="n">
        <f aca="false">1000-E26</f>
        <v>1000</v>
      </c>
      <c r="H26" s="1" t="n">
        <v>3.5168</v>
      </c>
      <c r="I26" s="1" t="n">
        <f aca="false">F26-D26</f>
        <v>0.2737</v>
      </c>
      <c r="J26" s="1" t="n">
        <f aca="false">H26-F26</f>
        <v>0.5042</v>
      </c>
      <c r="K26" s="1" t="n">
        <f aca="false">J26+I26</f>
        <v>0.7779</v>
      </c>
      <c r="M26" s="1" t="n">
        <v>3051.24</v>
      </c>
      <c r="N26" s="1" t="n">
        <v>2837.39</v>
      </c>
      <c r="P26" s="1" t="n">
        <f aca="false">M26/$G$2</f>
        <v>17.2987597010855</v>
      </c>
      <c r="Q26" s="1" t="n">
        <f aca="false">N26/$H$2</f>
        <v>16.5701908375994</v>
      </c>
      <c r="S26" s="1" t="n">
        <f aca="false">P26*$K26/$I26</f>
        <v>49.1658939403523</v>
      </c>
      <c r="T26" s="1" t="n">
        <f aca="false">Q26*$K26/$I26</f>
        <v>47.0951825084713</v>
      </c>
      <c r="U26" s="1" t="n">
        <v>1.4736</v>
      </c>
    </row>
    <row r="27" customFormat="false" ht="14.25" hidden="false" customHeight="true" outlineLevel="0" collapsed="false">
      <c r="A27" s="45"/>
      <c r="B27" s="1" t="s">
        <v>32</v>
      </c>
      <c r="C27" s="1" t="n">
        <v>3</v>
      </c>
      <c r="D27" s="1" t="n">
        <v>2.7895</v>
      </c>
      <c r="F27" s="1" t="n">
        <v>3.0974</v>
      </c>
      <c r="G27" s="2" t="n">
        <f aca="false">1000-E27</f>
        <v>1000</v>
      </c>
      <c r="H27" s="1" t="n">
        <v>3.5996</v>
      </c>
      <c r="I27" s="1" t="n">
        <f aca="false">F27-D27</f>
        <v>0.3079</v>
      </c>
      <c r="J27" s="1" t="n">
        <f aca="false">H27-F27</f>
        <v>0.5022</v>
      </c>
      <c r="K27" s="1" t="n">
        <f aca="false">J27+I27</f>
        <v>0.8101</v>
      </c>
      <c r="M27" s="1" t="n">
        <v>78.3</v>
      </c>
      <c r="N27" s="1" t="n">
        <v>67.35</v>
      </c>
      <c r="P27" s="1" t="n">
        <f aca="false">M27/$G$2</f>
        <v>0.443915550594184</v>
      </c>
      <c r="Q27" s="1" t="n">
        <f aca="false">N27/$H$2</f>
        <v>0.393320041627101</v>
      </c>
      <c r="S27" s="1" t="n">
        <f aca="false">P27*$K27/$I27</f>
        <v>1.16796358407388</v>
      </c>
      <c r="T27" s="1" t="n">
        <f aca="false">Q27*$K27/$I27</f>
        <v>1.03484431868176</v>
      </c>
      <c r="X27" s="1" t="n">
        <f aca="false">AVERAGE(S27:S28)/100</f>
        <v>0.0104544142284366</v>
      </c>
      <c r="Y27" s="1" t="n">
        <f aca="false">AVERAGE(T27:T28)/100</f>
        <v>0.00922750124768956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32</v>
      </c>
      <c r="C28" s="1" t="n">
        <v>4</v>
      </c>
      <c r="D28" s="1" t="n">
        <v>2.7396</v>
      </c>
      <c r="F28" s="1" t="n">
        <v>3.0442</v>
      </c>
      <c r="G28" s="2" t="n">
        <f aca="false">1000-E28</f>
        <v>1000</v>
      </c>
      <c r="H28" s="1" t="n">
        <v>3.5404</v>
      </c>
      <c r="I28" s="1" t="n">
        <f aca="false">F28-D28</f>
        <v>0.3046</v>
      </c>
      <c r="J28" s="1" t="n">
        <f aca="false">H28-F28</f>
        <v>0.4962</v>
      </c>
      <c r="K28" s="1" t="n">
        <f aca="false">J28+I28</f>
        <v>0.8008</v>
      </c>
      <c r="M28" s="1" t="n">
        <v>61.92</v>
      </c>
      <c r="N28" s="1" t="n">
        <v>52.8</v>
      </c>
      <c r="P28" s="1" t="n">
        <f aca="false">M28/$G$2</f>
        <v>0.351050458400918</v>
      </c>
      <c r="Q28" s="1" t="n">
        <f aca="false">N28/$H$2</f>
        <v>0.308348896776703</v>
      </c>
      <c r="S28" s="1" t="n">
        <f aca="false">P28*$K28/$I28</f>
        <v>0.922919261613443</v>
      </c>
      <c r="T28" s="1" t="n">
        <f aca="false">Q28*$K28/$I28</f>
        <v>0.810655930856151</v>
      </c>
    </row>
  </sheetData>
  <mergeCells count="14">
    <mergeCell ref="O3:Q3"/>
    <mergeCell ref="R3:T3"/>
    <mergeCell ref="U3:V3"/>
    <mergeCell ref="A5:A8"/>
    <mergeCell ref="AC5:AC6"/>
    <mergeCell ref="AC7:AC8"/>
    <mergeCell ref="A9:A12"/>
    <mergeCell ref="AC9:AC10"/>
    <mergeCell ref="AC11:AC12"/>
    <mergeCell ref="A13:A16"/>
    <mergeCell ref="AC13:AC14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E1" colorId="64" zoomScale="100" zoomScaleNormal="100" zoomScalePageLayoutView="100" workbookViewId="0">
      <selection pane="topLeft" activeCell="K32" activeCellId="0" sqref="K32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4" hidden="false" customHeight="true" outlineLevel="0" collapsed="false">
      <c r="F1" s="46" t="s">
        <v>0</v>
      </c>
      <c r="G1" s="46" t="s">
        <v>38</v>
      </c>
    </row>
    <row r="2" customFormat="false" ht="14.25" hidden="false" customHeight="true" outlineLevel="0" collapsed="false">
      <c r="E2" s="1" t="s">
        <v>2</v>
      </c>
      <c r="F2" s="1" t="n">
        <v>187.3142</v>
      </c>
      <c r="G2" s="2" t="n">
        <v>176.3849</v>
      </c>
      <c r="H2" s="4" t="n">
        <v>166.2694</v>
      </c>
    </row>
    <row r="3" customFormat="false" ht="14.25" hidden="false" customHeight="true" outlineLevel="0" collapsed="false">
      <c r="M3" s="1" t="s">
        <v>3</v>
      </c>
      <c r="N3" s="1" t="s">
        <v>39</v>
      </c>
      <c r="O3" s="5" t="s">
        <v>5</v>
      </c>
      <c r="P3" s="5"/>
      <c r="Q3" s="5"/>
      <c r="R3" s="6" t="s">
        <v>6</v>
      </c>
      <c r="S3" s="6"/>
      <c r="T3" s="6"/>
      <c r="U3" s="7" t="s">
        <v>7</v>
      </c>
      <c r="V3" s="7"/>
    </row>
    <row r="4" customFormat="false" ht="14.25" hidden="false" customHeight="true" outlineLevel="0" collapsed="false">
      <c r="A4" s="8" t="s">
        <v>8</v>
      </c>
      <c r="B4" s="8" t="s">
        <v>9</v>
      </c>
      <c r="C4" s="8" t="s">
        <v>10</v>
      </c>
      <c r="D4" s="8" t="s">
        <v>11</v>
      </c>
      <c r="E4" s="8" t="s">
        <v>12</v>
      </c>
      <c r="F4" s="8" t="s">
        <v>13</v>
      </c>
      <c r="G4" s="8" t="s">
        <v>14</v>
      </c>
      <c r="H4" s="8" t="s">
        <v>15</v>
      </c>
      <c r="I4" s="9" t="s">
        <v>16</v>
      </c>
      <c r="J4" s="9" t="s">
        <v>17</v>
      </c>
      <c r="K4" s="9" t="s">
        <v>18</v>
      </c>
      <c r="L4" s="9" t="s">
        <v>19</v>
      </c>
      <c r="M4" s="10" t="s">
        <v>40</v>
      </c>
      <c r="N4" s="11" t="s">
        <v>21</v>
      </c>
      <c r="O4" s="12" t="s">
        <v>22</v>
      </c>
      <c r="P4" s="13" t="s">
        <v>23</v>
      </c>
      <c r="Q4" s="14" t="s">
        <v>24</v>
      </c>
      <c r="R4" s="12" t="s">
        <v>22</v>
      </c>
      <c r="S4" s="13" t="s">
        <v>23</v>
      </c>
      <c r="T4" s="14" t="s">
        <v>24</v>
      </c>
      <c r="U4" s="15" t="n">
        <v>1</v>
      </c>
      <c r="V4" s="15" t="n">
        <v>2</v>
      </c>
      <c r="W4" s="16" t="s">
        <v>25</v>
      </c>
      <c r="X4" s="15" t="s">
        <v>26</v>
      </c>
      <c r="Y4" s="15" t="s">
        <v>27</v>
      </c>
      <c r="Z4" s="17" t="s">
        <v>28</v>
      </c>
    </row>
    <row r="5" customFormat="false" ht="14.25" hidden="false" customHeight="true" outlineLevel="0" collapsed="false">
      <c r="A5" s="18" t="s">
        <v>41</v>
      </c>
      <c r="B5" s="19" t="s">
        <v>31</v>
      </c>
      <c r="C5" s="20" t="n">
        <v>1</v>
      </c>
      <c r="D5" s="21" t="n">
        <v>2.7341</v>
      </c>
      <c r="E5" s="19" t="n">
        <v>300</v>
      </c>
      <c r="F5" s="20" t="n">
        <v>2.9202</v>
      </c>
      <c r="G5" s="19" t="n">
        <f aca="false">1000-E5</f>
        <v>700</v>
      </c>
      <c r="H5" s="20" t="n">
        <v>3.5688</v>
      </c>
      <c r="I5" s="22" t="n">
        <f aca="false">F5-D5</f>
        <v>0.1861</v>
      </c>
      <c r="J5" s="22" t="n">
        <f aca="false">H5-F5</f>
        <v>0.6486</v>
      </c>
      <c r="K5" s="22" t="n">
        <f aca="false">J5+I5</f>
        <v>0.8347</v>
      </c>
      <c r="L5" s="23" t="n">
        <v>76.7215</v>
      </c>
      <c r="M5" s="23" t="n">
        <v>0.0525</v>
      </c>
      <c r="N5" s="23" t="n">
        <v>0.0664</v>
      </c>
      <c r="O5" s="24" t="n">
        <f aca="false">L5/$F$2</f>
        <v>0.409587206949607</v>
      </c>
      <c r="P5" s="24" t="n">
        <f aca="false">M5/$G$2</f>
        <v>0.000297644526260468</v>
      </c>
      <c r="Q5" s="24" t="n">
        <f aca="false">N5/$H$2</f>
        <v>0.000399351895177345</v>
      </c>
      <c r="R5" s="25" t="n">
        <f aca="false">O5*$K5/$I5</f>
        <v>1.83708996045587</v>
      </c>
      <c r="S5" s="25" t="n">
        <f aca="false">P5*$K5/$I5</f>
        <v>0.00133500207452774</v>
      </c>
      <c r="T5" s="26" t="n">
        <f aca="false">Q5*$K5/$I5</f>
        <v>0.00179118230469925</v>
      </c>
      <c r="U5" s="27" t="n">
        <v>93.8865</v>
      </c>
      <c r="V5" s="27"/>
      <c r="W5" s="28" t="n">
        <f aca="false">AVERAGE(R5:R6)/100</f>
        <v>0.0199352763154387</v>
      </c>
      <c r="X5" s="27" t="n">
        <f aca="false">AVERAGE(S5:S6)/100</f>
        <v>3.69547301185928E-005</v>
      </c>
      <c r="Y5" s="27" t="n">
        <f aca="false">AVERAGE(T5:T6)/100</f>
        <v>4.27978549894111E-005</v>
      </c>
      <c r="Z5" s="29" t="n">
        <f aca="false">AVERAGE(U5:V6)/100</f>
        <v>0.9378455</v>
      </c>
      <c r="AA5" s="2" t="n">
        <f aca="false">SUM(W5:Z5)</f>
        <v>0.957860528900547</v>
      </c>
      <c r="AD5" s="0" t="n">
        <v>0.0199352763154387</v>
      </c>
      <c r="AE5" s="0" t="n">
        <v>3.69547301185928E-005</v>
      </c>
      <c r="AF5" s="0" t="n">
        <v>4.27978549894111E-005</v>
      </c>
      <c r="AG5" s="0" t="n">
        <v>0.979984971099453</v>
      </c>
    </row>
    <row r="6" customFormat="false" ht="14.25" hidden="false" customHeight="true" outlineLevel="0" collapsed="false">
      <c r="A6" s="18"/>
      <c r="B6" s="20" t="s">
        <v>31</v>
      </c>
      <c r="C6" s="20" t="n">
        <v>2</v>
      </c>
      <c r="D6" s="20" t="n">
        <v>2.7246</v>
      </c>
      <c r="E6" s="20" t="n">
        <v>300</v>
      </c>
      <c r="F6" s="20" t="n">
        <v>2.8999</v>
      </c>
      <c r="G6" s="19" t="n">
        <f aca="false">1000-E6</f>
        <v>700</v>
      </c>
      <c r="H6" s="20" t="n">
        <v>3.5398</v>
      </c>
      <c r="I6" s="22" t="n">
        <f aca="false">F6-D6</f>
        <v>0.1753</v>
      </c>
      <c r="J6" s="22" t="n">
        <f aca="false">H6-F6</f>
        <v>0.6399</v>
      </c>
      <c r="K6" s="22" t="n">
        <f aca="false">J6+I6</f>
        <v>0.8152</v>
      </c>
      <c r="L6" s="23" t="n">
        <v>86.6004</v>
      </c>
      <c r="M6" s="23" t="n">
        <v>0.2297</v>
      </c>
      <c r="N6" s="23" t="n">
        <v>0.242</v>
      </c>
      <c r="O6" s="24" t="n">
        <f aca="false">L6/$F$2</f>
        <v>0.462326935170959</v>
      </c>
      <c r="P6" s="24" t="n">
        <f aca="false">M6/$G$2</f>
        <v>0.00130226567013389</v>
      </c>
      <c r="Q6" s="24" t="n">
        <f aca="false">N6/$H$2</f>
        <v>0.00145546925651984</v>
      </c>
      <c r="R6" s="25" t="n">
        <f aca="false">O6*$K6/$I6</f>
        <v>2.14996530263186</v>
      </c>
      <c r="S6" s="25" t="n">
        <f aca="false">P6*$K6/$I6</f>
        <v>0.00605594394919082</v>
      </c>
      <c r="T6" s="26" t="n">
        <f aca="false">Q6*$K6/$I6</f>
        <v>0.00676838869318297</v>
      </c>
      <c r="U6" s="27" t="n">
        <v>93.6826</v>
      </c>
      <c r="V6" s="27"/>
      <c r="W6" s="32"/>
      <c r="X6" s="2"/>
      <c r="Y6" s="2"/>
      <c r="Z6" s="33"/>
      <c r="AA6" s="2"/>
    </row>
    <row r="7" customFormat="false" ht="14.25" hidden="false" customHeight="true" outlineLevel="0" collapsed="false">
      <c r="A7" s="18"/>
      <c r="B7" s="34" t="s">
        <v>32</v>
      </c>
      <c r="C7" s="34" t="n">
        <v>3</v>
      </c>
      <c r="D7" s="34" t="n">
        <v>2.8129</v>
      </c>
      <c r="E7" s="34" t="n">
        <v>100</v>
      </c>
      <c r="F7" s="34" t="n">
        <v>3.0062</v>
      </c>
      <c r="G7" s="30" t="n">
        <f aca="false">1000-E7</f>
        <v>900</v>
      </c>
      <c r="H7" s="34" t="n">
        <v>3.6126</v>
      </c>
      <c r="I7" s="35" t="n">
        <f aca="false">F7-D7</f>
        <v>0.1933</v>
      </c>
      <c r="J7" s="35" t="n">
        <f aca="false">H7-F7</f>
        <v>0.6064</v>
      </c>
      <c r="K7" s="35" t="n">
        <f aca="false">J7+I7</f>
        <v>0.7997</v>
      </c>
      <c r="L7" s="1" t="n">
        <v>3409.961</v>
      </c>
      <c r="M7" s="1" t="n">
        <v>56.553</v>
      </c>
      <c r="N7" s="36" t="n">
        <v>57.3307</v>
      </c>
      <c r="O7" s="37" t="n">
        <f aca="false">L7/$F$2</f>
        <v>18.2044981106611</v>
      </c>
      <c r="P7" s="37" t="n">
        <f aca="false">M7/$G$2</f>
        <v>0.320622683687776</v>
      </c>
      <c r="Q7" s="37" t="n">
        <f aca="false">N7/$H$2</f>
        <v>0.344806079771744</v>
      </c>
      <c r="R7" s="38" t="n">
        <f aca="false">O7*$K7/$I7</f>
        <v>75.3136944598845</v>
      </c>
      <c r="S7" s="38" t="n">
        <f aca="false">P7*$K7/$I7</f>
        <v>1.32644573277348</v>
      </c>
      <c r="T7" s="39" t="n">
        <f aca="false">Q7*$K7/$I7</f>
        <v>1.42649468180788</v>
      </c>
      <c r="U7" s="2" t="n">
        <v>8.9269</v>
      </c>
      <c r="V7" s="2"/>
      <c r="W7" s="32" t="n">
        <f aca="false">AVERAGE(R7:R8)/100</f>
        <v>0.760569214467607</v>
      </c>
      <c r="X7" s="2" t="n">
        <f aca="false">AVERAGE(S7:S8)/100</f>
        <v>0.0134098728996023</v>
      </c>
      <c r="Y7" s="2" t="n">
        <f aca="false">AVERAGE(T7:T8)/100</f>
        <v>0.0144014226063209</v>
      </c>
      <c r="Z7" s="33" t="n">
        <f aca="false">AVERAGE(U7:V8)/100</f>
        <v>0.088521</v>
      </c>
      <c r="AA7" s="2" t="n">
        <f aca="false">SUM(W7:Z7)</f>
        <v>0.87690150997353</v>
      </c>
      <c r="AD7" s="0" t="n">
        <v>0.879325222102454</v>
      </c>
      <c r="AE7" s="0" t="n">
        <v>0.015503703333644</v>
      </c>
      <c r="AF7" s="0" t="n">
        <v>0.0166500745639025</v>
      </c>
      <c r="AG7" s="0" t="n">
        <v>0.088521</v>
      </c>
    </row>
    <row r="8" customFormat="false" ht="14.25" hidden="false" customHeight="true" outlineLevel="0" collapsed="false">
      <c r="A8" s="18"/>
      <c r="B8" s="34" t="s">
        <v>32</v>
      </c>
      <c r="C8" s="34" t="n">
        <v>4</v>
      </c>
      <c r="D8" s="34" t="n">
        <v>2.7708</v>
      </c>
      <c r="E8" s="34" t="n">
        <v>100</v>
      </c>
      <c r="F8" s="34" t="n">
        <v>2.9693</v>
      </c>
      <c r="G8" s="30" t="n">
        <f aca="false">1000-E8</f>
        <v>900</v>
      </c>
      <c r="H8" s="34" t="n">
        <v>3.604</v>
      </c>
      <c r="I8" s="35" t="n">
        <f aca="false">F8-D8</f>
        <v>0.1985</v>
      </c>
      <c r="J8" s="35" t="n">
        <f aca="false">H8-F8</f>
        <v>0.6347</v>
      </c>
      <c r="K8" s="35" t="n">
        <f aca="false">J8+I8</f>
        <v>0.8332</v>
      </c>
      <c r="L8" s="36" t="n">
        <v>3427.236</v>
      </c>
      <c r="M8" s="36" t="n">
        <v>56.9615</v>
      </c>
      <c r="N8" s="36" t="n">
        <v>57.5871</v>
      </c>
      <c r="O8" s="37" t="n">
        <f aca="false">L8/$F$2</f>
        <v>18.2967228325455</v>
      </c>
      <c r="P8" s="37" t="n">
        <f aca="false">M8/$G$2</f>
        <v>0.32293864157306</v>
      </c>
      <c r="Q8" s="37" t="n">
        <f aca="false">N8/$H$2</f>
        <v>0.346348155463363</v>
      </c>
      <c r="R8" s="38" t="n">
        <f aca="false">O8*$K8/$I8</f>
        <v>76.8001484336369</v>
      </c>
      <c r="S8" s="38" t="n">
        <f aca="false">P8*$K8/$I8</f>
        <v>1.35552884714697</v>
      </c>
      <c r="T8" s="39" t="n">
        <f aca="false">Q8*$K8/$I8</f>
        <v>1.45378983945629</v>
      </c>
      <c r="U8" s="2" t="n">
        <v>8.7773</v>
      </c>
      <c r="V8" s="2"/>
      <c r="W8" s="32"/>
      <c r="X8" s="2"/>
      <c r="Y8" s="2"/>
      <c r="Z8" s="33"/>
      <c r="AA8" s="2"/>
    </row>
    <row r="9" customFormat="false" ht="14.25" hidden="false" customHeight="true" outlineLevel="0" collapsed="false">
      <c r="A9" s="18" t="s">
        <v>42</v>
      </c>
      <c r="B9" s="19" t="s">
        <v>31</v>
      </c>
      <c r="C9" s="20" t="n">
        <v>5</v>
      </c>
      <c r="D9" s="19" t="n">
        <v>2.7388</v>
      </c>
      <c r="E9" s="19" t="n">
        <v>300</v>
      </c>
      <c r="F9" s="20" t="n">
        <v>2.9092</v>
      </c>
      <c r="G9" s="19" t="n">
        <f aca="false">1000-E9</f>
        <v>700</v>
      </c>
      <c r="H9" s="20" t="n">
        <v>3.5437</v>
      </c>
      <c r="I9" s="22" t="n">
        <f aca="false">F9-D9</f>
        <v>0.1704</v>
      </c>
      <c r="J9" s="22" t="n">
        <f aca="false">H9-F9</f>
        <v>0.6345</v>
      </c>
      <c r="K9" s="22" t="n">
        <f aca="false">J9+I9</f>
        <v>0.8049</v>
      </c>
      <c r="L9" s="23" t="n">
        <v>155.3425</v>
      </c>
      <c r="M9" s="23" t="n">
        <v>1501.9181</v>
      </c>
      <c r="N9" s="23" t="n">
        <v>1482.5729</v>
      </c>
      <c r="O9" s="24" t="n">
        <f aca="false">L9/$F$2</f>
        <v>0.829315129338833</v>
      </c>
      <c r="P9" s="24" t="n">
        <f aca="false">M9/$G$2</f>
        <v>8.51500383536233</v>
      </c>
      <c r="Q9" s="24" t="n">
        <f aca="false">N9/$H$2</f>
        <v>8.9166912252044</v>
      </c>
      <c r="R9" s="25" t="n">
        <f aca="false">O9*$K9/$I9</f>
        <v>3.91734593664805</v>
      </c>
      <c r="S9" s="25" t="n">
        <f aca="false">P9*$K9/$I9</f>
        <v>40.2214001589386</v>
      </c>
      <c r="T9" s="26" t="n">
        <f aca="false">Q9*$K9/$I9</f>
        <v>42.1188073190553</v>
      </c>
      <c r="U9" s="27" t="n">
        <v>2.3903</v>
      </c>
      <c r="V9" s="27"/>
      <c r="W9" s="28" t="n">
        <f aca="false">AVERAGE(R9:R10)/100</f>
        <v>0.0393824617628927</v>
      </c>
      <c r="X9" s="27" t="n">
        <f aca="false">AVERAGE(S9:S10)/100</f>
        <v>0.404349082665823</v>
      </c>
      <c r="Y9" s="27" t="n">
        <f aca="false">AVERAGE(T9:T10)/100</f>
        <v>0.423462311763025</v>
      </c>
      <c r="Z9" s="29" t="n">
        <f aca="false">AVERAGE(U9:V10)/100</f>
        <v>0.0243065</v>
      </c>
      <c r="AA9" s="2" t="n">
        <f aca="false">SUM(W9:Z9)</f>
        <v>0.891500356191741</v>
      </c>
      <c r="AD9" s="0" t="n">
        <v>0.0443098295516025</v>
      </c>
      <c r="AE9" s="0" t="n">
        <v>0.454939537303151</v>
      </c>
      <c r="AF9" s="0" t="n">
        <v>0.476444133145246</v>
      </c>
      <c r="AG9" s="0" t="n">
        <v>0.0243065</v>
      </c>
    </row>
    <row r="10" customFormat="false" ht="14.25" hidden="false" customHeight="true" outlineLevel="0" collapsed="false">
      <c r="A10" s="18"/>
      <c r="B10" s="20" t="s">
        <v>31</v>
      </c>
      <c r="C10" s="20" t="n">
        <v>6</v>
      </c>
      <c r="D10" s="20" t="n">
        <v>2.7302</v>
      </c>
      <c r="E10" s="20" t="n">
        <v>300</v>
      </c>
      <c r="F10" s="20" t="n">
        <v>2.9172</v>
      </c>
      <c r="G10" s="19" t="n">
        <f aca="false">1000-E10</f>
        <v>700</v>
      </c>
      <c r="H10" s="20" t="n">
        <v>3.5375</v>
      </c>
      <c r="I10" s="22" t="n">
        <f aca="false">F10-D10</f>
        <v>0.187</v>
      </c>
      <c r="J10" s="22" t="n">
        <f aca="false">H10-F10</f>
        <v>0.6203</v>
      </c>
      <c r="K10" s="22" t="n">
        <f aca="false">J10+I10</f>
        <v>0.8073</v>
      </c>
      <c r="L10" s="23" t="n">
        <v>171.7825</v>
      </c>
      <c r="M10" s="23" t="n">
        <v>1660.7784</v>
      </c>
      <c r="N10" s="23" t="n">
        <v>1639.6831</v>
      </c>
      <c r="O10" s="24" t="n">
        <f aca="false">L10/$F$2</f>
        <v>0.917082100556178</v>
      </c>
      <c r="P10" s="24" t="n">
        <f aca="false">M10/$G$2</f>
        <v>9.41564952555463</v>
      </c>
      <c r="Q10" s="24" t="n">
        <f aca="false">N10/$H$2</f>
        <v>9.86160472101301</v>
      </c>
      <c r="R10" s="25" t="n">
        <f aca="false">O10*$K10/$I10</f>
        <v>3.9591464159305</v>
      </c>
      <c r="S10" s="25" t="n">
        <f aca="false">P10*$K10/$I10</f>
        <v>40.648416374226</v>
      </c>
      <c r="T10" s="26" t="n">
        <f aca="false">Q10*$K10/$I10</f>
        <v>42.5736550335498</v>
      </c>
      <c r="U10" s="27" t="n">
        <v>2.471</v>
      </c>
      <c r="V10" s="27"/>
      <c r="W10" s="32"/>
      <c r="X10" s="2"/>
      <c r="Y10" s="2"/>
      <c r="Z10" s="33"/>
      <c r="AA10" s="2"/>
    </row>
    <row r="11" customFormat="false" ht="14.25" hidden="false" customHeight="true" outlineLevel="0" collapsed="false">
      <c r="A11" s="18"/>
      <c r="B11" s="34" t="s">
        <v>32</v>
      </c>
      <c r="C11" s="34" t="n">
        <v>7</v>
      </c>
      <c r="D11" s="34" t="n">
        <v>2.7171</v>
      </c>
      <c r="E11" s="34" t="n">
        <v>100</v>
      </c>
      <c r="F11" s="34" t="n">
        <v>2.9165</v>
      </c>
      <c r="G11" s="30" t="n">
        <f aca="false">1000-E11</f>
        <v>900</v>
      </c>
      <c r="H11" s="34" t="n">
        <v>3.5383</v>
      </c>
      <c r="I11" s="35" t="n">
        <f aca="false">F11-D11</f>
        <v>0.1994</v>
      </c>
      <c r="J11" s="35" t="n">
        <f aca="false">H11-F11</f>
        <v>0.6218</v>
      </c>
      <c r="K11" s="35" t="n">
        <f aca="false">J11+I11</f>
        <v>0.8212</v>
      </c>
      <c r="L11" s="40" t="n">
        <v>4.0029</v>
      </c>
      <c r="M11" s="40" t="n">
        <v>1.4989</v>
      </c>
      <c r="N11" s="36" t="n">
        <v>0.6946</v>
      </c>
      <c r="O11" s="37" t="n">
        <f aca="false">L11/$F$2</f>
        <v>0.0213699762217707</v>
      </c>
      <c r="P11" s="37" t="n">
        <f aca="false">M11/$G$2</f>
        <v>0.00849789296022505</v>
      </c>
      <c r="Q11" s="37" t="n">
        <f aca="false">N11/$H$2</f>
        <v>0.00417755762635819</v>
      </c>
      <c r="R11" s="38" t="n">
        <f aca="false">O11*$K11/$I11</f>
        <v>0.0880091498160385</v>
      </c>
      <c r="S11" s="38" t="n">
        <f aca="false">P11*$K11/$I11</f>
        <v>0.0349973405162327</v>
      </c>
      <c r="T11" s="39" t="n">
        <f aca="false">Q11*$K11/$I11</f>
        <v>0.0172046656106587</v>
      </c>
      <c r="U11" s="2" t="n">
        <v>97.4397</v>
      </c>
      <c r="V11" s="2"/>
      <c r="W11" s="32" t="n">
        <f aca="false">AVERAGE(R11:R12)/100</f>
        <v>0.000881617794097392</v>
      </c>
      <c r="X11" s="2" t="n">
        <f aca="false">AVERAGE(S11:S12)/100</f>
        <v>0.000346698497698186</v>
      </c>
      <c r="Y11" s="2" t="n">
        <f aca="false">AVERAGE(T11:T12)/100</f>
        <v>0.000167196886328916</v>
      </c>
      <c r="Z11" s="33" t="n">
        <f aca="false">AVERAGE(U11:V12)/100</f>
        <v>0.981899</v>
      </c>
      <c r="AA11" s="2" t="n">
        <f aca="false">SUM(W11:Z11)</f>
        <v>0.983294513178124</v>
      </c>
      <c r="AD11" s="0" t="n">
        <v>0.000881617794097392</v>
      </c>
      <c r="AE11" s="0" t="n">
        <v>0.000346698497698186</v>
      </c>
      <c r="AF11" s="0" t="n">
        <v>0.000167196886328916</v>
      </c>
      <c r="AG11" s="0" t="n">
        <v>0.998604486821876</v>
      </c>
    </row>
    <row r="12" customFormat="false" ht="14.25" hidden="false" customHeight="true" outlineLevel="0" collapsed="false">
      <c r="A12" s="18"/>
      <c r="B12" s="34" t="s">
        <v>32</v>
      </c>
      <c r="C12" s="34" t="n">
        <v>8</v>
      </c>
      <c r="D12" s="34" t="n">
        <v>2.7208</v>
      </c>
      <c r="E12" s="34" t="n">
        <v>100</v>
      </c>
      <c r="F12" s="34" t="n">
        <v>2.9277</v>
      </c>
      <c r="G12" s="30" t="n">
        <f aca="false">1000-E12</f>
        <v>900</v>
      </c>
      <c r="H12" s="34" t="n">
        <v>3.5449</v>
      </c>
      <c r="I12" s="35" t="n">
        <f aca="false">F12-D12</f>
        <v>0.2069</v>
      </c>
      <c r="J12" s="35" t="n">
        <f aca="false">H12-F12</f>
        <v>0.6172</v>
      </c>
      <c r="K12" s="35" t="n">
        <f aca="false">J12+I12</f>
        <v>0.8241</v>
      </c>
      <c r="L12" s="36" t="n">
        <v>4.1532</v>
      </c>
      <c r="M12" s="36" t="n">
        <v>1.5208</v>
      </c>
      <c r="N12" s="36" t="n">
        <v>0.6777</v>
      </c>
      <c r="O12" s="37" t="n">
        <f aca="false">L12/$F$2</f>
        <v>0.0221723713418417</v>
      </c>
      <c r="P12" s="37" t="n">
        <f aca="false">M12/$G$2</f>
        <v>0.00862205324832228</v>
      </c>
      <c r="Q12" s="37" t="n">
        <f aca="false">N12/$H$2</f>
        <v>0.00407591535183263</v>
      </c>
      <c r="R12" s="38" t="n">
        <f aca="false">O12*$K12/$I12</f>
        <v>0.0883144090034399</v>
      </c>
      <c r="S12" s="38" t="n">
        <f aca="false">P12*$K12/$I12</f>
        <v>0.0343423590234045</v>
      </c>
      <c r="T12" s="39" t="n">
        <f aca="false">Q12*$K12/$I12</f>
        <v>0.0162347116551245</v>
      </c>
      <c r="U12" s="2" t="n">
        <v>98.9401</v>
      </c>
      <c r="V12" s="2"/>
      <c r="W12" s="32"/>
      <c r="X12" s="2"/>
      <c r="Y12" s="2"/>
      <c r="Z12" s="33"/>
      <c r="AA12" s="2"/>
    </row>
    <row r="13" customFormat="false" ht="14.25" hidden="false" customHeight="true" outlineLevel="0" collapsed="false">
      <c r="A13" s="18" t="s">
        <v>43</v>
      </c>
      <c r="B13" s="19" t="s">
        <v>31</v>
      </c>
      <c r="C13" s="20" t="n">
        <v>9</v>
      </c>
      <c r="D13" s="19" t="n">
        <v>2.8184</v>
      </c>
      <c r="E13" s="19" t="n">
        <v>300</v>
      </c>
      <c r="F13" s="20" t="n">
        <v>2.9999</v>
      </c>
      <c r="G13" s="19" t="n">
        <f aca="false">1000-E13</f>
        <v>700</v>
      </c>
      <c r="H13" s="20" t="n">
        <v>3.6119</v>
      </c>
      <c r="I13" s="22" t="n">
        <f aca="false">F13-D13</f>
        <v>0.1815</v>
      </c>
      <c r="J13" s="22" t="n">
        <f aca="false">H13-F13</f>
        <v>0.612</v>
      </c>
      <c r="K13" s="22" t="n">
        <f aca="false">J13+I13</f>
        <v>0.7935</v>
      </c>
      <c r="L13" s="23" t="n">
        <v>1858.8765</v>
      </c>
      <c r="M13" s="23" t="n">
        <v>791.5177</v>
      </c>
      <c r="N13" s="23" t="n">
        <v>783.8797</v>
      </c>
      <c r="O13" s="24" t="n">
        <f aca="false">L13/$F$2</f>
        <v>9.92384186569945</v>
      </c>
      <c r="P13" s="24" t="n">
        <f aca="false">M13/$G$2</f>
        <v>4.48744592082429</v>
      </c>
      <c r="Q13" s="24" t="n">
        <f aca="false">N13/$H$2</f>
        <v>4.7145157196694</v>
      </c>
      <c r="R13" s="25" t="n">
        <f aca="false">O13*$K13/$I13</f>
        <v>43.3860524541737</v>
      </c>
      <c r="S13" s="25" t="n">
        <f aca="false">P13*$K13/$I13</f>
        <v>19.6186685298847</v>
      </c>
      <c r="T13" s="26" t="n">
        <f aca="false">Q13*$K13/$I13</f>
        <v>20.6113951711167</v>
      </c>
      <c r="U13" s="27" t="n">
        <v>4.4629</v>
      </c>
      <c r="V13" s="27"/>
      <c r="W13" s="28" t="n">
        <f aca="false">AVERAGE(R13:R14)/100</f>
        <v>0.433662731800534</v>
      </c>
      <c r="X13" s="27" t="n">
        <f aca="false">AVERAGE(S13:S14)/100</f>
        <v>0.196085767988701</v>
      </c>
      <c r="Y13" s="27" t="n">
        <f aca="false">AVERAGE(T13:T14)/100</f>
        <v>0.206057413204857</v>
      </c>
      <c r="Z13" s="29" t="n">
        <f aca="false">AVERAGE(U13:V14)/100</f>
        <v>0.044105</v>
      </c>
      <c r="AA13" s="2" t="n">
        <f aca="false">SUM(W13:Z13)</f>
        <v>0.879910912994092</v>
      </c>
      <c r="AD13" s="0" t="n">
        <v>0.495971649123044</v>
      </c>
      <c r="AE13" s="0" t="n">
        <v>0.224259486894638</v>
      </c>
      <c r="AF13" s="0" t="n">
        <v>0.235663863982318</v>
      </c>
      <c r="AG13" s="0" t="n">
        <v>0.044105</v>
      </c>
    </row>
    <row r="14" customFormat="false" ht="14.25" hidden="false" customHeight="true" outlineLevel="0" collapsed="false">
      <c r="A14" s="18"/>
      <c r="B14" s="19" t="s">
        <v>31</v>
      </c>
      <c r="C14" s="20" t="n">
        <v>10</v>
      </c>
      <c r="D14" s="20" t="n">
        <v>2.6975</v>
      </c>
      <c r="E14" s="20" t="n">
        <v>300</v>
      </c>
      <c r="F14" s="20" t="n">
        <v>2.8958</v>
      </c>
      <c r="G14" s="19" t="n">
        <f aca="false">1000-E14</f>
        <v>700</v>
      </c>
      <c r="H14" s="20" t="n">
        <v>3.5458</v>
      </c>
      <c r="I14" s="22" t="n">
        <f aca="false">F14-D14</f>
        <v>0.1983</v>
      </c>
      <c r="J14" s="22" t="n">
        <f aca="false">H14-F14</f>
        <v>0.65</v>
      </c>
      <c r="K14" s="22" t="n">
        <f aca="false">J14+I14</f>
        <v>0.8483</v>
      </c>
      <c r="L14" s="23" t="n">
        <v>1898.0075</v>
      </c>
      <c r="M14" s="23" t="n">
        <v>808.0852</v>
      </c>
      <c r="N14" s="23" t="n">
        <v>800.672</v>
      </c>
      <c r="O14" s="24" t="n">
        <f aca="false">L14/$F$2</f>
        <v>10.1327475439662</v>
      </c>
      <c r="P14" s="24" t="n">
        <f aca="false">M14/$G$2</f>
        <v>4.58137402918277</v>
      </c>
      <c r="Q14" s="24" t="n">
        <f aca="false">N14/$H$2</f>
        <v>4.81551025023246</v>
      </c>
      <c r="R14" s="25" t="n">
        <f aca="false">O14*$K14/$I14</f>
        <v>43.3464939059332</v>
      </c>
      <c r="S14" s="25" t="n">
        <f aca="false">P14*$K14/$I14</f>
        <v>19.5984850678555</v>
      </c>
      <c r="T14" s="26" t="n">
        <f aca="false">Q14*$K14/$I14</f>
        <v>20.6000874698547</v>
      </c>
      <c r="U14" s="27" t="n">
        <v>4.3581</v>
      </c>
      <c r="V14" s="27"/>
      <c r="W14" s="32"/>
      <c r="X14" s="2"/>
      <c r="Y14" s="2"/>
      <c r="Z14" s="33"/>
      <c r="AA14" s="2"/>
    </row>
    <row r="15" customFormat="false" ht="14.25" hidden="false" customHeight="true" outlineLevel="0" collapsed="false">
      <c r="A15" s="18"/>
      <c r="B15" s="34" t="s">
        <v>32</v>
      </c>
      <c r="C15" s="34" t="n">
        <v>11</v>
      </c>
      <c r="D15" s="34" t="n">
        <v>2.7637</v>
      </c>
      <c r="E15" s="34" t="n">
        <v>100</v>
      </c>
      <c r="F15" s="34" t="n">
        <v>2.9687</v>
      </c>
      <c r="G15" s="30" t="n">
        <f aca="false">1000-E15</f>
        <v>900</v>
      </c>
      <c r="H15" s="34" t="n">
        <v>3.6076</v>
      </c>
      <c r="I15" s="35" t="n">
        <f aca="false">F15-D15</f>
        <v>0.205</v>
      </c>
      <c r="J15" s="35" t="n">
        <f aca="false">H15-F15</f>
        <v>0.6389</v>
      </c>
      <c r="K15" s="35" t="n">
        <f aca="false">J15+I15</f>
        <v>0.8439</v>
      </c>
      <c r="L15" s="36" t="n">
        <v>47.7115</v>
      </c>
      <c r="M15" s="36" t="n">
        <v>0.5293</v>
      </c>
      <c r="N15" s="41" t="n">
        <v>0.4396</v>
      </c>
      <c r="O15" s="37" t="n">
        <f aca="false">L15/$F$2</f>
        <v>0.254713737666445</v>
      </c>
      <c r="P15" s="37" t="n">
        <f aca="false">M15/$G$2</f>
        <v>0.0030008237666603</v>
      </c>
      <c r="Q15" s="37" t="n">
        <f aca="false">N15/$H$2</f>
        <v>0.00264390200481869</v>
      </c>
      <c r="R15" s="38" t="n">
        <f aca="false">O15*$K15/$I15</f>
        <v>1.04855084495957</v>
      </c>
      <c r="S15" s="38" t="n">
        <f aca="false">P15*$K15/$I15</f>
        <v>0.0123531472033396</v>
      </c>
      <c r="T15" s="39" t="n">
        <f aca="false">Q15*$K15/$I15</f>
        <v>0.0108838483017877</v>
      </c>
      <c r="U15" s="2" t="n">
        <v>99.7309</v>
      </c>
      <c r="V15" s="2"/>
      <c r="W15" s="32" t="n">
        <f aca="false">AVERAGE(R15:R16)/100</f>
        <v>0.0105735822281574</v>
      </c>
      <c r="X15" s="2" t="n">
        <f aca="false">AVERAGE(S15:S16)/100</f>
        <v>0.00012781291698194</v>
      </c>
      <c r="Y15" s="2" t="n">
        <f aca="false">AVERAGE(T15:T16)/100</f>
        <v>0.000112965102899559</v>
      </c>
      <c r="Z15" s="33" t="n">
        <f aca="false">AVERAGE(U15:V16)/100</f>
        <v>0.9939365</v>
      </c>
      <c r="AA15" s="2" t="n">
        <f aca="false">SUM(W15:Z15)</f>
        <v>1.00475086024804</v>
      </c>
      <c r="AD15" s="0" t="n">
        <v>0.0105735822281574</v>
      </c>
      <c r="AE15" s="0" t="n">
        <v>0.00012781291698194</v>
      </c>
      <c r="AF15" s="0" t="n">
        <v>0.000112965102899559</v>
      </c>
      <c r="AG15" s="0" t="n">
        <v>0.989185639751961</v>
      </c>
    </row>
    <row r="16" customFormat="false" ht="14.25" hidden="false" customHeight="true" outlineLevel="0" collapsed="false">
      <c r="A16" s="18"/>
      <c r="B16" s="34" t="s">
        <v>32</v>
      </c>
      <c r="C16" s="34" t="n">
        <v>12</v>
      </c>
      <c r="D16" s="34" t="n">
        <v>2.7028</v>
      </c>
      <c r="E16" s="34" t="n">
        <v>100</v>
      </c>
      <c r="F16" s="34" t="n">
        <v>2.9102</v>
      </c>
      <c r="G16" s="30" t="n">
        <f aca="false">1000-E16</f>
        <v>900</v>
      </c>
      <c r="H16" s="34" t="n">
        <v>3.5749</v>
      </c>
      <c r="I16" s="35" t="n">
        <f aca="false">F16-D16</f>
        <v>0.2074</v>
      </c>
      <c r="J16" s="35" t="n">
        <f aca="false">H16-F16</f>
        <v>0.6647</v>
      </c>
      <c r="K16" s="35" t="n">
        <f aca="false">J16+I16</f>
        <v>0.8721</v>
      </c>
      <c r="L16" s="36" t="n">
        <v>47.4939</v>
      </c>
      <c r="M16" s="36" t="n">
        <v>0.5541</v>
      </c>
      <c r="N16" s="36" t="n">
        <v>0.463</v>
      </c>
      <c r="O16" s="37" t="n">
        <f aca="false">L16/$F$2</f>
        <v>0.253552053181232</v>
      </c>
      <c r="P16" s="37" t="n">
        <f aca="false">M16/$G$2</f>
        <v>0.0031414253714462</v>
      </c>
      <c r="Q16" s="37" t="n">
        <f aca="false">N16/$H$2</f>
        <v>0.00278463746185408</v>
      </c>
      <c r="R16" s="38" t="n">
        <f aca="false">O16*$K16/$I16</f>
        <v>1.0661656006719</v>
      </c>
      <c r="S16" s="38" t="n">
        <f aca="false">P16*$K16/$I16</f>
        <v>0.0132094361930483</v>
      </c>
      <c r="T16" s="39" t="n">
        <f aca="false">Q16*$K16/$I16</f>
        <v>0.0117091722781241</v>
      </c>
      <c r="U16" s="2" t="n">
        <v>99.0564</v>
      </c>
      <c r="V16" s="2"/>
      <c r="W16" s="32"/>
      <c r="X16" s="2"/>
      <c r="Y16" s="2"/>
      <c r="Z16" s="33"/>
      <c r="AA16" s="2"/>
    </row>
    <row r="17" customFormat="false" ht="14.25" hidden="false" customHeight="true" outlineLevel="0" collapsed="false">
      <c r="A17" s="18" t="s">
        <v>44</v>
      </c>
      <c r="B17" s="19" t="s">
        <v>31</v>
      </c>
      <c r="C17" s="20" t="n">
        <v>13</v>
      </c>
      <c r="D17" s="19" t="n">
        <v>2.7304</v>
      </c>
      <c r="E17" s="19" t="n">
        <v>300</v>
      </c>
      <c r="F17" s="20" t="n">
        <v>2.9163</v>
      </c>
      <c r="G17" s="19" t="n">
        <f aca="false">1000-E17</f>
        <v>700</v>
      </c>
      <c r="H17" s="20" t="n">
        <v>3.4647</v>
      </c>
      <c r="I17" s="22" t="n">
        <f aca="false">F17-D17</f>
        <v>0.1859</v>
      </c>
      <c r="J17" s="22" t="n">
        <f aca="false">H17-F17</f>
        <v>0.5484</v>
      </c>
      <c r="K17" s="22" t="n">
        <f aca="false">J17+I17</f>
        <v>0.7343</v>
      </c>
      <c r="L17" s="23" t="n">
        <v>1162.8725</v>
      </c>
      <c r="M17" s="23" t="n">
        <v>1349.5319</v>
      </c>
      <c r="N17" s="23" t="n">
        <v>1339.1162</v>
      </c>
      <c r="O17" s="24" t="n">
        <f aca="false">L17/$F$2</f>
        <v>6.20813851806217</v>
      </c>
      <c r="P17" s="24" t="n">
        <f aca="false">M17/$G$2</f>
        <v>7.65106253426456</v>
      </c>
      <c r="Q17" s="24" t="n">
        <f aca="false">N17/$H$2</f>
        <v>8.05389446284163</v>
      </c>
      <c r="R17" s="25" t="n">
        <f aca="false">O17*$K17/$I17</f>
        <v>24.5219801711299</v>
      </c>
      <c r="S17" s="25" t="n">
        <f aca="false">P17*$K17/$I17</f>
        <v>30.2214912259842</v>
      </c>
      <c r="T17" s="26" t="n">
        <f aca="false">Q17*$K17/$I17</f>
        <v>31.8126665092233</v>
      </c>
      <c r="U17" s="27" t="n">
        <v>3.3914</v>
      </c>
      <c r="V17" s="27"/>
      <c r="W17" s="32" t="n">
        <f aca="false">AVERAGE(R17:R18)/100</f>
        <v>0.248752142572498</v>
      </c>
      <c r="X17" s="2" t="n">
        <f aca="false">AVERAGE(S17:S18)/100</f>
        <v>0.306486431904748</v>
      </c>
      <c r="Y17" s="2" t="n">
        <f aca="false">AVERAGE(T17:T18)/100</f>
        <v>0.322594589875242</v>
      </c>
      <c r="Z17" s="33" t="n">
        <f aca="false">AVERAGE(U17:V18)/100</f>
        <v>0.0334115</v>
      </c>
      <c r="AA17" s="2" t="n">
        <f aca="false">SUM(W17:Z17)</f>
        <v>0.911244664352489</v>
      </c>
      <c r="AD17" s="0" t="n">
        <v>0.273902798532672</v>
      </c>
      <c r="AE17" s="0" t="n">
        <v>0.337474445618242</v>
      </c>
      <c r="AF17" s="0" t="n">
        <v>0.355211255849087</v>
      </c>
      <c r="AG17" s="0" t="n">
        <v>0.0334115</v>
      </c>
    </row>
    <row r="18" customFormat="false" ht="14.25" hidden="false" customHeight="true" outlineLevel="0" collapsed="false">
      <c r="A18" s="18"/>
      <c r="B18" s="20" t="s">
        <v>31</v>
      </c>
      <c r="C18" s="20" t="n">
        <v>14</v>
      </c>
      <c r="D18" s="20" t="n">
        <v>2.7801</v>
      </c>
      <c r="E18" s="20" t="n">
        <v>300</v>
      </c>
      <c r="F18" s="20" t="n">
        <v>2.9755</v>
      </c>
      <c r="G18" s="19" t="n">
        <f aca="false">1000-E18</f>
        <v>700</v>
      </c>
      <c r="H18" s="20" t="n">
        <v>3.543</v>
      </c>
      <c r="I18" s="22" t="n">
        <f aca="false">F18-D18</f>
        <v>0.1954</v>
      </c>
      <c r="J18" s="22" t="n">
        <f aca="false">H18-F18</f>
        <v>0.5675</v>
      </c>
      <c r="K18" s="22" t="n">
        <f aca="false">J18+I18</f>
        <v>0.7629</v>
      </c>
      <c r="L18" s="23" t="n">
        <v>1210.3701</v>
      </c>
      <c r="M18" s="23" t="n">
        <v>1403.9143</v>
      </c>
      <c r="N18" s="23" t="n">
        <v>1392.8362</v>
      </c>
      <c r="O18" s="24" t="n">
        <f aca="false">L18/$F$2</f>
        <v>6.46171032415055</v>
      </c>
      <c r="P18" s="24" t="n">
        <f aca="false">M18/$G$2</f>
        <v>7.95937917588184</v>
      </c>
      <c r="Q18" s="24" t="n">
        <f aca="false">N18/$H$2</f>
        <v>8.37698458044595</v>
      </c>
      <c r="R18" s="25" t="n">
        <f aca="false">O18*$K18/$I18</f>
        <v>25.2284483433698</v>
      </c>
      <c r="S18" s="25" t="n">
        <f aca="false">P18*$K18/$I18</f>
        <v>31.0757951549655</v>
      </c>
      <c r="T18" s="26" t="n">
        <f aca="false">Q18*$K18/$I18</f>
        <v>32.7062514658251</v>
      </c>
      <c r="U18" s="27" t="n">
        <v>3.2909</v>
      </c>
      <c r="V18" s="27"/>
      <c r="W18" s="32"/>
      <c r="X18" s="2"/>
      <c r="Y18" s="2"/>
      <c r="Z18" s="33"/>
      <c r="AA18" s="2"/>
    </row>
    <row r="19" customFormat="false" ht="14.25" hidden="false" customHeight="true" outlineLevel="0" collapsed="false">
      <c r="A19" s="18"/>
      <c r="B19" s="34" t="s">
        <v>32</v>
      </c>
      <c r="C19" s="34" t="n">
        <v>15</v>
      </c>
      <c r="D19" s="34" t="n">
        <v>2.736</v>
      </c>
      <c r="E19" s="34" t="n">
        <v>100</v>
      </c>
      <c r="F19" s="34" t="n">
        <v>2.9398</v>
      </c>
      <c r="G19" s="30" t="n">
        <f aca="false">1000-E19</f>
        <v>900</v>
      </c>
      <c r="H19" s="34" t="n">
        <v>3.5197</v>
      </c>
      <c r="I19" s="35" t="n">
        <f aca="false">F19-D19</f>
        <v>0.2038</v>
      </c>
      <c r="J19" s="35" t="n">
        <f aca="false">H19-F19</f>
        <v>0.5799</v>
      </c>
      <c r="K19" s="35" t="n">
        <f aca="false">J19+I19</f>
        <v>0.7837</v>
      </c>
      <c r="L19" s="36" t="n">
        <v>30.11</v>
      </c>
      <c r="M19" s="36" t="n">
        <v>1.1737</v>
      </c>
      <c r="N19" s="36" t="n">
        <v>0.7942</v>
      </c>
      <c r="O19" s="37" t="n">
        <f aca="false">L19/$F$2</f>
        <v>0.160745955191865</v>
      </c>
      <c r="P19" s="37" t="n">
        <f aca="false">M19/$G$2</f>
        <v>0.0066541977232745</v>
      </c>
      <c r="Q19" s="37" t="n">
        <f aca="false">N19/$H$2</f>
        <v>0.00477658546912421</v>
      </c>
      <c r="R19" s="38" t="n">
        <f aca="false">O19*$K19/$I19</f>
        <v>0.618138395897274</v>
      </c>
      <c r="S19" s="38" t="n">
        <f aca="false">P19*$K19/$I19</f>
        <v>0.0255882961517676</v>
      </c>
      <c r="T19" s="39" t="n">
        <f aca="false">Q19*$K19/$I19</f>
        <v>0.0183680570763133</v>
      </c>
      <c r="U19" s="2" t="n">
        <v>98.2495</v>
      </c>
      <c r="V19" s="2"/>
      <c r="W19" s="32" t="n">
        <f aca="false">AVERAGE(R19:R20)/100</f>
        <v>0.00637059737359452</v>
      </c>
      <c r="X19" s="2" t="n">
        <f aca="false">AVERAGE(S19:S20)/100</f>
        <v>0.000605262698544634</v>
      </c>
      <c r="Y19" s="2" t="n">
        <f aca="false">AVERAGE(T19:T20)/100</f>
        <v>0.000547399587204631</v>
      </c>
      <c r="Z19" s="33" t="n">
        <f aca="false">AVERAGE(U19:V20)/100</f>
        <v>0.9881925</v>
      </c>
      <c r="AA19" s="2" t="n">
        <f aca="false">SUM(W19:Z19)</f>
        <v>0.995715759659344</v>
      </c>
      <c r="AD19" s="0" t="n">
        <v>0.00637059737359452</v>
      </c>
      <c r="AE19" s="0" t="n">
        <v>0.000605262698544634</v>
      </c>
      <c r="AF19" s="0" t="n">
        <v>0.000547399587204631</v>
      </c>
      <c r="AG19" s="0" t="n">
        <v>0.992476740340656</v>
      </c>
    </row>
    <row r="20" customFormat="false" ht="14.25" hidden="false" customHeight="true" outlineLevel="0" collapsed="false">
      <c r="A20" s="18"/>
      <c r="B20" s="34" t="s">
        <v>32</v>
      </c>
      <c r="C20" s="34" t="n">
        <v>16</v>
      </c>
      <c r="D20" s="34" t="n">
        <v>2.744</v>
      </c>
      <c r="E20" s="34" t="n">
        <v>100</v>
      </c>
      <c r="F20" s="34" t="n">
        <v>2.9481</v>
      </c>
      <c r="G20" s="30" t="n">
        <f aca="false">1000-E20</f>
        <v>900</v>
      </c>
      <c r="H20" s="34" t="n">
        <v>3.5278</v>
      </c>
      <c r="I20" s="35" t="n">
        <f aca="false">F20-D20</f>
        <v>0.2041</v>
      </c>
      <c r="J20" s="35" t="n">
        <f aca="false">H20-F20</f>
        <v>0.5797</v>
      </c>
      <c r="K20" s="35" t="n">
        <f aca="false">J20+I20</f>
        <v>0.7838</v>
      </c>
      <c r="L20" s="36" t="n">
        <v>31.9963</v>
      </c>
      <c r="M20" s="36" t="n">
        <v>4.3847</v>
      </c>
      <c r="N20" s="36" t="n">
        <v>3.9448</v>
      </c>
      <c r="O20" s="37" t="n">
        <f aca="false">L20/$F$2</f>
        <v>0.17081620080058</v>
      </c>
      <c r="P20" s="37" t="n">
        <f aca="false">M20/$G$2</f>
        <v>0.0248587038913195</v>
      </c>
      <c r="Q20" s="37" t="n">
        <f aca="false">N20/$H$2</f>
        <v>0.0237253517484276</v>
      </c>
      <c r="R20" s="38" t="n">
        <f aca="false">O20*$K20/$I20</f>
        <v>0.65598107882163</v>
      </c>
      <c r="S20" s="38" t="n">
        <f aca="false">P20*$K20/$I20</f>
        <v>0.0954642435571593</v>
      </c>
      <c r="T20" s="39" t="n">
        <f aca="false">Q20*$K20/$I20</f>
        <v>0.091111860364613</v>
      </c>
      <c r="U20" s="2" t="n">
        <v>99.389</v>
      </c>
      <c r="V20" s="2"/>
      <c r="W20" s="32"/>
      <c r="X20" s="2"/>
      <c r="Y20" s="2"/>
      <c r="Z20" s="33"/>
      <c r="AA20" s="2"/>
    </row>
    <row r="21" customFormat="false" ht="14.25" hidden="false" customHeight="true" outlineLevel="0" collapsed="false">
      <c r="A21" s="18" t="s">
        <v>45</v>
      </c>
      <c r="B21" s="19" t="s">
        <v>31</v>
      </c>
      <c r="C21" s="20" t="n">
        <v>17</v>
      </c>
      <c r="D21" s="19" t="n">
        <v>2.7303</v>
      </c>
      <c r="E21" s="19" t="n">
        <v>300</v>
      </c>
      <c r="F21" s="20" t="n">
        <v>2.9152</v>
      </c>
      <c r="G21" s="19" t="n">
        <f aca="false">1000-E21</f>
        <v>700</v>
      </c>
      <c r="H21" s="20" t="n">
        <v>3.4772</v>
      </c>
      <c r="I21" s="22" t="n">
        <f aca="false">F21-D21</f>
        <v>0.1849</v>
      </c>
      <c r="J21" s="22" t="n">
        <f aca="false">H21-F21</f>
        <v>0.562</v>
      </c>
      <c r="K21" s="22" t="n">
        <f aca="false">J21+I21</f>
        <v>0.7469</v>
      </c>
      <c r="L21" s="23" t="n">
        <v>2751.9239</v>
      </c>
      <c r="M21" s="23" t="n">
        <v>474.2914</v>
      </c>
      <c r="N21" s="23" t="n">
        <v>464.3203</v>
      </c>
      <c r="O21" s="24" t="n">
        <f aca="false">L21/$F$2</f>
        <v>14.6914857496121</v>
      </c>
      <c r="P21" s="24" t="n">
        <f aca="false">M21/$G$2</f>
        <v>2.68895693452217</v>
      </c>
      <c r="Q21" s="24" t="n">
        <f aca="false">N21/$H$2</f>
        <v>2.79257818937219</v>
      </c>
      <c r="R21" s="25" t="n">
        <f aca="false">O21*$K21/$I21</f>
        <v>59.3459746153884</v>
      </c>
      <c r="S21" s="25" t="n">
        <f aca="false">P21*$K21/$I21</f>
        <v>10.8619899101926</v>
      </c>
      <c r="T21" s="26" t="n">
        <f aca="false">Q21*$K21/$I21</f>
        <v>11.280565979676</v>
      </c>
      <c r="U21" s="27" t="n">
        <v>5.883</v>
      </c>
      <c r="V21" s="27"/>
      <c r="W21" s="28" t="n">
        <f aca="false">AVERAGE(R21:R22)/100</f>
        <v>0.598598114507434</v>
      </c>
      <c r="X21" s="27" t="n">
        <f aca="false">AVERAGE(S21:S22)/100</f>
        <v>0.109842169363062</v>
      </c>
      <c r="Y21" s="27" t="n">
        <f aca="false">AVERAGE(T21:T22)/100</f>
        <v>0.113870626348294</v>
      </c>
      <c r="Z21" s="29" t="n">
        <f aca="false">AVERAGE(U21:V22)/100</f>
        <v>0.0581</v>
      </c>
      <c r="AA21" s="2" t="n">
        <f aca="false">SUM(W21:Z21)</f>
        <v>0.880410910218789</v>
      </c>
      <c r="AD21" s="0" t="n">
        <v>0.685652539748668</v>
      </c>
      <c r="AE21" s="0" t="n">
        <v>0.125816571369023</v>
      </c>
      <c r="AF21" s="0" t="n">
        <v>0.130430888882309</v>
      </c>
      <c r="AG21" s="0" t="n">
        <v>0.0581</v>
      </c>
    </row>
    <row r="22" customFormat="false" ht="14.25" hidden="false" customHeight="true" outlineLevel="0" collapsed="false">
      <c r="A22" s="18"/>
      <c r="B22" s="20" t="s">
        <v>31</v>
      </c>
      <c r="C22" s="20" t="n">
        <v>18</v>
      </c>
      <c r="D22" s="20" t="n">
        <v>2.7638</v>
      </c>
      <c r="E22" s="20" t="n">
        <v>300</v>
      </c>
      <c r="F22" s="20" t="n">
        <v>2.9464</v>
      </c>
      <c r="G22" s="19" t="n">
        <f aca="false">1000-E22</f>
        <v>700</v>
      </c>
      <c r="H22" s="20" t="n">
        <v>3.5158</v>
      </c>
      <c r="I22" s="22" t="n">
        <f aca="false">F22-D22</f>
        <v>0.1826</v>
      </c>
      <c r="J22" s="22" t="n">
        <f aca="false">H22-F22</f>
        <v>0.5694</v>
      </c>
      <c r="K22" s="22" t="n">
        <f aca="false">J22+I22</f>
        <v>0.752</v>
      </c>
      <c r="L22" s="23" t="n">
        <v>2746.0033</v>
      </c>
      <c r="M22" s="23" t="n">
        <v>475.6849</v>
      </c>
      <c r="N22" s="23" t="n">
        <v>464.034</v>
      </c>
      <c r="O22" s="24" t="n">
        <f aca="false">L22/$F$2</f>
        <v>14.6598778950021</v>
      </c>
      <c r="P22" s="24" t="n">
        <f aca="false">M22/$G$2</f>
        <v>2.69685727066206</v>
      </c>
      <c r="Q22" s="24" t="n">
        <f aca="false">N22/$H$2</f>
        <v>2.79085628504102</v>
      </c>
      <c r="R22" s="25" t="n">
        <f aca="false">O22*$K22/$I22</f>
        <v>60.3736482860983</v>
      </c>
      <c r="S22" s="25" t="n">
        <f aca="false">P22*$K22/$I22</f>
        <v>11.1064439624199</v>
      </c>
      <c r="T22" s="26" t="n">
        <f aca="false">Q22*$K22/$I22</f>
        <v>11.4935592899827</v>
      </c>
      <c r="U22" s="27" t="n">
        <v>5.737</v>
      </c>
      <c r="V22" s="27"/>
      <c r="W22" s="32"/>
      <c r="X22" s="2"/>
      <c r="Y22" s="2"/>
      <c r="Z22" s="33"/>
      <c r="AA22" s="2"/>
    </row>
    <row r="23" customFormat="false" ht="14.25" hidden="false" customHeight="true" outlineLevel="0" collapsed="false">
      <c r="A23" s="18"/>
      <c r="B23" s="34" t="s">
        <v>32</v>
      </c>
      <c r="C23" s="34" t="n">
        <v>19</v>
      </c>
      <c r="D23" s="34" t="n">
        <v>2.748</v>
      </c>
      <c r="E23" s="34" t="n">
        <v>100</v>
      </c>
      <c r="F23" s="34" t="n">
        <v>2.9478</v>
      </c>
      <c r="G23" s="30" t="n">
        <f aca="false">1000-E23</f>
        <v>900</v>
      </c>
      <c r="H23" s="34" t="n">
        <v>3.5237</v>
      </c>
      <c r="I23" s="35" t="n">
        <f aca="false">F23-D23</f>
        <v>0.1998</v>
      </c>
      <c r="J23" s="35" t="n">
        <f aca="false">H23-F23</f>
        <v>0.5759</v>
      </c>
      <c r="K23" s="35" t="n">
        <f aca="false">J23+I23</f>
        <v>0.7757</v>
      </c>
      <c r="L23" s="36" t="n">
        <v>76.3715</v>
      </c>
      <c r="M23" s="36" t="n">
        <v>1.1925</v>
      </c>
      <c r="N23" s="36" t="n">
        <v>1.1643</v>
      </c>
      <c r="O23" s="37" t="n">
        <f aca="false">L23/$F$2</f>
        <v>0.407718688705928</v>
      </c>
      <c r="P23" s="37" t="n">
        <f aca="false">M23/$G$2</f>
        <v>0.00676078281077349</v>
      </c>
      <c r="Q23" s="37" t="n">
        <f aca="false">N23/$H$2</f>
        <v>0.00700249113787624</v>
      </c>
      <c r="R23" s="38" t="n">
        <f aca="false">O23*$K23/$I23</f>
        <v>1.58291985399994</v>
      </c>
      <c r="S23" s="38" t="n">
        <f aca="false">P23*$K23/$I23</f>
        <v>0.0262479440756606</v>
      </c>
      <c r="T23" s="39" t="n">
        <f aca="false">Q23*$K23/$I23</f>
        <v>0.0271863482264795</v>
      </c>
      <c r="U23" s="2" t="n">
        <v>98.2209</v>
      </c>
      <c r="V23" s="2"/>
      <c r="W23" s="32" t="n">
        <f aca="false">AVERAGE(R23:R24)/100</f>
        <v>0.0153982453354173</v>
      </c>
      <c r="X23" s="2" t="n">
        <f aca="false">AVERAGE(S23:S24)/100</f>
        <v>0.000196848610699219</v>
      </c>
      <c r="Y23" s="2" t="n">
        <f aca="false">AVERAGE(T23:T24)/100</f>
        <v>0.000204593010109786</v>
      </c>
      <c r="Z23" s="33" t="n">
        <f aca="false">AVERAGE(U23:V24)/100</f>
        <v>0.9787095</v>
      </c>
      <c r="AA23" s="2" t="n">
        <f aca="false">SUM(W23:Z23)</f>
        <v>0.994509186956226</v>
      </c>
      <c r="AD23" s="0" t="n">
        <v>0.0153982453354173</v>
      </c>
      <c r="AE23" s="0" t="n">
        <v>0.000196848610699219</v>
      </c>
      <c r="AF23" s="0" t="n">
        <v>0.000204593010109786</v>
      </c>
      <c r="AG23" s="0" t="n">
        <v>0.984200313043774</v>
      </c>
    </row>
    <row r="24" customFormat="false" ht="14.25" hidden="false" customHeight="true" outlineLevel="0" collapsed="false">
      <c r="A24" s="18"/>
      <c r="B24" s="34" t="s">
        <v>32</v>
      </c>
      <c r="C24" s="34" t="n">
        <v>20</v>
      </c>
      <c r="D24" s="34" t="n">
        <v>2.7552</v>
      </c>
      <c r="E24" s="34" t="n">
        <v>100</v>
      </c>
      <c r="F24" s="34" t="n">
        <v>2.9608</v>
      </c>
      <c r="G24" s="30" t="n">
        <f aca="false">1000-E24</f>
        <v>900</v>
      </c>
      <c r="H24" s="34" t="n">
        <v>3.5479</v>
      </c>
      <c r="I24" s="35" t="n">
        <f aca="false">F24-D24</f>
        <v>0.2056</v>
      </c>
      <c r="J24" s="35" t="n">
        <f aca="false">H24-F24</f>
        <v>0.5871</v>
      </c>
      <c r="K24" s="35" t="n">
        <f aca="false">J24+I24</f>
        <v>0.7927</v>
      </c>
      <c r="L24" s="36" t="n">
        <v>72.7157</v>
      </c>
      <c r="M24" s="36" t="n">
        <v>0.6003</v>
      </c>
      <c r="N24" s="36" t="n">
        <v>0.5922</v>
      </c>
      <c r="O24" s="37" t="n">
        <f aca="false">L24/$F$2</f>
        <v>0.388201748719531</v>
      </c>
      <c r="P24" s="37" t="n">
        <f aca="false">M24/$G$2</f>
        <v>0.00340335255455541</v>
      </c>
      <c r="Q24" s="37" t="n">
        <f aca="false">N24/$H$2</f>
        <v>0.00356168964343409</v>
      </c>
      <c r="R24" s="38" t="n">
        <f aca="false">O24*$K24/$I24</f>
        <v>1.49672921308352</v>
      </c>
      <c r="S24" s="38" t="n">
        <f aca="false">P24*$K24/$I24</f>
        <v>0.0131217780641832</v>
      </c>
      <c r="T24" s="39" t="n">
        <f aca="false">Q24*$K24/$I24</f>
        <v>0.0137322537954776</v>
      </c>
      <c r="U24" s="42" t="n">
        <v>97.521</v>
      </c>
      <c r="V24" s="42"/>
      <c r="W24" s="43"/>
      <c r="X24" s="42"/>
      <c r="Y24" s="42"/>
      <c r="Z24" s="44"/>
      <c r="AA24" s="2"/>
    </row>
    <row r="25" customFormat="false" ht="14.25" hidden="false" customHeight="true" outlineLevel="0" collapsed="false">
      <c r="A25" s="45" t="s">
        <v>37</v>
      </c>
      <c r="B25" s="1" t="s">
        <v>31</v>
      </c>
      <c r="C25" s="1" t="n">
        <v>1</v>
      </c>
      <c r="D25" s="1" t="n">
        <v>2.729</v>
      </c>
      <c r="F25" s="1" t="n">
        <v>2.989</v>
      </c>
      <c r="G25" s="2" t="n">
        <f aca="false">1000-E25</f>
        <v>1000</v>
      </c>
      <c r="H25" s="1" t="n">
        <v>3.4899</v>
      </c>
      <c r="I25" s="1" t="n">
        <f aca="false">F25-D25</f>
        <v>0.26</v>
      </c>
      <c r="J25" s="1" t="n">
        <f aca="false">H25-F25</f>
        <v>0.5009</v>
      </c>
      <c r="K25" s="1" t="n">
        <f aca="false">J25+I25</f>
        <v>0.7609</v>
      </c>
      <c r="M25" s="1" t="n">
        <v>2788.92</v>
      </c>
      <c r="N25" s="1" t="n">
        <v>2800.64</v>
      </c>
      <c r="P25" s="1" t="n">
        <f aca="false">M25/$G$2</f>
        <v>15.8115575653018</v>
      </c>
      <c r="Q25" s="1" t="n">
        <f aca="false">N25/$H$2</f>
        <v>16.8439893329741</v>
      </c>
      <c r="S25" s="1" t="n">
        <f aca="false">P25*$K25/$I25</f>
        <v>46.2731313516852</v>
      </c>
      <c r="T25" s="1" t="n">
        <f aca="false">Q25*$K25/$I25</f>
        <v>49.2945826286923</v>
      </c>
      <c r="U25" s="1" t="n">
        <v>2.1978</v>
      </c>
      <c r="X25" s="1" t="n">
        <f aca="false">AVERAGE(S25:S26)/100</f>
        <v>0.466613165175658</v>
      </c>
      <c r="Y25" s="1" t="n">
        <f aca="false">AVERAGE(T25:T26)/100</f>
        <v>0.497059517706941</v>
      </c>
      <c r="Z25" s="1" t="n">
        <f aca="false">AVERAGE(U25:V26)/100</f>
        <v>0.022118</v>
      </c>
      <c r="AA25" s="1" t="n">
        <f aca="false">SUM(W25:Z25)</f>
        <v>0.9857906828826</v>
      </c>
      <c r="AE25" s="1" t="n">
        <f aca="false">IFERROR(X25/$AA25,"")</f>
        <v>0.47333898897402</v>
      </c>
      <c r="AF25" s="1" t="n">
        <f aca="false">IFERROR(Y25/$AA25,"")</f>
        <v>0.504224199252386</v>
      </c>
      <c r="AG25" s="1" t="n">
        <f aca="false">IFERROR(Z25/$AA25,"")</f>
        <v>0.0224368117735944</v>
      </c>
    </row>
    <row r="26" customFormat="false" ht="14.25" hidden="false" customHeight="true" outlineLevel="0" collapsed="false">
      <c r="A26" s="45"/>
      <c r="B26" s="1" t="s">
        <v>31</v>
      </c>
      <c r="C26" s="1" t="n">
        <v>2</v>
      </c>
      <c r="D26" s="1" t="n">
        <v>2.7384</v>
      </c>
      <c r="F26" s="1" t="n">
        <v>3.01</v>
      </c>
      <c r="G26" s="2" t="n">
        <f aca="false">1000-E26</f>
        <v>1000</v>
      </c>
      <c r="H26" s="1" t="n">
        <v>3.4564</v>
      </c>
      <c r="I26" s="1" t="n">
        <f aca="false">F26-D26</f>
        <v>0.2716</v>
      </c>
      <c r="J26" s="1" t="n">
        <f aca="false">H26-F26</f>
        <v>0.4464</v>
      </c>
      <c r="K26" s="1" t="n">
        <f aca="false">J26+I26</f>
        <v>0.718</v>
      </c>
      <c r="M26" s="1" t="n">
        <v>3139.22</v>
      </c>
      <c r="N26" s="1" t="n">
        <v>3152.14</v>
      </c>
      <c r="P26" s="1" t="n">
        <f aca="false">M26/$G$2</f>
        <v>17.7975552329026</v>
      </c>
      <c r="Q26" s="1" t="n">
        <f aca="false">N26/$H$2</f>
        <v>18.9580283563903</v>
      </c>
      <c r="S26" s="1" t="n">
        <f aca="false">P26*$K26/$I26</f>
        <v>47.0495016834465</v>
      </c>
      <c r="T26" s="1" t="n">
        <f aca="false">Q26*$K26/$I26</f>
        <v>50.117320912696</v>
      </c>
      <c r="U26" s="1" t="n">
        <v>2.2258</v>
      </c>
    </row>
    <row r="27" customFormat="false" ht="14.25" hidden="false" customHeight="true" outlineLevel="0" collapsed="false">
      <c r="A27" s="45"/>
      <c r="B27" s="1" t="s">
        <v>32</v>
      </c>
      <c r="C27" s="1" t="n">
        <v>3</v>
      </c>
      <c r="D27" s="1" t="n">
        <v>2.7726</v>
      </c>
      <c r="F27" s="1" t="n">
        <v>3.1952</v>
      </c>
      <c r="G27" s="2" t="n">
        <f aca="false">1000-E27</f>
        <v>1000</v>
      </c>
      <c r="H27" s="1" t="n">
        <v>3.6785</v>
      </c>
      <c r="I27" s="1" t="n">
        <f aca="false">F27-D27</f>
        <v>0.4226</v>
      </c>
      <c r="J27" s="1" t="n">
        <f aca="false">H27-F27</f>
        <v>0.4833</v>
      </c>
      <c r="K27" s="1" t="n">
        <f aca="false">J27+I27</f>
        <v>0.9059</v>
      </c>
      <c r="M27" s="1" t="n">
        <v>6.34</v>
      </c>
      <c r="N27" s="1" t="n">
        <v>2.99</v>
      </c>
      <c r="P27" s="1" t="n">
        <f aca="false">M27/$G$2</f>
        <v>0.0359441199331689</v>
      </c>
      <c r="Q27" s="1" t="n">
        <f aca="false">N27/$H$2</f>
        <v>0.017982863954522</v>
      </c>
      <c r="S27" s="1" t="n">
        <f aca="false">P27*$K27/$I27</f>
        <v>0.0770510606896775</v>
      </c>
      <c r="T27" s="1" t="n">
        <f aca="false">Q27*$K27/$I27</f>
        <v>0.0385486901476609</v>
      </c>
      <c r="X27" s="1" t="n">
        <f aca="false">AVERAGE(S27:S28)/100</f>
        <v>0.00294950357556471</v>
      </c>
      <c r="Y27" s="1" t="n">
        <f aca="false">AVERAGE(T27:T28)/100</f>
        <v>0.00241651043682067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32</v>
      </c>
      <c r="C28" s="1" t="n">
        <v>4</v>
      </c>
      <c r="D28" s="1" t="n">
        <v>2.7355</v>
      </c>
      <c r="F28" s="1" t="n">
        <v>2.974</v>
      </c>
      <c r="G28" s="2" t="n">
        <f aca="false">1000-E28</f>
        <v>1000</v>
      </c>
      <c r="H28" s="1" t="n">
        <v>3.4239</v>
      </c>
      <c r="I28" s="1" t="n">
        <f aca="false">F28-D28</f>
        <v>0.2385</v>
      </c>
      <c r="J28" s="1" t="n">
        <f aca="false">H28-F28</f>
        <v>0.4499</v>
      </c>
      <c r="K28" s="1" t="n">
        <f aca="false">J28+I28</f>
        <v>0.6884</v>
      </c>
      <c r="M28" s="1" t="n">
        <v>31.34</v>
      </c>
      <c r="N28" s="1" t="n">
        <v>25.62</v>
      </c>
      <c r="P28" s="1" t="n">
        <f aca="false">M28/$G$2</f>
        <v>0.17767960862863</v>
      </c>
      <c r="Q28" s="1" t="n">
        <f aca="false">N28/$H$2</f>
        <v>0.154087282446439</v>
      </c>
      <c r="S28" s="1" t="n">
        <f aca="false">P28*$K28/$I28</f>
        <v>0.512849654423265</v>
      </c>
      <c r="T28" s="1" t="n">
        <f aca="false">Q28*$K28/$I28</f>
        <v>0.444753397216473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46</v>
      </c>
    </row>
    <row r="2" customFormat="false" ht="14.25" hidden="false" customHeight="true" outlineLevel="0" collapsed="false">
      <c r="E2" s="1" t="s">
        <v>2</v>
      </c>
      <c r="F2" s="1" t="n">
        <v>187.3142</v>
      </c>
      <c r="G2" s="2" t="n">
        <v>176.3849</v>
      </c>
      <c r="H2" s="4" t="n">
        <v>177.8399</v>
      </c>
    </row>
    <row r="3" customFormat="false" ht="14.25" hidden="false" customHeight="true" outlineLevel="0" collapsed="false">
      <c r="M3" s="1" t="s">
        <v>3</v>
      </c>
      <c r="N3" s="1" t="s">
        <v>47</v>
      </c>
      <c r="O3" s="5" t="s">
        <v>5</v>
      </c>
      <c r="P3" s="5"/>
      <c r="Q3" s="5"/>
      <c r="R3" s="6" t="s">
        <v>6</v>
      </c>
      <c r="S3" s="6"/>
      <c r="T3" s="6"/>
      <c r="U3" s="7" t="s">
        <v>7</v>
      </c>
      <c r="V3" s="7"/>
    </row>
    <row r="4" customFormat="false" ht="14.25" hidden="false" customHeight="true" outlineLevel="0" collapsed="false">
      <c r="A4" s="8" t="s">
        <v>8</v>
      </c>
      <c r="B4" s="8" t="s">
        <v>9</v>
      </c>
      <c r="C4" s="8" t="s">
        <v>10</v>
      </c>
      <c r="D4" s="8" t="s">
        <v>11</v>
      </c>
      <c r="E4" s="8" t="s">
        <v>12</v>
      </c>
      <c r="F4" s="8" t="s">
        <v>13</v>
      </c>
      <c r="G4" s="8" t="s">
        <v>14</v>
      </c>
      <c r="H4" s="8" t="s">
        <v>15</v>
      </c>
      <c r="I4" s="9" t="s">
        <v>16</v>
      </c>
      <c r="J4" s="9" t="s">
        <v>17</v>
      </c>
      <c r="K4" s="9" t="s">
        <v>18</v>
      </c>
      <c r="L4" s="9" t="s">
        <v>19</v>
      </c>
      <c r="M4" s="10" t="s">
        <v>40</v>
      </c>
      <c r="N4" s="11" t="s">
        <v>21</v>
      </c>
      <c r="O4" s="12" t="s">
        <v>22</v>
      </c>
      <c r="P4" s="13" t="s">
        <v>23</v>
      </c>
      <c r="Q4" s="14" t="s">
        <v>24</v>
      </c>
      <c r="R4" s="12" t="s">
        <v>22</v>
      </c>
      <c r="S4" s="13" t="s">
        <v>23</v>
      </c>
      <c r="T4" s="14" t="s">
        <v>24</v>
      </c>
      <c r="U4" s="15" t="n">
        <v>1</v>
      </c>
      <c r="V4" s="15" t="n">
        <v>2</v>
      </c>
      <c r="W4" s="16" t="s">
        <v>25</v>
      </c>
      <c r="X4" s="15" t="s">
        <v>26</v>
      </c>
      <c r="Y4" s="15" t="s">
        <v>27</v>
      </c>
      <c r="Z4" s="17" t="s">
        <v>28</v>
      </c>
    </row>
    <row r="5" customFormat="false" ht="14.25" hidden="false" customHeight="true" outlineLevel="0" collapsed="false">
      <c r="A5" s="18" t="s">
        <v>48</v>
      </c>
      <c r="B5" s="19" t="s">
        <v>31</v>
      </c>
      <c r="C5" s="20" t="n">
        <v>1</v>
      </c>
      <c r="D5" s="21" t="n">
        <v>2.7013</v>
      </c>
      <c r="E5" s="19" t="n">
        <v>300</v>
      </c>
      <c r="F5" s="20" t="n">
        <v>2.8199</v>
      </c>
      <c r="G5" s="19" t="n">
        <f aca="false">1000-E5</f>
        <v>700</v>
      </c>
      <c r="H5" s="20" t="n">
        <v>3.3726</v>
      </c>
      <c r="I5" s="22" t="n">
        <f aca="false">F5-D5</f>
        <v>0.1186</v>
      </c>
      <c r="J5" s="22" t="n">
        <f aca="false">H5-F5</f>
        <v>0.5527</v>
      </c>
      <c r="K5" s="22" t="n">
        <f aca="false">J5+I5</f>
        <v>0.6713</v>
      </c>
      <c r="L5" s="23" t="n">
        <v>55.5399</v>
      </c>
      <c r="M5" s="23" t="n">
        <v>0.0396</v>
      </c>
      <c r="N5" s="23" t="n">
        <v>0.0372</v>
      </c>
      <c r="O5" s="24" t="n">
        <f aca="false">L5/$F$2</f>
        <v>0.296506618291619</v>
      </c>
      <c r="P5" s="47" t="n">
        <f aca="false">M5/$G$2</f>
        <v>0.00022450901409361</v>
      </c>
      <c r="Q5" s="26" t="n">
        <f aca="false">N5/$H$2</f>
        <v>0.000209176905744999</v>
      </c>
      <c r="R5" s="25" t="n">
        <f aca="false">O5*$K5/$I5</f>
        <v>1.67828746086984</v>
      </c>
      <c r="S5" s="47" t="n">
        <f aca="false">P5*$K5/$I5</f>
        <v>0.00127076645161079</v>
      </c>
      <c r="T5" s="26" t="n">
        <f aca="false">Q5*$K5/$I5</f>
        <v>0.00118398361573876</v>
      </c>
      <c r="U5" s="27" t="n">
        <v>94.8602</v>
      </c>
      <c r="V5" s="27"/>
      <c r="W5" s="48" t="n">
        <f aca="false">AVERAGE(R5:R6)/100</f>
        <v>0.0170492434194559</v>
      </c>
      <c r="X5" s="49" t="n">
        <f aca="false">AVERAGE(S5:S6)/100</f>
        <v>1.29247508304931E-005</v>
      </c>
      <c r="Y5" s="49" t="n">
        <f aca="false">AVERAGE(T5:T6)/100</f>
        <v>1.19182977894344E-005</v>
      </c>
      <c r="Z5" s="50" t="n">
        <f aca="false">AVERAGE(U5:V6)/100</f>
        <v>0.975035</v>
      </c>
      <c r="AA5" s="2" t="n">
        <f aca="false">SUM(W5:Z5)</f>
        <v>0.992109086468076</v>
      </c>
      <c r="AD5" s="0" t="n">
        <v>0.0170492434194559</v>
      </c>
      <c r="AE5" s="0" t="n">
        <v>1.29247508304931E-005</v>
      </c>
      <c r="AF5" s="0" t="n">
        <v>1.19182977894344E-005</v>
      </c>
      <c r="AG5" s="0" t="n">
        <v>0.982925913531924</v>
      </c>
    </row>
    <row r="6" customFormat="false" ht="14.25" hidden="false" customHeight="true" outlineLevel="0" collapsed="false">
      <c r="A6" s="18"/>
      <c r="B6" s="20" t="s">
        <v>31</v>
      </c>
      <c r="C6" s="20" t="n">
        <v>2</v>
      </c>
      <c r="D6" s="20" t="n">
        <v>2.7072</v>
      </c>
      <c r="E6" s="20" t="n">
        <v>300</v>
      </c>
      <c r="F6" s="20" t="n">
        <v>2.8274</v>
      </c>
      <c r="G6" s="19" t="n">
        <f aca="false">1000-E6</f>
        <v>700</v>
      </c>
      <c r="H6" s="20" t="n">
        <v>3.4003</v>
      </c>
      <c r="I6" s="22" t="n">
        <f aca="false">F6-D6</f>
        <v>0.1202</v>
      </c>
      <c r="J6" s="22" t="n">
        <f aca="false">H6-F6</f>
        <v>0.5729</v>
      </c>
      <c r="K6" s="22" t="n">
        <f aca="false">J6+I6</f>
        <v>0.6931</v>
      </c>
      <c r="L6" s="23" t="n">
        <v>56.2493</v>
      </c>
      <c r="M6" s="23" t="n">
        <v>0.0402</v>
      </c>
      <c r="N6" s="23" t="n">
        <v>0.037</v>
      </c>
      <c r="O6" s="24" t="n">
        <f aca="false">L6/$F$2</f>
        <v>0.300293837840377</v>
      </c>
      <c r="P6" s="47" t="n">
        <f aca="false">M6/$G$2</f>
        <v>0.000227910665822301</v>
      </c>
      <c r="Q6" s="26" t="n">
        <f aca="false">N6/$H$2</f>
        <v>0.000208052298724864</v>
      </c>
      <c r="R6" s="25" t="n">
        <f aca="false">O6*$K6/$I6</f>
        <v>1.73156122302134</v>
      </c>
      <c r="S6" s="47" t="n">
        <f aca="false">P6*$K6/$I6</f>
        <v>0.00131418371448783</v>
      </c>
      <c r="T6" s="26" t="n">
        <f aca="false">Q6*$K6/$I6</f>
        <v>0.00119967594214811</v>
      </c>
      <c r="U6" s="27" t="n">
        <v>97.836</v>
      </c>
      <c r="V6" s="27" t="n">
        <v>99.8143</v>
      </c>
      <c r="W6" s="51"/>
      <c r="Z6" s="33"/>
      <c r="AA6" s="2"/>
    </row>
    <row r="7" customFormat="false" ht="14.25" hidden="false" customHeight="true" outlineLevel="0" collapsed="false">
      <c r="A7" s="18"/>
      <c r="B7" s="34" t="s">
        <v>32</v>
      </c>
      <c r="C7" s="34" t="n">
        <v>3</v>
      </c>
      <c r="D7" s="34" t="n">
        <v>2.7708</v>
      </c>
      <c r="E7" s="34" t="n">
        <v>100</v>
      </c>
      <c r="F7" s="34" t="n">
        <v>2.892</v>
      </c>
      <c r="G7" s="30" t="n">
        <f aca="false">1000-E7</f>
        <v>900</v>
      </c>
      <c r="H7" s="34" t="n">
        <v>3.4467</v>
      </c>
      <c r="I7" s="35" t="n">
        <f aca="false">F7-D7</f>
        <v>0.1212</v>
      </c>
      <c r="J7" s="35" t="n">
        <f aca="false">H7-F7</f>
        <v>0.5547</v>
      </c>
      <c r="K7" s="35" t="n">
        <f aca="false">J7+I7</f>
        <v>0.6759</v>
      </c>
      <c r="L7" s="1" t="n">
        <v>2545.2794</v>
      </c>
      <c r="M7" s="1" t="n">
        <v>56.8928</v>
      </c>
      <c r="N7" s="36" t="n">
        <v>57.1111</v>
      </c>
      <c r="O7" s="52" t="n">
        <f aca="false">L7/$F$2</f>
        <v>13.5882885547385</v>
      </c>
      <c r="P7" s="53" t="n">
        <f aca="false">M7/$G$2</f>
        <v>0.322549152450125</v>
      </c>
      <c r="Q7" s="54" t="n">
        <f aca="false">N7/$H$2</f>
        <v>0.321137719937989</v>
      </c>
      <c r="R7" s="55" t="n">
        <f aca="false">O7*$K7/$I7</f>
        <v>75.7782527569947</v>
      </c>
      <c r="S7" s="53" t="n">
        <f aca="false">P7*$K7/$I7</f>
        <v>1.7987703972033</v>
      </c>
      <c r="T7" s="54" t="n">
        <f aca="false">Q7*$K7/$I7</f>
        <v>1.79089921539676</v>
      </c>
      <c r="U7" s="2" t="n">
        <v>8.024</v>
      </c>
      <c r="V7" s="2"/>
      <c r="W7" s="51" t="n">
        <f aca="false">AVERAGE(R7:R8)/100</f>
        <v>0.764616340819244</v>
      </c>
      <c r="X7" s="0" t="n">
        <f aca="false">AVERAGE(S7:S8)/100</f>
        <v>0.0181759174849298</v>
      </c>
      <c r="Y7" s="1" t="n">
        <f aca="false">AVERAGE(T7:T8)/100</f>
        <v>0.0181040360586598</v>
      </c>
      <c r="Z7" s="33" t="n">
        <f aca="false">AVERAGE(U7:V8)/100</f>
        <v>0.080074</v>
      </c>
      <c r="AA7" s="2" t="n">
        <f aca="false">SUM(W7:Z7)</f>
        <v>0.880970294362833</v>
      </c>
      <c r="AD7" s="0" t="n">
        <v>0.878254097185052</v>
      </c>
      <c r="AE7" s="0" t="n">
        <v>0.0208772336517599</v>
      </c>
      <c r="AF7" s="0" t="n">
        <v>0.0207946691631884</v>
      </c>
      <c r="AG7" s="0" t="n">
        <v>0.080074</v>
      </c>
    </row>
    <row r="8" customFormat="false" ht="14.25" hidden="false" customHeight="true" outlineLevel="0" collapsed="false">
      <c r="A8" s="18"/>
      <c r="B8" s="34" t="s">
        <v>32</v>
      </c>
      <c r="C8" s="34" t="n">
        <v>4</v>
      </c>
      <c r="D8" s="34" t="n">
        <v>2.6999</v>
      </c>
      <c r="E8" s="34" t="n">
        <v>100</v>
      </c>
      <c r="F8" s="34" t="n">
        <v>2.8161</v>
      </c>
      <c r="G8" s="30" t="n">
        <f aca="false">1000-E8</f>
        <v>900</v>
      </c>
      <c r="H8" s="34" t="n">
        <v>3.3773</v>
      </c>
      <c r="I8" s="35" t="n">
        <f aca="false">F8-D8</f>
        <v>0.1162</v>
      </c>
      <c r="J8" s="35" t="n">
        <f aca="false">H8-F8</f>
        <v>0.5612</v>
      </c>
      <c r="K8" s="35" t="n">
        <f aca="false">J8+I8</f>
        <v>0.6774</v>
      </c>
      <c r="L8" s="36" t="n">
        <v>2478.7887</v>
      </c>
      <c r="M8" s="36" t="n">
        <v>55.5639</v>
      </c>
      <c r="N8" s="36" t="n">
        <v>55.8238</v>
      </c>
      <c r="O8" s="52" t="n">
        <f aca="false">L8/$F$2</f>
        <v>13.2333197376387</v>
      </c>
      <c r="P8" s="53" t="n">
        <f aca="false">M8/$G$2</f>
        <v>0.315015060813029</v>
      </c>
      <c r="Q8" s="54" t="n">
        <f aca="false">N8/$H$2</f>
        <v>0.313899186852894</v>
      </c>
      <c r="R8" s="55" t="n">
        <f aca="false">O8*$K8/$I8</f>
        <v>77.145015406854</v>
      </c>
      <c r="S8" s="53" t="n">
        <f aca="false">P8*$K8/$I8</f>
        <v>1.83641309978266</v>
      </c>
      <c r="T8" s="54" t="n">
        <f aca="false">Q8*$K8/$I8</f>
        <v>1.8299079963352</v>
      </c>
      <c r="U8" s="2" t="n">
        <v>7.9908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49</v>
      </c>
      <c r="B9" s="19" t="s">
        <v>31</v>
      </c>
      <c r="C9" s="20" t="n">
        <v>5</v>
      </c>
      <c r="D9" s="19" t="n">
        <v>2.7245</v>
      </c>
      <c r="E9" s="19" t="n">
        <v>300</v>
      </c>
      <c r="F9" s="20" t="n">
        <v>2.8419</v>
      </c>
      <c r="G9" s="19" t="n">
        <f aca="false">1000-E9</f>
        <v>700</v>
      </c>
      <c r="H9" s="20" t="n">
        <v>3.4066</v>
      </c>
      <c r="I9" s="22" t="n">
        <f aca="false">F9-D9</f>
        <v>0.1174</v>
      </c>
      <c r="J9" s="22" t="n">
        <f aca="false">H9-F9</f>
        <v>0.5647</v>
      </c>
      <c r="K9" s="22" t="n">
        <f aca="false">J9+I9</f>
        <v>0.6821</v>
      </c>
      <c r="L9" s="23" t="n">
        <v>108.408</v>
      </c>
      <c r="M9" s="23" t="n">
        <v>1377.7625</v>
      </c>
      <c r="N9" s="23" t="n">
        <v>1105.9791</v>
      </c>
      <c r="O9" s="24" t="n">
        <f aca="false">L9/$F$2</f>
        <v>0.578749502173354</v>
      </c>
      <c r="P9" s="47" t="n">
        <f aca="false">M9/$G$2</f>
        <v>7.8111136497512</v>
      </c>
      <c r="Q9" s="26" t="n">
        <f aca="false">N9/$H$2</f>
        <v>6.21895929990964</v>
      </c>
      <c r="R9" s="25" t="n">
        <f aca="false">O9*$K9/$I9</f>
        <v>3.36256418596631</v>
      </c>
      <c r="S9" s="47" t="n">
        <f aca="false">P9*$K9/$I9</f>
        <v>45.3829695101814</v>
      </c>
      <c r="T9" s="26" t="n">
        <f aca="false">Q9*$K9/$I9</f>
        <v>36.1324713668515</v>
      </c>
      <c r="U9" s="27" t="n">
        <v>3.2518</v>
      </c>
      <c r="V9" s="27"/>
      <c r="W9" s="56" t="n">
        <f aca="false">AVERAGE(R9:R10)/100</f>
        <v>0.0323180172109097</v>
      </c>
      <c r="X9" s="57" t="n">
        <f aca="false">AVERAGE(S9:S10)/100</f>
        <v>0.436928799544573</v>
      </c>
      <c r="Y9" s="57" t="n">
        <f aca="false">AVERAGE(T9:T10)/100</f>
        <v>0.35753378736933</v>
      </c>
      <c r="Z9" s="29" t="n">
        <f aca="false">AVERAGE(U9:V10)/100</f>
        <v>0.0324405</v>
      </c>
      <c r="AA9" s="2" t="n">
        <f aca="false">SUM(W9:Z9)</f>
        <v>0.859221104124813</v>
      </c>
      <c r="AD9" s="0" t="n">
        <v>0.037820921799054</v>
      </c>
      <c r="AE9" s="0" t="n">
        <v>0.511326231788485</v>
      </c>
      <c r="AF9" s="0" t="n">
        <v>0.418412346412462</v>
      </c>
      <c r="AG9" s="0" t="n">
        <v>0.0324405</v>
      </c>
    </row>
    <row r="10" customFormat="false" ht="14.25" hidden="false" customHeight="true" outlineLevel="0" collapsed="false">
      <c r="A10" s="18"/>
      <c r="B10" s="20" t="s">
        <v>31</v>
      </c>
      <c r="C10" s="20" t="n">
        <v>6</v>
      </c>
      <c r="D10" s="20" t="n">
        <v>2.7725</v>
      </c>
      <c r="E10" s="20" t="n">
        <v>300</v>
      </c>
      <c r="F10" s="20" t="n">
        <v>2.8896</v>
      </c>
      <c r="G10" s="19" t="n">
        <f aca="false">1000-E10</f>
        <v>700</v>
      </c>
      <c r="H10" s="20" t="n">
        <v>3.457</v>
      </c>
      <c r="I10" s="22" t="n">
        <f aca="false">F10-D10</f>
        <v>0.1171</v>
      </c>
      <c r="J10" s="22" t="n">
        <f aca="false">H10-F10</f>
        <v>0.5674</v>
      </c>
      <c r="K10" s="22" t="n">
        <f aca="false">J10+I10</f>
        <v>0.6845</v>
      </c>
      <c r="L10" s="23" t="n">
        <v>99.3714</v>
      </c>
      <c r="M10" s="23" t="n">
        <v>1267.4271</v>
      </c>
      <c r="N10" s="23" t="n">
        <v>1076.2182</v>
      </c>
      <c r="O10" s="24" t="n">
        <f aca="false">L10/$F$2</f>
        <v>0.530506496571002</v>
      </c>
      <c r="P10" s="47" t="n">
        <f aca="false">M10/$G$2</f>
        <v>7.18557597617483</v>
      </c>
      <c r="Q10" s="26" t="n">
        <f aca="false">N10/$H$2</f>
        <v>6.05161271458205</v>
      </c>
      <c r="R10" s="25" t="n">
        <f aca="false">O10*$K10/$I10</f>
        <v>3.10103925621563</v>
      </c>
      <c r="S10" s="47" t="n">
        <f aca="false">P10*$K10/$I10</f>
        <v>42.0027903987333</v>
      </c>
      <c r="T10" s="26" t="n">
        <f aca="false">Q10*$K10/$I10</f>
        <v>35.3742861070146</v>
      </c>
      <c r="U10" s="27" t="n">
        <v>3.2363</v>
      </c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32</v>
      </c>
      <c r="C11" s="34" t="n">
        <v>7</v>
      </c>
      <c r="D11" s="34" t="n">
        <v>2.7079</v>
      </c>
      <c r="E11" s="34" t="n">
        <v>100</v>
      </c>
      <c r="F11" s="34" t="n">
        <v>2.8283</v>
      </c>
      <c r="G11" s="30" t="n">
        <f aca="false">1000-E11</f>
        <v>900</v>
      </c>
      <c r="H11" s="34" t="n">
        <v>3.3915</v>
      </c>
      <c r="I11" s="35" t="n">
        <f aca="false">F11-D11</f>
        <v>0.1204</v>
      </c>
      <c r="J11" s="35" t="n">
        <f aca="false">H11-F11</f>
        <v>0.5632</v>
      </c>
      <c r="K11" s="35" t="n">
        <f aca="false">J11+I11</f>
        <v>0.6836</v>
      </c>
      <c r="L11" s="40" t="n">
        <v>1.0187</v>
      </c>
      <c r="M11" s="40" t="n">
        <v>1.3953</v>
      </c>
      <c r="N11" s="36" t="n">
        <v>1.2605</v>
      </c>
      <c r="O11" s="52" t="n">
        <f aca="false">L11/$F$2</f>
        <v>0.00543845581381444</v>
      </c>
      <c r="P11" s="53" t="n">
        <f aca="false">M11/$G$2</f>
        <v>0.00791054109507106</v>
      </c>
      <c r="Q11" s="54" t="n">
        <f aca="false">N11/$H$2</f>
        <v>0.00708783574439707</v>
      </c>
      <c r="R11" s="55" t="n">
        <f aca="false">O11*$K11/$I11</f>
        <v>0.0308781428099962</v>
      </c>
      <c r="S11" s="53" t="n">
        <f aca="false">P11*$K11/$I11</f>
        <v>0.0449140024301543</v>
      </c>
      <c r="T11" s="54" t="n">
        <f aca="false">Q11*$K11/$I11</f>
        <v>0.040242894641776</v>
      </c>
      <c r="U11" s="2" t="n">
        <v>85.2153</v>
      </c>
      <c r="V11" s="2"/>
      <c r="W11" s="51" t="n">
        <f aca="false">AVERAGE(R11:R12)/100</f>
        <v>0.000306978701397022</v>
      </c>
      <c r="X11" s="0" t="n">
        <f aca="false">AVERAGE(S11:S12)/100</f>
        <v>0.000447150955437962</v>
      </c>
      <c r="Y11" s="1" t="n">
        <f aca="false">AVERAGE(T11:T12)/100</f>
        <v>0.000401246408519344</v>
      </c>
      <c r="Z11" s="33" t="n">
        <f aca="false">AVERAGE(U11:V12)/100</f>
        <v>0.844857</v>
      </c>
      <c r="AA11" s="2" t="n">
        <f aca="false">SUM(W11:Z11)</f>
        <v>0.846012376065354</v>
      </c>
      <c r="AD11" s="0" t="n">
        <v>0.000306978701397022</v>
      </c>
      <c r="AE11" s="0" t="n">
        <v>0.000447150955437962</v>
      </c>
      <c r="AF11" s="0" t="n">
        <v>0.000401246408519344</v>
      </c>
      <c r="AG11" s="0" t="n">
        <v>0.998844623934646</v>
      </c>
    </row>
    <row r="12" customFormat="false" ht="14.25" hidden="false" customHeight="true" outlineLevel="0" collapsed="false">
      <c r="A12" s="18"/>
      <c r="B12" s="34" t="s">
        <v>32</v>
      </c>
      <c r="C12" s="34" t="n">
        <v>8</v>
      </c>
      <c r="D12" s="34" t="n">
        <v>2.7899</v>
      </c>
      <c r="E12" s="34" t="n">
        <v>100</v>
      </c>
      <c r="F12" s="34" t="n">
        <v>2.911</v>
      </c>
      <c r="G12" s="30" t="n">
        <f aca="false">1000-E12</f>
        <v>900</v>
      </c>
      <c r="H12" s="34" t="n">
        <v>3.473</v>
      </c>
      <c r="I12" s="35" t="n">
        <f aca="false">F12-D12</f>
        <v>0.1211</v>
      </c>
      <c r="J12" s="35" t="n">
        <f aca="false">H12-F12</f>
        <v>0.562</v>
      </c>
      <c r="K12" s="35" t="n">
        <f aca="false">J12+I12</f>
        <v>0.6831</v>
      </c>
      <c r="L12" s="36" t="n">
        <v>1.0134</v>
      </c>
      <c r="M12" s="36" t="n">
        <v>1.392</v>
      </c>
      <c r="N12" s="36" t="n">
        <v>1.2613</v>
      </c>
      <c r="O12" s="52" t="n">
        <f aca="false">L12/$F$2</f>
        <v>0.00541016110898159</v>
      </c>
      <c r="P12" s="53" t="n">
        <f aca="false">M12/$G$2</f>
        <v>0.00789183201056326</v>
      </c>
      <c r="Q12" s="54" t="n">
        <f aca="false">N12/$H$2</f>
        <v>0.00709233417247761</v>
      </c>
      <c r="R12" s="55" t="n">
        <f aca="false">O12*$K12/$I12</f>
        <v>0.0305175974694081</v>
      </c>
      <c r="S12" s="53" t="n">
        <f aca="false">P12*$K12/$I12</f>
        <v>0.0445161886574381</v>
      </c>
      <c r="T12" s="54" t="n">
        <f aca="false">Q12*$K12/$I12</f>
        <v>0.0400063870620929</v>
      </c>
      <c r="U12" s="2" t="n">
        <v>83.7561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50</v>
      </c>
      <c r="B13" s="19" t="s">
        <v>31</v>
      </c>
      <c r="C13" s="20" t="n">
        <v>9</v>
      </c>
      <c r="D13" s="19" t="n">
        <v>2.699</v>
      </c>
      <c r="E13" s="19" t="n">
        <v>300</v>
      </c>
      <c r="F13" s="20" t="n">
        <v>2.8788</v>
      </c>
      <c r="G13" s="19" t="n">
        <f aca="false">1000-E13</f>
        <v>700</v>
      </c>
      <c r="H13" s="20" t="n">
        <v>3.4598</v>
      </c>
      <c r="I13" s="22" t="n">
        <f aca="false">F13-D13</f>
        <v>0.1798</v>
      </c>
      <c r="J13" s="22" t="n">
        <f aca="false">H13-F13</f>
        <v>0.581</v>
      </c>
      <c r="K13" s="22" t="n">
        <f aca="false">J13+I13</f>
        <v>0.7608</v>
      </c>
      <c r="L13" s="23" t="n">
        <v>1730.8582</v>
      </c>
      <c r="M13" s="23" t="n">
        <v>970.019</v>
      </c>
      <c r="N13" s="23" t="n">
        <v>930.6113</v>
      </c>
      <c r="O13" s="24" t="n">
        <f aca="false">L13/$F$2</f>
        <v>9.24040035405751</v>
      </c>
      <c r="P13" s="47" t="n">
        <f aca="false">M13/$G$2</f>
        <v>5.49944468035529</v>
      </c>
      <c r="Q13" s="26" t="n">
        <f aca="false">N13/$H$2</f>
        <v>5.23286000498201</v>
      </c>
      <c r="R13" s="25" t="n">
        <f aca="false">O13*$K13/$I13</f>
        <v>39.099536092141</v>
      </c>
      <c r="S13" s="47" t="n">
        <f aca="false">P13*$K13/$I13</f>
        <v>23.2701752659305</v>
      </c>
      <c r="T13" s="26" t="n">
        <f aca="false">Q13*$K13/$I13</f>
        <v>22.1421573514478</v>
      </c>
      <c r="U13" s="27" t="n">
        <v>4.6408</v>
      </c>
      <c r="V13" s="27"/>
      <c r="W13" s="56" t="n">
        <f aca="false">AVERAGE(R13:R14)/100</f>
        <v>0.426379960989509</v>
      </c>
      <c r="X13" s="57" t="n">
        <f aca="false">AVERAGE(S13:S14)/100</f>
        <v>0.252136997801178</v>
      </c>
      <c r="Y13" s="57" t="n">
        <f aca="false">AVERAGE(T13:T14)/100</f>
        <v>0.2266328032933</v>
      </c>
      <c r="Z13" s="29" t="n">
        <f aca="false">AVERAGE(U13:V14)/100</f>
        <v>0.0429306666666667</v>
      </c>
      <c r="AA13" s="2" t="n">
        <f aca="false">SUM(W13:Z13)</f>
        <v>0.948080428750653</v>
      </c>
      <c r="AD13" s="0" t="n">
        <v>0.450837200764859</v>
      </c>
      <c r="AE13" s="0" t="n">
        <v>0.266599626385198</v>
      </c>
      <c r="AF13" s="0" t="n">
        <v>0.239632506183277</v>
      </c>
      <c r="AG13" s="0" t="n">
        <v>0.0429306666666667</v>
      </c>
    </row>
    <row r="14" customFormat="false" ht="14.25" hidden="false" customHeight="true" outlineLevel="0" collapsed="false">
      <c r="A14" s="18"/>
      <c r="B14" s="19" t="s">
        <v>31</v>
      </c>
      <c r="C14" s="20" t="n">
        <v>10</v>
      </c>
      <c r="D14" s="20" t="n">
        <v>2.7274</v>
      </c>
      <c r="E14" s="20" t="n">
        <v>300</v>
      </c>
      <c r="F14" s="20" t="n">
        <v>2.9304</v>
      </c>
      <c r="G14" s="19" t="n">
        <f aca="false">1000-E14</f>
        <v>700</v>
      </c>
      <c r="H14" s="20" t="n">
        <v>3.4872</v>
      </c>
      <c r="I14" s="22" t="n">
        <f aca="false">F14-D14</f>
        <v>0.203</v>
      </c>
      <c r="J14" s="22" t="n">
        <f aca="false">H14-F14</f>
        <v>0.5568</v>
      </c>
      <c r="K14" s="22" t="n">
        <f aca="false">J14+I14</f>
        <v>0.7598</v>
      </c>
      <c r="L14" s="23" t="n">
        <v>2310.9367</v>
      </c>
      <c r="M14" s="23" t="n">
        <v>1279.8042</v>
      </c>
      <c r="N14" s="23" t="n">
        <v>1101.5948</v>
      </c>
      <c r="O14" s="24" t="n">
        <f aca="false">L14/$F$2</f>
        <v>12.337221096959</v>
      </c>
      <c r="P14" s="47" t="n">
        <f aca="false">M14/$G$2</f>
        <v>7.25574694886014</v>
      </c>
      <c r="Q14" s="26" t="n">
        <f aca="false">N14/$H$2</f>
        <v>6.19430622711776</v>
      </c>
      <c r="R14" s="25" t="n">
        <f aca="false">O14*$K14/$I14</f>
        <v>46.1764561057608</v>
      </c>
      <c r="S14" s="47" t="n">
        <f aca="false">P14*$K14/$I14</f>
        <v>27.1572242943051</v>
      </c>
      <c r="T14" s="26" t="n">
        <f aca="false">Q14*$K14/$I14</f>
        <v>23.1844033072122</v>
      </c>
      <c r="U14" s="27" t="n">
        <v>4.1703</v>
      </c>
      <c r="V14" s="27" t="n">
        <v>4.0681</v>
      </c>
      <c r="W14" s="51"/>
      <c r="Z14" s="33"/>
      <c r="AA14" s="2"/>
    </row>
    <row r="15" customFormat="false" ht="14.25" hidden="false" customHeight="true" outlineLevel="0" collapsed="false">
      <c r="A15" s="18"/>
      <c r="B15" s="34" t="s">
        <v>32</v>
      </c>
      <c r="C15" s="34" t="n">
        <v>11</v>
      </c>
      <c r="D15" s="34" t="n">
        <v>2.6932</v>
      </c>
      <c r="E15" s="34" t="n">
        <v>100</v>
      </c>
      <c r="F15" s="34" t="n">
        <v>2.8994</v>
      </c>
      <c r="G15" s="30" t="n">
        <f aca="false">1000-E15</f>
        <v>900</v>
      </c>
      <c r="H15" s="34" t="n">
        <v>3.4787</v>
      </c>
      <c r="I15" s="35" t="n">
        <f aca="false">F15-D15</f>
        <v>0.2062</v>
      </c>
      <c r="J15" s="35" t="n">
        <f aca="false">H15-F15</f>
        <v>0.5793</v>
      </c>
      <c r="K15" s="35" t="n">
        <f aca="false">J15+I15</f>
        <v>0.7855</v>
      </c>
      <c r="L15" s="36" t="n">
        <v>37.8412</v>
      </c>
      <c r="M15" s="36" t="n">
        <v>1.0273</v>
      </c>
      <c r="N15" s="41" t="n">
        <v>0.5447</v>
      </c>
      <c r="O15" s="52" t="n">
        <f aca="false">L15/$F$2</f>
        <v>0.202019921607652</v>
      </c>
      <c r="P15" s="53" t="n">
        <f aca="false">M15/$G$2</f>
        <v>0.00582419470147388</v>
      </c>
      <c r="Q15" s="54" t="n">
        <f aca="false">N15/$H$2</f>
        <v>0.00306286721933604</v>
      </c>
      <c r="R15" s="55" t="n">
        <f aca="false">O15*$K15/$I15</f>
        <v>0.769576374504415</v>
      </c>
      <c r="S15" s="53" t="n">
        <f aca="false">P15*$K15/$I15</f>
        <v>0.0221867358778261</v>
      </c>
      <c r="T15" s="54" t="n">
        <f aca="false">Q15*$K15/$I15</f>
        <v>0.0116677119339887</v>
      </c>
      <c r="U15" s="2" t="n">
        <v>99.3191</v>
      </c>
      <c r="V15" s="2"/>
      <c r="W15" s="51" t="n">
        <f aca="false">AVERAGE(R15:R16)/100</f>
        <v>0.00384788187252208</v>
      </c>
      <c r="X15" s="0" t="n">
        <f aca="false">AVERAGE(S15:S16)/100</f>
        <v>0.00011093367938913</v>
      </c>
      <c r="Y15" s="1" t="n">
        <f aca="false">AVERAGE(T15:T16)/100</f>
        <v>5.83385596699433E-005</v>
      </c>
      <c r="Z15" s="33" t="n">
        <f aca="false">AVERAGE(U15:V16)/100</f>
        <v>0.9965775</v>
      </c>
      <c r="AA15" s="2" t="n">
        <f aca="false">SUM(W15:Z15)</f>
        <v>1.00059465411158</v>
      </c>
      <c r="AD15" s="0" t="n">
        <v>0.00769576374504416</v>
      </c>
      <c r="AE15" s="0" t="n">
        <v>0.000221867358778261</v>
      </c>
      <c r="AF15" s="0" t="n">
        <v>0.000116677119339887</v>
      </c>
      <c r="AG15" s="0" t="n">
        <v>0.991965691776838</v>
      </c>
    </row>
    <row r="16" customFormat="false" ht="14.25" hidden="false" customHeight="true" outlineLevel="0" collapsed="false">
      <c r="A16" s="18"/>
      <c r="B16" s="34" t="s">
        <v>32</v>
      </c>
      <c r="C16" s="34" t="n">
        <v>12</v>
      </c>
      <c r="D16" s="34" t="n">
        <v>2.7189</v>
      </c>
      <c r="E16" s="34" t="n">
        <v>100</v>
      </c>
      <c r="F16" s="34" t="n">
        <v>2.9127</v>
      </c>
      <c r="G16" s="30" t="n">
        <f aca="false">1000-E16</f>
        <v>900</v>
      </c>
      <c r="H16" s="34" t="n">
        <v>3.4667</v>
      </c>
      <c r="I16" s="35" t="n">
        <f aca="false">F16-D16</f>
        <v>0.1938</v>
      </c>
      <c r="J16" s="35" t="n">
        <f aca="false">H16-F16</f>
        <v>0.554</v>
      </c>
      <c r="K16" s="35" t="n">
        <f aca="false">J16+I16</f>
        <v>0.7478</v>
      </c>
      <c r="L16" s="36"/>
      <c r="M16" s="36"/>
      <c r="N16" s="36"/>
      <c r="O16" s="52" t="n">
        <f aca="false">L16/$F$2</f>
        <v>0</v>
      </c>
      <c r="P16" s="53" t="n">
        <f aca="false">M16/$G$2</f>
        <v>0</v>
      </c>
      <c r="Q16" s="54" t="n">
        <f aca="false">N16/$H$2</f>
        <v>0</v>
      </c>
      <c r="R16" s="55" t="n">
        <f aca="false">O16*$K16/$I16</f>
        <v>0</v>
      </c>
      <c r="S16" s="53" t="n">
        <f aca="false">P16*$K16/$I16</f>
        <v>0</v>
      </c>
      <c r="T16" s="54" t="n">
        <f aca="false">Q16*$K16/$I16</f>
        <v>0</v>
      </c>
      <c r="U16" s="2" t="n">
        <v>99.9964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51</v>
      </c>
      <c r="B17" s="19" t="s">
        <v>31</v>
      </c>
      <c r="C17" s="20" t="n">
        <v>13</v>
      </c>
      <c r="D17" s="19" t="n">
        <v>2.7179</v>
      </c>
      <c r="E17" s="19" t="n">
        <v>300</v>
      </c>
      <c r="F17" s="20" t="n">
        <v>2.9029</v>
      </c>
      <c r="G17" s="19" t="n">
        <f aca="false">1000-E17</f>
        <v>700</v>
      </c>
      <c r="H17" s="20" t="n">
        <v>3.453</v>
      </c>
      <c r="I17" s="22" t="n">
        <f aca="false">F17-D17</f>
        <v>0.185</v>
      </c>
      <c r="J17" s="22" t="n">
        <f aca="false">H17-F17</f>
        <v>0.5501</v>
      </c>
      <c r="K17" s="22" t="n">
        <f aca="false">J17+I17</f>
        <v>0.7351</v>
      </c>
      <c r="L17" s="23"/>
      <c r="M17" s="23"/>
      <c r="N17" s="23"/>
      <c r="O17" s="24" t="n">
        <f aca="false">L17/$F$2</f>
        <v>0</v>
      </c>
      <c r="P17" s="47" t="n">
        <f aca="false">M17/$G$2</f>
        <v>0</v>
      </c>
      <c r="Q17" s="26" t="n">
        <f aca="false">N17/$H$2</f>
        <v>0</v>
      </c>
      <c r="R17" s="25" t="n">
        <f aca="false">O17*$K17/$I17</f>
        <v>0</v>
      </c>
      <c r="S17" s="47" t="n">
        <f aca="false">P17*$K17/$I17</f>
        <v>0</v>
      </c>
      <c r="T17" s="26" t="n">
        <f aca="false">Q17*$K17/$I17</f>
        <v>0</v>
      </c>
      <c r="U17" s="27" t="n">
        <v>3.5476</v>
      </c>
      <c r="V17" s="27"/>
      <c r="W17" s="56" t="n">
        <f aca="false">AVERAGE(R17:R18)/100</f>
        <v>0</v>
      </c>
      <c r="X17" s="57" t="n">
        <f aca="false">AVERAGE(S17:S18)/100</f>
        <v>0</v>
      </c>
      <c r="Y17" s="57" t="n">
        <f aca="false">AVERAGE(T17:T18)/100</f>
        <v>0</v>
      </c>
      <c r="Z17" s="29" t="n">
        <f aca="false">AVERAGE(U17:V18)/100</f>
        <v>0.0357665</v>
      </c>
      <c r="AA17" s="2" t="n">
        <f aca="false">SUM(W17:Z17)</f>
        <v>0.0357665</v>
      </c>
    </row>
    <row r="18" customFormat="false" ht="14.25" hidden="false" customHeight="true" outlineLevel="0" collapsed="false">
      <c r="A18" s="18"/>
      <c r="B18" s="20" t="s">
        <v>31</v>
      </c>
      <c r="C18" s="20" t="n">
        <v>14</v>
      </c>
      <c r="D18" s="20" t="n">
        <v>2.754</v>
      </c>
      <c r="E18" s="20" t="n">
        <v>300</v>
      </c>
      <c r="F18" s="20" t="n">
        <v>2.9499</v>
      </c>
      <c r="G18" s="19" t="n">
        <f aca="false">1000-E18</f>
        <v>700</v>
      </c>
      <c r="H18" s="20" t="n">
        <v>3.516</v>
      </c>
      <c r="I18" s="22" t="n">
        <f aca="false">F18-D18</f>
        <v>0.1959</v>
      </c>
      <c r="J18" s="22" t="n">
        <f aca="false">H18-F18</f>
        <v>0.5661</v>
      </c>
      <c r="K18" s="22" t="n">
        <f aca="false">J18+I18</f>
        <v>0.762</v>
      </c>
      <c r="L18" s="23"/>
      <c r="M18" s="23"/>
      <c r="N18" s="23"/>
      <c r="O18" s="24" t="n">
        <f aca="false">L18/$F$2</f>
        <v>0</v>
      </c>
      <c r="P18" s="47" t="n">
        <f aca="false">M18/$G$2</f>
        <v>0</v>
      </c>
      <c r="Q18" s="26" t="n">
        <f aca="false">N18/$H$2</f>
        <v>0</v>
      </c>
      <c r="R18" s="25" t="n">
        <f aca="false">O18*$K18/$I18</f>
        <v>0</v>
      </c>
      <c r="S18" s="47" t="n">
        <f aca="false">P18*$K18/$I18</f>
        <v>0</v>
      </c>
      <c r="T18" s="26" t="n">
        <f aca="false">Q18*$K18/$I18</f>
        <v>0</v>
      </c>
      <c r="U18" s="27" t="n">
        <v>3.6057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32</v>
      </c>
      <c r="C19" s="34" t="n">
        <v>15</v>
      </c>
      <c r="D19" s="34" t="n">
        <v>2.8124</v>
      </c>
      <c r="E19" s="34" t="n">
        <v>100</v>
      </c>
      <c r="F19" s="34" t="n">
        <v>3.0131</v>
      </c>
      <c r="G19" s="30" t="n">
        <f aca="false">1000-E19</f>
        <v>900</v>
      </c>
      <c r="H19" s="34" t="n">
        <v>3.5794</v>
      </c>
      <c r="I19" s="35" t="n">
        <f aca="false">F19-D19</f>
        <v>0.2007</v>
      </c>
      <c r="J19" s="35" t="n">
        <f aca="false">H19-F19</f>
        <v>0.5663</v>
      </c>
      <c r="K19" s="35" t="n">
        <f aca="false">J19+I19</f>
        <v>0.767</v>
      </c>
      <c r="L19" s="36"/>
      <c r="M19" s="36"/>
      <c r="N19" s="36"/>
      <c r="O19" s="52" t="n">
        <f aca="false">L19/$F$2</f>
        <v>0</v>
      </c>
      <c r="P19" s="53" t="n">
        <f aca="false">M19/$G$2</f>
        <v>0</v>
      </c>
      <c r="Q19" s="54" t="n">
        <f aca="false">N19/$H$2</f>
        <v>0</v>
      </c>
      <c r="R19" s="55" t="n">
        <f aca="false">O19*$K19/$I19</f>
        <v>0</v>
      </c>
      <c r="S19" s="53" t="n">
        <f aca="false">P19*$K19/$I19</f>
        <v>0</v>
      </c>
      <c r="T19" s="54" t="n">
        <f aca="false">Q19*$K19/$I19</f>
        <v>0</v>
      </c>
      <c r="U19" s="2" t="n">
        <v>101.1918</v>
      </c>
      <c r="V19" s="2" t="n">
        <v>94.5604</v>
      </c>
      <c r="W19" s="51" t="n">
        <f aca="false">AVERAGE(R19:R20)/100</f>
        <v>0</v>
      </c>
      <c r="X19" s="0" t="n">
        <f aca="false">AVERAGE(S19:S20)/100</f>
        <v>0</v>
      </c>
      <c r="Y19" s="1" t="n">
        <f aca="false">AVERAGE(T19:T20)/100</f>
        <v>0</v>
      </c>
      <c r="Z19" s="33" t="n">
        <f aca="false">AVERAGE(U19:V20)/100</f>
        <v>0.984174</v>
      </c>
      <c r="AA19" s="2" t="n">
        <f aca="false">SUM(W19:Z19)</f>
        <v>0.984174</v>
      </c>
    </row>
    <row r="20" customFormat="false" ht="14.25" hidden="false" customHeight="true" outlineLevel="0" collapsed="false">
      <c r="A20" s="18"/>
      <c r="B20" s="34" t="s">
        <v>32</v>
      </c>
      <c r="C20" s="34" t="n">
        <v>16</v>
      </c>
      <c r="D20" s="34" t="n">
        <v>2.7546</v>
      </c>
      <c r="E20" s="34" t="n">
        <v>100</v>
      </c>
      <c r="F20" s="34" t="n">
        <v>2.9584</v>
      </c>
      <c r="G20" s="30" t="n">
        <f aca="false">1000-E20</f>
        <v>900</v>
      </c>
      <c r="H20" s="34" t="n">
        <v>3.5212</v>
      </c>
      <c r="I20" s="35" t="n">
        <f aca="false">F20-D20</f>
        <v>0.2038</v>
      </c>
      <c r="J20" s="35" t="n">
        <f aca="false">H20-F20</f>
        <v>0.5628</v>
      </c>
      <c r="K20" s="35" t="n">
        <f aca="false">J20+I20</f>
        <v>0.7666</v>
      </c>
      <c r="L20" s="36"/>
      <c r="M20" s="36"/>
      <c r="N20" s="36"/>
      <c r="O20" s="52" t="n">
        <f aca="false">L20/$F$2</f>
        <v>0</v>
      </c>
      <c r="P20" s="53" t="n">
        <f aca="false">M20/$G$2</f>
        <v>0</v>
      </c>
      <c r="Q20" s="54" t="n">
        <f aca="false">N20/$H$2</f>
        <v>0</v>
      </c>
      <c r="R20" s="55" t="n">
        <f aca="false">O20*$K20/$I20</f>
        <v>0</v>
      </c>
      <c r="S20" s="53" t="n">
        <f aca="false">P20*$K20/$I20</f>
        <v>0</v>
      </c>
      <c r="T20" s="54" t="n">
        <f aca="false">Q20*$K20/$I20</f>
        <v>0</v>
      </c>
      <c r="U20" s="2" t="n">
        <v>99.5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52</v>
      </c>
      <c r="B21" s="19" t="s">
        <v>31</v>
      </c>
      <c r="C21" s="20" t="n">
        <v>17</v>
      </c>
      <c r="D21" s="19" t="n">
        <v>2.7277</v>
      </c>
      <c r="E21" s="19" t="n">
        <v>300</v>
      </c>
      <c r="F21" s="20" t="n">
        <v>2.9309</v>
      </c>
      <c r="G21" s="19" t="n">
        <f aca="false">1000-E21</f>
        <v>700</v>
      </c>
      <c r="H21" s="20" t="n">
        <v>3.4876</v>
      </c>
      <c r="I21" s="22" t="n">
        <f aca="false">F21-D21</f>
        <v>0.2032</v>
      </c>
      <c r="J21" s="22" t="n">
        <f aca="false">H21-F21</f>
        <v>0.5567</v>
      </c>
      <c r="K21" s="22" t="n">
        <f aca="false">J21+I21</f>
        <v>0.7599</v>
      </c>
      <c r="L21" s="23"/>
      <c r="M21" s="23"/>
      <c r="N21" s="23"/>
      <c r="O21" s="24" t="n">
        <f aca="false">L21/$F$2</f>
        <v>0</v>
      </c>
      <c r="P21" s="47" t="n">
        <f aca="false">M21/$G$2</f>
        <v>0</v>
      </c>
      <c r="Q21" s="26" t="n">
        <f aca="false">N21/$H$2</f>
        <v>0</v>
      </c>
      <c r="R21" s="25" t="n">
        <f aca="false">O21*$K21/$I21</f>
        <v>0</v>
      </c>
      <c r="S21" s="47" t="n">
        <f aca="false">P21*$K21/$I21</f>
        <v>0</v>
      </c>
      <c r="T21" s="26" t="n">
        <f aca="false">Q21*$K21/$I21</f>
        <v>0</v>
      </c>
      <c r="U21" s="27"/>
      <c r="V21" s="27"/>
      <c r="W21" s="56" t="n">
        <f aca="false">AVERAGE(R21:R22)/100</f>
        <v>0</v>
      </c>
      <c r="X21" s="57" t="n">
        <f aca="false">AVERAGE(S21:S22)/100</f>
        <v>0</v>
      </c>
      <c r="Y21" s="57" t="n">
        <f aca="false">AVERAGE(T21:T22)/100</f>
        <v>0</v>
      </c>
      <c r="Z21" s="29" t="n">
        <f aca="false">AVERAGE(U21:V22)/100</f>
        <v>0.954764</v>
      </c>
      <c r="AA21" s="2" t="n">
        <f aca="false">SUM(W21:Z21)</f>
        <v>0.954764</v>
      </c>
    </row>
    <row r="22" customFormat="false" ht="14.25" hidden="false" customHeight="true" outlineLevel="0" collapsed="false">
      <c r="A22" s="18"/>
      <c r="B22" s="20" t="s">
        <v>31</v>
      </c>
      <c r="C22" s="20" t="n">
        <v>18</v>
      </c>
      <c r="D22" s="20" t="n">
        <v>2.7236</v>
      </c>
      <c r="E22" s="20" t="n">
        <v>300</v>
      </c>
      <c r="F22" s="20" t="n">
        <v>2.9478</v>
      </c>
      <c r="G22" s="19" t="n">
        <f aca="false">1000-E22</f>
        <v>700</v>
      </c>
      <c r="H22" s="20" t="n">
        <v>3.5161</v>
      </c>
      <c r="I22" s="22" t="n">
        <f aca="false">F22-D22</f>
        <v>0.2242</v>
      </c>
      <c r="J22" s="22" t="n">
        <f aca="false">H22-F22</f>
        <v>0.5683</v>
      </c>
      <c r="K22" s="22" t="n">
        <f aca="false">J22+I22</f>
        <v>0.7925</v>
      </c>
      <c r="L22" s="23"/>
      <c r="M22" s="23"/>
      <c r="N22" s="23"/>
      <c r="O22" s="24" t="n">
        <f aca="false">L22/$F$2</f>
        <v>0</v>
      </c>
      <c r="P22" s="47" t="n">
        <f aca="false">M22/$G$2</f>
        <v>0</v>
      </c>
      <c r="Q22" s="26" t="n">
        <f aca="false">N22/$H$2</f>
        <v>0</v>
      </c>
      <c r="R22" s="25" t="n">
        <f aca="false">O22*$K22/$I22</f>
        <v>0</v>
      </c>
      <c r="S22" s="47" t="n">
        <f aca="false">P22*$K22/$I22</f>
        <v>0</v>
      </c>
      <c r="T22" s="26" t="n">
        <f aca="false">Q22*$K22/$I22</f>
        <v>0</v>
      </c>
      <c r="U22" s="27" t="n">
        <v>96.4875</v>
      </c>
      <c r="V22" s="27" t="n">
        <v>94.4653</v>
      </c>
      <c r="W22" s="51"/>
      <c r="Z22" s="33"/>
      <c r="AA22" s="2"/>
    </row>
    <row r="23" customFormat="false" ht="14.25" hidden="false" customHeight="true" outlineLevel="0" collapsed="false">
      <c r="A23" s="18"/>
      <c r="B23" s="34" t="s">
        <v>32</v>
      </c>
      <c r="C23" s="34" t="n">
        <v>19</v>
      </c>
      <c r="D23" s="34" t="n">
        <v>2.7657</v>
      </c>
      <c r="E23" s="34" t="n">
        <v>100</v>
      </c>
      <c r="F23" s="34" t="n">
        <v>2.9728</v>
      </c>
      <c r="G23" s="30" t="n">
        <f aca="false">1000-E23</f>
        <v>900</v>
      </c>
      <c r="H23" s="34" t="n">
        <v>3.682</v>
      </c>
      <c r="I23" s="35" t="n">
        <f aca="false">F23-D23</f>
        <v>0.2071</v>
      </c>
      <c r="J23" s="35" t="n">
        <f aca="false">H23-F23</f>
        <v>0.7092</v>
      </c>
      <c r="K23" s="35" t="n">
        <f aca="false">J23+I23</f>
        <v>0.9163</v>
      </c>
      <c r="L23" s="36"/>
      <c r="M23" s="36"/>
      <c r="N23" s="36"/>
      <c r="O23" s="52" t="n">
        <f aca="false">L23/$F$2</f>
        <v>0</v>
      </c>
      <c r="P23" s="53" t="n">
        <f aca="false">M23/$G$2</f>
        <v>0</v>
      </c>
      <c r="Q23" s="54" t="n">
        <f aca="false">N23/$H$2</f>
        <v>0</v>
      </c>
      <c r="R23" s="55" t="n">
        <f aca="false">O23*$K23/$I23</f>
        <v>0</v>
      </c>
      <c r="S23" s="53" t="n">
        <f aca="false">P23*$K23/$I23</f>
        <v>0</v>
      </c>
      <c r="T23" s="54" t="n">
        <f aca="false">Q23*$K23/$I23</f>
        <v>0</v>
      </c>
      <c r="U23" s="2" t="n">
        <v>5.7</v>
      </c>
      <c r="V23" s="2"/>
      <c r="W23" s="51" t="n">
        <f aca="false">AVERAGE(R23:R24)/100</f>
        <v>0</v>
      </c>
      <c r="X23" s="0" t="n">
        <f aca="false">AVERAGE(S23:S24)/100</f>
        <v>0</v>
      </c>
      <c r="Y23" s="1" t="n">
        <f aca="false">AVERAGE(T23:T24)/100</f>
        <v>0</v>
      </c>
      <c r="Z23" s="33" t="n">
        <f aca="false">AVERAGE(U23:V24)/100</f>
        <v>0.05666</v>
      </c>
      <c r="AA23" s="2" t="n">
        <f aca="false">SUM(W23:Z23)</f>
        <v>0.05666</v>
      </c>
    </row>
    <row r="24" customFormat="false" ht="14.25" hidden="false" customHeight="true" outlineLevel="0" collapsed="false">
      <c r="A24" s="18"/>
      <c r="B24" s="34" t="s">
        <v>32</v>
      </c>
      <c r="C24" s="34" t="n">
        <v>20</v>
      </c>
      <c r="D24" s="34" t="n">
        <v>2.7535</v>
      </c>
      <c r="E24" s="34" t="n">
        <v>100</v>
      </c>
      <c r="F24" s="34" t="n">
        <v>2.9725</v>
      </c>
      <c r="G24" s="30" t="n">
        <f aca="false">1000-E24</f>
        <v>900</v>
      </c>
      <c r="H24" s="34" t="n">
        <v>3.5466</v>
      </c>
      <c r="I24" s="35" t="n">
        <f aca="false">F24-D24</f>
        <v>0.219</v>
      </c>
      <c r="J24" s="35" t="n">
        <f aca="false">H24-F24</f>
        <v>0.5741</v>
      </c>
      <c r="K24" s="35" t="n">
        <f aca="false">J24+I24</f>
        <v>0.7931</v>
      </c>
      <c r="L24" s="36"/>
      <c r="M24" s="36"/>
      <c r="N24" s="36"/>
      <c r="O24" s="58" t="n">
        <f aca="false">L24/$F$2</f>
        <v>0</v>
      </c>
      <c r="P24" s="59" t="n">
        <f aca="false">M24/$G$2</f>
        <v>0</v>
      </c>
      <c r="Q24" s="60" t="n">
        <f aca="false">N24/$H$2</f>
        <v>0</v>
      </c>
      <c r="R24" s="55" t="n">
        <f aca="false">O24*$K24/$I24</f>
        <v>0</v>
      </c>
      <c r="S24" s="53" t="n">
        <f aca="false">P24*$K24/$I24</f>
        <v>0</v>
      </c>
      <c r="T24" s="54" t="n">
        <f aca="false">Q24*$K24/$I24</f>
        <v>0</v>
      </c>
      <c r="U24" s="42" t="n">
        <v>5.632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37</v>
      </c>
      <c r="B25" s="1" t="s">
        <v>31</v>
      </c>
      <c r="C25" s="1" t="n">
        <v>1</v>
      </c>
      <c r="D25" s="1" t="n">
        <v>2.7507</v>
      </c>
      <c r="F25" s="1" t="n">
        <v>3.0125</v>
      </c>
      <c r="G25" s="2" t="n">
        <f aca="false">1000-E25</f>
        <v>1000</v>
      </c>
      <c r="H25" s="1" t="n">
        <v>3.4537</v>
      </c>
      <c r="I25" s="1" t="n">
        <f aca="false">F25-D25</f>
        <v>0.2618</v>
      </c>
      <c r="J25" s="1" t="n">
        <f aca="false">H25-F25</f>
        <v>0.4412</v>
      </c>
      <c r="K25" s="1" t="n">
        <f aca="false">J25+I25</f>
        <v>0.703</v>
      </c>
      <c r="M25" s="1" t="n">
        <v>3266.95</v>
      </c>
      <c r="N25" s="1" t="n">
        <v>3086.41</v>
      </c>
      <c r="P25" s="1" t="n">
        <f aca="false">M25/$G$2</f>
        <v>18.5217101917454</v>
      </c>
      <c r="Q25" s="1" t="n">
        <f aca="false">N25/$H$2</f>
        <v>17.3549917650651</v>
      </c>
      <c r="S25" s="1" t="n">
        <f aca="false">P25*$K25/$I25</f>
        <v>49.7355319510964</v>
      </c>
      <c r="T25" s="1" t="n">
        <f aca="false">Q25*$K25/$I25</f>
        <v>46.6025943882382</v>
      </c>
      <c r="U25" s="1" t="n">
        <v>3.2005</v>
      </c>
      <c r="X25" s="1" t="n">
        <f aca="false">AVERAGE(S25:S26)/100</f>
        <v>0.497249008410142</v>
      </c>
      <c r="Y25" s="1" t="n">
        <f aca="false">AVERAGE(T25:T26)/100</f>
        <v>0.466184668738056</v>
      </c>
      <c r="Z25" s="1" t="n">
        <f aca="false">AVERAGE(U25:V26)/100</f>
        <v>0.0319855</v>
      </c>
      <c r="AA25" s="1" t="n">
        <f aca="false">SUM(W25:Z25)</f>
        <v>0.995419177148198</v>
      </c>
      <c r="AE25" s="1" t="n">
        <f aca="false">IFERROR(X25/$AA25,"")</f>
        <v>0.499537300290641</v>
      </c>
      <c r="AF25" s="1" t="n">
        <f aca="false">IFERROR(Y25/$AA25,"")</f>
        <v>0.46833000552957</v>
      </c>
      <c r="AG25" s="1" t="n">
        <f aca="false">IFERROR(Z25/$AA25,"")</f>
        <v>0.0321326941797887</v>
      </c>
    </row>
    <row r="26" customFormat="false" ht="14.25" hidden="false" customHeight="true" outlineLevel="0" collapsed="false">
      <c r="A26" s="45"/>
      <c r="B26" s="1" t="s">
        <v>31</v>
      </c>
      <c r="C26" s="1" t="n">
        <v>2</v>
      </c>
      <c r="D26" s="1" t="n">
        <v>2.7564</v>
      </c>
      <c r="F26" s="1" t="n">
        <v>3.04</v>
      </c>
      <c r="G26" s="2" t="n">
        <f aca="false">1000-E26</f>
        <v>1000</v>
      </c>
      <c r="H26" s="1" t="n">
        <v>3.5266</v>
      </c>
      <c r="I26" s="1" t="n">
        <f aca="false">F26-D26</f>
        <v>0.2836</v>
      </c>
      <c r="J26" s="1" t="n">
        <f aca="false">H26-F26</f>
        <v>0.4866</v>
      </c>
      <c r="K26" s="1" t="n">
        <f aca="false">J26+I26</f>
        <v>0.7702</v>
      </c>
      <c r="M26" s="1" t="n">
        <v>3228.83</v>
      </c>
      <c r="N26" s="1" t="n">
        <v>3053.78</v>
      </c>
      <c r="P26" s="1" t="n">
        <f aca="false">M26/$G$2</f>
        <v>18.3055919185826</v>
      </c>
      <c r="Q26" s="1" t="n">
        <f aca="false">N26/$H$2</f>
        <v>17.1715121297302</v>
      </c>
      <c r="S26" s="1" t="n">
        <f aca="false">P26*$K26/$I26</f>
        <v>49.714269730932</v>
      </c>
      <c r="T26" s="1" t="n">
        <f aca="false">Q26*$K26/$I26</f>
        <v>46.634339359373</v>
      </c>
      <c r="U26" s="1" t="n">
        <v>3.1966</v>
      </c>
    </row>
    <row r="27" customFormat="false" ht="14.25" hidden="false" customHeight="true" outlineLevel="0" collapsed="false">
      <c r="A27" s="45"/>
      <c r="B27" s="1" t="s">
        <v>32</v>
      </c>
      <c r="C27" s="1" t="n">
        <v>3</v>
      </c>
      <c r="D27" s="1" t="n">
        <v>2.7665</v>
      </c>
      <c r="F27" s="1" t="n">
        <v>3.0608</v>
      </c>
      <c r="G27" s="2" t="n">
        <f aca="false">1000-E27</f>
        <v>1000</v>
      </c>
      <c r="H27" s="1" t="n">
        <v>3.4632</v>
      </c>
      <c r="I27" s="1" t="n">
        <f aca="false">F27-D27</f>
        <v>0.2943</v>
      </c>
      <c r="J27" s="1" t="n">
        <f aca="false">H27-F27</f>
        <v>0.4024</v>
      </c>
      <c r="K27" s="1" t="n">
        <f aca="false">J27+I27</f>
        <v>0.6967</v>
      </c>
      <c r="M27" s="1" t="n">
        <v>10.53</v>
      </c>
      <c r="N27" s="1" t="n">
        <v>9.44</v>
      </c>
      <c r="P27" s="1" t="n">
        <f aca="false">M27/$G$2</f>
        <v>0.0596989878385281</v>
      </c>
      <c r="Q27" s="1" t="n">
        <f aca="false">N27/$H$2</f>
        <v>0.0530814513503438</v>
      </c>
      <c r="S27" s="1" t="n">
        <f aca="false">P27*$K27/$I27</f>
        <v>0.141326146201504</v>
      </c>
      <c r="T27" s="1" t="n">
        <f aca="false">Q27*$K27/$I27</f>
        <v>0.12566037089971</v>
      </c>
      <c r="X27" s="1" t="n">
        <f aca="false">AVERAGE(S27:S28)/100</f>
        <v>0.00167552565259878</v>
      </c>
      <c r="Y27" s="1" t="n">
        <f aca="false">AVERAGE(T27:T28)/100</f>
        <v>0.00150170835378153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32</v>
      </c>
      <c r="C28" s="1" t="n">
        <v>4</v>
      </c>
      <c r="D28" s="1" t="n">
        <v>2.7466</v>
      </c>
      <c r="F28" s="1" t="n">
        <v>3.0467</v>
      </c>
      <c r="G28" s="2" t="n">
        <f aca="false">1000-E28</f>
        <v>1000</v>
      </c>
      <c r="H28" s="1" t="n">
        <v>3.532</v>
      </c>
      <c r="I28" s="1" t="n">
        <f aca="false">F28-D28</f>
        <v>0.3001</v>
      </c>
      <c r="J28" s="1" t="n">
        <f aca="false">H28-F28</f>
        <v>0.4853</v>
      </c>
      <c r="K28" s="1" t="n">
        <f aca="false">J28+I28</f>
        <v>0.7854</v>
      </c>
      <c r="M28" s="1" t="n">
        <v>13.06</v>
      </c>
      <c r="N28" s="1" t="n">
        <v>11.87</v>
      </c>
      <c r="P28" s="1" t="n">
        <f aca="false">M28/$G$2</f>
        <v>0.0740426192945088</v>
      </c>
      <c r="Q28" s="1" t="n">
        <f aca="false">N28/$H$2</f>
        <v>0.0667454266449767</v>
      </c>
      <c r="S28" s="1" t="n">
        <f aca="false">P28*$K28/$I28</f>
        <v>0.193778984318251</v>
      </c>
      <c r="T28" s="1" t="n">
        <f aca="false">Q28*$K28/$I28</f>
        <v>0.174681299856597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U29" activeCellId="0" sqref="U29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3.81"/>
    <col collapsed="false" customWidth="true" hidden="false" outlineLevel="0" max="9" min="9" style="1" width="10.76"/>
    <col collapsed="false" customWidth="true" hidden="false" outlineLevel="0" max="10" min="10" style="1" width="11.17"/>
    <col collapsed="false" customWidth="true" hidden="false" outlineLevel="0" max="11" min="11" style="1" width="11.0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53</v>
      </c>
    </row>
    <row r="2" customFormat="false" ht="14.25" hidden="false" customHeight="true" outlineLevel="0" collapsed="false">
      <c r="E2" s="1" t="s">
        <v>2</v>
      </c>
      <c r="F2" s="1" t="n">
        <v>187.3142</v>
      </c>
      <c r="G2" s="2" t="n">
        <v>176.3849</v>
      </c>
      <c r="H2" s="4" t="n">
        <v>142.6282</v>
      </c>
    </row>
    <row r="3" customFormat="false" ht="14.25" hidden="false" customHeight="true" outlineLevel="0" collapsed="false">
      <c r="M3" s="1" t="s">
        <v>3</v>
      </c>
      <c r="N3" s="1" t="s">
        <v>54</v>
      </c>
      <c r="O3" s="5" t="s">
        <v>5</v>
      </c>
      <c r="P3" s="5"/>
      <c r="Q3" s="5"/>
      <c r="R3" s="6" t="s">
        <v>6</v>
      </c>
      <c r="S3" s="6"/>
      <c r="T3" s="6"/>
      <c r="U3" s="7" t="s">
        <v>7</v>
      </c>
      <c r="V3" s="7"/>
    </row>
    <row r="4" customFormat="false" ht="14.25" hidden="false" customHeight="true" outlineLevel="0" collapsed="false">
      <c r="A4" s="8" t="s">
        <v>8</v>
      </c>
      <c r="B4" s="8" t="s">
        <v>9</v>
      </c>
      <c r="C4" s="8" t="s">
        <v>10</v>
      </c>
      <c r="D4" s="8" t="s">
        <v>11</v>
      </c>
      <c r="E4" s="8" t="s">
        <v>12</v>
      </c>
      <c r="F4" s="8" t="s">
        <v>13</v>
      </c>
      <c r="G4" s="8" t="s">
        <v>14</v>
      </c>
      <c r="H4" s="8" t="s">
        <v>15</v>
      </c>
      <c r="I4" s="9" t="s">
        <v>16</v>
      </c>
      <c r="J4" s="9" t="s">
        <v>17</v>
      </c>
      <c r="K4" s="9" t="s">
        <v>18</v>
      </c>
      <c r="L4" s="9" t="s">
        <v>19</v>
      </c>
      <c r="M4" s="10" t="s">
        <v>40</v>
      </c>
      <c r="N4" s="11" t="s">
        <v>21</v>
      </c>
      <c r="O4" s="12" t="s">
        <v>22</v>
      </c>
      <c r="P4" s="13" t="s">
        <v>23</v>
      </c>
      <c r="Q4" s="14" t="s">
        <v>24</v>
      </c>
      <c r="R4" s="12" t="s">
        <v>22</v>
      </c>
      <c r="S4" s="13" t="s">
        <v>23</v>
      </c>
      <c r="T4" s="14" t="s">
        <v>24</v>
      </c>
      <c r="U4" s="15" t="n">
        <v>1</v>
      </c>
      <c r="V4" s="15" t="n">
        <v>2</v>
      </c>
      <c r="W4" s="16" t="s">
        <v>25</v>
      </c>
      <c r="X4" s="15" t="s">
        <v>26</v>
      </c>
      <c r="Y4" s="15" t="s">
        <v>27</v>
      </c>
      <c r="Z4" s="17" t="s">
        <v>28</v>
      </c>
    </row>
    <row r="5" customFormat="false" ht="14.25" hidden="false" customHeight="true" outlineLevel="0" collapsed="false">
      <c r="A5" s="18" t="s">
        <v>55</v>
      </c>
      <c r="B5" s="19" t="s">
        <v>31</v>
      </c>
      <c r="C5" s="20" t="n">
        <v>1</v>
      </c>
      <c r="D5" s="21" t="n">
        <v>2.8196</v>
      </c>
      <c r="E5" s="19" t="n">
        <v>300</v>
      </c>
      <c r="F5" s="20" t="n">
        <v>3.0137</v>
      </c>
      <c r="G5" s="19" t="n">
        <f aca="false">1000-E5</f>
        <v>700</v>
      </c>
      <c r="H5" s="20" t="n">
        <v>3.5711</v>
      </c>
      <c r="I5" s="22" t="n">
        <f aca="false">F5-D5</f>
        <v>0.1941</v>
      </c>
      <c r="J5" s="22" t="n">
        <f aca="false">H5-F5</f>
        <v>0.5574</v>
      </c>
      <c r="K5" s="22" t="n">
        <f aca="false">J5+I5</f>
        <v>0.7515</v>
      </c>
      <c r="L5" s="23" t="n">
        <v>44.3399</v>
      </c>
      <c r="M5" s="23" t="n">
        <v>0.0206</v>
      </c>
      <c r="N5" s="23" t="n">
        <v>0.0466</v>
      </c>
      <c r="O5" s="24" t="n">
        <f aca="false">L5/$F$2</f>
        <v>0.236714034493915</v>
      </c>
      <c r="P5" s="47" t="n">
        <f aca="false">M5/$G$2</f>
        <v>0.00011679004268506</v>
      </c>
      <c r="Q5" s="26" t="n">
        <f aca="false">N5/$H$2</f>
        <v>0.000326723607252984</v>
      </c>
      <c r="R5" s="25" t="n">
        <f aca="false">O5*$K5/$I5</f>
        <v>0.916489422576902</v>
      </c>
      <c r="S5" s="47" t="n">
        <f aca="false">P5*$K5/$I5</f>
        <v>0.00045217783141588</v>
      </c>
      <c r="T5" s="26" t="n">
        <f aca="false">Q5*$K5/$I5</f>
        <v>0.00126498089052353</v>
      </c>
      <c r="U5" s="27" t="n">
        <v>96.2569</v>
      </c>
      <c r="V5" s="27"/>
      <c r="W5" s="48" t="n">
        <f aca="false">AVERAGE(R5:R6)/100</f>
        <v>0.00575879196074142</v>
      </c>
      <c r="X5" s="49" t="n">
        <f aca="false">AVERAGE(S5:S6)/100</f>
        <v>3.1530542821142E-006</v>
      </c>
      <c r="Y5" s="49" t="n">
        <f aca="false">AVERAGE(T5:T6)/100</f>
        <v>7.97290047985636E-006</v>
      </c>
      <c r="Z5" s="50" t="n">
        <f aca="false">AVERAGE(U5:V6)/100</f>
        <v>0.97173</v>
      </c>
      <c r="AA5" s="2" t="n">
        <f aca="false">SUM(W5:Z5)</f>
        <v>0.977499917915503</v>
      </c>
      <c r="AD5" s="0" t="n">
        <v>0.00575879196074142</v>
      </c>
      <c r="AE5" s="0" t="n">
        <v>3.1530542821142E-006</v>
      </c>
      <c r="AF5" s="0" t="n">
        <v>7.97290047985636E-006</v>
      </c>
      <c r="AG5" s="0" t="n">
        <v>0.994230082084497</v>
      </c>
    </row>
    <row r="6" customFormat="false" ht="14.25" hidden="false" customHeight="true" outlineLevel="0" collapsed="false">
      <c r="A6" s="18"/>
      <c r="B6" s="20" t="s">
        <v>31</v>
      </c>
      <c r="C6" s="20" t="n">
        <v>2</v>
      </c>
      <c r="D6" s="20" t="n">
        <v>2.8655</v>
      </c>
      <c r="E6" s="20" t="n">
        <v>300</v>
      </c>
      <c r="F6" s="20" t="n">
        <v>3.0706</v>
      </c>
      <c r="G6" s="19" t="n">
        <f aca="false">1000-E6</f>
        <v>700</v>
      </c>
      <c r="H6" s="20" t="n">
        <v>3.6826</v>
      </c>
      <c r="I6" s="22" t="n">
        <f aca="false">F6-D6</f>
        <v>0.2051</v>
      </c>
      <c r="J6" s="22" t="n">
        <f aca="false">H6-F6</f>
        <v>0.612</v>
      </c>
      <c r="K6" s="22" t="n">
        <f aca="false">J6+I6</f>
        <v>0.8171</v>
      </c>
      <c r="L6" s="23" t="n">
        <v>11.0618</v>
      </c>
      <c r="M6" s="23" t="n">
        <v>0.0079</v>
      </c>
      <c r="N6" s="23" t="n">
        <v>0.0118</v>
      </c>
      <c r="O6" s="24" t="n">
        <f aca="false">L6/$F$2</f>
        <v>0.0590547860226294</v>
      </c>
      <c r="P6" s="47" t="n">
        <f aca="false">M6/$G$2</f>
        <v>4.47884144277657E-005</v>
      </c>
      <c r="Q6" s="26" t="n">
        <f aca="false">N6/$H$2</f>
        <v>8.27325872443177E-005</v>
      </c>
      <c r="R6" s="25" t="n">
        <f aca="false">O6*$K6/$I6</f>
        <v>0.235268969571382</v>
      </c>
      <c r="S6" s="47" t="n">
        <f aca="false">P6*$K6/$I6</f>
        <v>0.000178433025006959</v>
      </c>
      <c r="T6" s="26" t="n">
        <f aca="false">Q6*$K6/$I6</f>
        <v>0.000329599205447742</v>
      </c>
      <c r="U6" s="27" t="n">
        <v>98.0891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32</v>
      </c>
      <c r="C7" s="34" t="n">
        <v>3</v>
      </c>
      <c r="D7" s="34" t="n">
        <v>2.7973</v>
      </c>
      <c r="E7" s="34" t="n">
        <v>100</v>
      </c>
      <c r="F7" s="34" t="n">
        <v>2.9822</v>
      </c>
      <c r="G7" s="30" t="n">
        <f aca="false">1000-E7</f>
        <v>900</v>
      </c>
      <c r="H7" s="34" t="n">
        <v>3.5877</v>
      </c>
      <c r="I7" s="35" t="n">
        <f aca="false">F7-D7</f>
        <v>0.1849</v>
      </c>
      <c r="J7" s="35" t="n">
        <f aca="false">H7-F7</f>
        <v>0.6055</v>
      </c>
      <c r="K7" s="35" t="n">
        <f aca="false">J7+I7</f>
        <v>0.7904</v>
      </c>
      <c r="L7" s="1" t="n">
        <v>356.0803</v>
      </c>
      <c r="M7" s="1" t="n">
        <v>6.3681</v>
      </c>
      <c r="N7" s="36" t="n">
        <v>5.6482</v>
      </c>
      <c r="O7" s="52" t="n">
        <f aca="false">L7/$F$2</f>
        <v>1.9009786764698</v>
      </c>
      <c r="P7" s="53" t="n">
        <f aca="false">M7/$G$2</f>
        <v>0.0361034306224626</v>
      </c>
      <c r="Q7" s="54" t="n">
        <f aca="false">N7/$H$2</f>
        <v>0.0396008643451996</v>
      </c>
      <c r="R7" s="55" t="n">
        <f aca="false">O7*$K7/$I7</f>
        <v>8.12619548881412</v>
      </c>
      <c r="S7" s="53" t="n">
        <f aca="false">P7*$K7/$I7</f>
        <v>0.15433289109786</v>
      </c>
      <c r="T7" s="54" t="n">
        <f aca="false">Q7*$K7/$I7</f>
        <v>0.169283521787159</v>
      </c>
      <c r="U7" s="2" t="n">
        <v>7.7273</v>
      </c>
      <c r="V7" s="2"/>
      <c r="W7" s="51" t="n">
        <f aca="false">AVERAGE(R7:R8)/100</f>
        <v>0.251486412057323</v>
      </c>
      <c r="X7" s="0" t="n">
        <f aca="false">AVERAGE(S7:S8)/100</f>
        <v>0.00475629815876957</v>
      </c>
      <c r="Y7" s="1" t="n">
        <f aca="false">AVERAGE(T7:T8)/100</f>
        <v>0.00523863671361875</v>
      </c>
      <c r="Z7" s="33" t="n">
        <f aca="false">AVERAGE(U7:V8)/100</f>
        <v>0.0787575</v>
      </c>
      <c r="AA7" s="2" t="n">
        <f aca="false">SUM(W7:Z7)</f>
        <v>0.340238846929711</v>
      </c>
      <c r="AD7" s="0" t="n">
        <v>0.886028673479322</v>
      </c>
      <c r="AE7" s="0" t="n">
        <v>0.016757233577002</v>
      </c>
      <c r="AF7" s="0" t="n">
        <v>0.0184565929436765</v>
      </c>
      <c r="AG7" s="0" t="n">
        <v>0.0787575</v>
      </c>
    </row>
    <row r="8" customFormat="false" ht="14.25" hidden="false" customHeight="true" outlineLevel="0" collapsed="false">
      <c r="A8" s="18"/>
      <c r="B8" s="34" t="s">
        <v>32</v>
      </c>
      <c r="C8" s="34" t="n">
        <v>4</v>
      </c>
      <c r="D8" s="34" t="n">
        <v>2.7953</v>
      </c>
      <c r="E8" s="34" t="n">
        <v>100</v>
      </c>
      <c r="F8" s="34" t="n">
        <v>3.0093</v>
      </c>
      <c r="G8" s="30" t="n">
        <f aca="false">1000-E8</f>
        <v>900</v>
      </c>
      <c r="H8" s="34" t="n">
        <v>3.5658</v>
      </c>
      <c r="I8" s="35" t="n">
        <f aca="false">F8-D8</f>
        <v>0.214</v>
      </c>
      <c r="J8" s="35" t="n">
        <f aca="false">H8-F8</f>
        <v>0.5565</v>
      </c>
      <c r="K8" s="35" t="n">
        <f aca="false">J8+I8</f>
        <v>0.7705</v>
      </c>
      <c r="L8" s="36" t="n">
        <v>2193.9495</v>
      </c>
      <c r="M8" s="36" t="n">
        <v>39.041</v>
      </c>
      <c r="N8" s="36" t="n">
        <v>34.7985</v>
      </c>
      <c r="O8" s="52" t="n">
        <f aca="false">L8/$F$2</f>
        <v>11.7126704755966</v>
      </c>
      <c r="P8" s="53" t="n">
        <f aca="false">M8/$G$2</f>
        <v>0.22133980856638</v>
      </c>
      <c r="Q8" s="54" t="n">
        <f aca="false">N8/$H$2</f>
        <v>0.243980503154355</v>
      </c>
      <c r="R8" s="55" t="n">
        <f aca="false">O8*$K8/$I8</f>
        <v>42.1710869226504</v>
      </c>
      <c r="S8" s="53" t="n">
        <f aca="false">P8*$K8/$I8</f>
        <v>0.796926740656053</v>
      </c>
      <c r="T8" s="54" t="n">
        <f aca="false">Q8*$K8/$I8</f>
        <v>0.878443820936592</v>
      </c>
      <c r="U8" s="2" t="n">
        <v>8.0242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56</v>
      </c>
      <c r="B9" s="19" t="s">
        <v>31</v>
      </c>
      <c r="C9" s="20" t="n">
        <v>5</v>
      </c>
      <c r="D9" s="19" t="n">
        <v>2.7911</v>
      </c>
      <c r="E9" s="19" t="n">
        <v>300</v>
      </c>
      <c r="F9" s="20" t="n">
        <v>2.9917</v>
      </c>
      <c r="G9" s="19" t="n">
        <f aca="false">1000-E9</f>
        <v>700</v>
      </c>
      <c r="H9" s="20" t="n">
        <v>3.6113</v>
      </c>
      <c r="I9" s="22" t="n">
        <f aca="false">F9-D9</f>
        <v>0.2006</v>
      </c>
      <c r="J9" s="22" t="n">
        <f aca="false">H9-F9</f>
        <v>0.6196</v>
      </c>
      <c r="K9" s="22" t="n">
        <f aca="false">J9+I9</f>
        <v>0.8202</v>
      </c>
      <c r="L9" s="23" t="n">
        <v>2.5679</v>
      </c>
      <c r="M9" s="23" t="n">
        <v>3.8544</v>
      </c>
      <c r="N9" s="23" t="n">
        <v>4.1471</v>
      </c>
      <c r="O9" s="24" t="n">
        <f aca="false">L9/$F$2</f>
        <v>0.0137090514226898</v>
      </c>
      <c r="P9" s="47" t="n">
        <f aca="false">M9/$G$2</f>
        <v>0.0218522107051114</v>
      </c>
      <c r="Q9" s="26" t="n">
        <f aca="false">N9/$H$2</f>
        <v>0.0290762976746534</v>
      </c>
      <c r="R9" s="25" t="n">
        <f aca="false">O9*$K9/$I9</f>
        <v>0.0560526618987546</v>
      </c>
      <c r="S9" s="47" t="n">
        <f aca="false">P9*$K9/$I9</f>
        <v>0.0893478724842093</v>
      </c>
      <c r="T9" s="26" t="n">
        <f aca="false">Q9*$K9/$I9</f>
        <v>0.118885241040632</v>
      </c>
      <c r="U9" s="27" t="n">
        <v>98.7791</v>
      </c>
      <c r="V9" s="27"/>
      <c r="W9" s="56" t="n">
        <f aca="false">AVERAGE(R9:R10)/100</f>
        <v>0.000590019836661907</v>
      </c>
      <c r="X9" s="57" t="n">
        <f aca="false">AVERAGE(S9:S10)/100</f>
        <v>0.00206682518392184</v>
      </c>
      <c r="Y9" s="57" t="n">
        <f aca="false">AVERAGE(T9:T10)/100</f>
        <v>0.00245617607922325</v>
      </c>
      <c r="Z9" s="29" t="n">
        <f aca="false">AVERAGE(U9:V10)/100</f>
        <v>0.9803175</v>
      </c>
      <c r="AA9" s="2" t="n">
        <f aca="false">SUM(W9:Z9)</f>
        <v>0.985430521099807</v>
      </c>
      <c r="AD9" s="0" t="n">
        <v>0.000560526618987546</v>
      </c>
      <c r="AE9" s="0" t="n">
        <v>0.000893478724842093</v>
      </c>
      <c r="AF9" s="0" t="n">
        <v>0.00118885241040632</v>
      </c>
      <c r="AG9" s="0" t="n">
        <v>0.997357142245764</v>
      </c>
    </row>
    <row r="10" customFormat="false" ht="14.25" hidden="false" customHeight="true" outlineLevel="0" collapsed="false">
      <c r="A10" s="18"/>
      <c r="B10" s="20" t="s">
        <v>31</v>
      </c>
      <c r="C10" s="20" t="n">
        <v>6</v>
      </c>
      <c r="D10" s="20" t="n">
        <v>2.8057</v>
      </c>
      <c r="E10" s="20" t="n">
        <v>300</v>
      </c>
      <c r="F10" s="20" t="n">
        <v>3.0124</v>
      </c>
      <c r="G10" s="19" t="n">
        <f aca="false">1000-E10</f>
        <v>700</v>
      </c>
      <c r="H10" s="20" t="n">
        <v>3.6202</v>
      </c>
      <c r="I10" s="22" t="n">
        <f aca="false">F10-D10</f>
        <v>0.2067</v>
      </c>
      <c r="J10" s="22" t="n">
        <f aca="false">H10-F10</f>
        <v>0.6078</v>
      </c>
      <c r="K10" s="22" t="n">
        <f aca="false">J10+I10</f>
        <v>0.8145</v>
      </c>
      <c r="L10" s="23" t="n">
        <v>2.9449</v>
      </c>
      <c r="M10" s="23" t="n">
        <v>14.5037</v>
      </c>
      <c r="N10" s="23" t="n">
        <v>13.4774</v>
      </c>
      <c r="O10" s="24" t="n">
        <f aca="false">L10/$F$2</f>
        <v>0.015721712502309</v>
      </c>
      <c r="P10" s="47" t="n">
        <f aca="false">M10/$G$2</f>
        <v>0.0822275602956943</v>
      </c>
      <c r="Q10" s="26" t="n">
        <f aca="false">N10/$H$2</f>
        <v>0.0944932348581837</v>
      </c>
      <c r="R10" s="25" t="n">
        <f aca="false">O10*$K10/$I10</f>
        <v>0.0619513054336267</v>
      </c>
      <c r="S10" s="47" t="n">
        <f aca="false">P10*$K10/$I10</f>
        <v>0.324017164300159</v>
      </c>
      <c r="T10" s="26" t="n">
        <f aca="false">Q10*$K10/$I10</f>
        <v>0.372349974804019</v>
      </c>
      <c r="U10" s="27" t="n">
        <v>97.2844</v>
      </c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32</v>
      </c>
      <c r="C11" s="34" t="n">
        <v>7</v>
      </c>
      <c r="D11" s="34" t="n">
        <v>2.8658</v>
      </c>
      <c r="E11" s="34" t="n">
        <v>100</v>
      </c>
      <c r="F11" s="34" t="n">
        <v>3.053</v>
      </c>
      <c r="G11" s="30" t="n">
        <f aca="false">1000-E11</f>
        <v>900</v>
      </c>
      <c r="H11" s="34" t="n">
        <v>3.678</v>
      </c>
      <c r="I11" s="35" t="n">
        <f aca="false">F11-D11</f>
        <v>0.1872</v>
      </c>
      <c r="J11" s="35" t="n">
        <f aca="false">H11-F11</f>
        <v>0.625</v>
      </c>
      <c r="K11" s="35" t="n">
        <f aca="false">J11+I11</f>
        <v>0.8122</v>
      </c>
      <c r="L11" s="40" t="n">
        <v>84.6803</v>
      </c>
      <c r="M11" s="40" t="n">
        <v>880.5096</v>
      </c>
      <c r="N11" s="36" t="n">
        <v>786.4432</v>
      </c>
      <c r="O11" s="52" t="n">
        <f aca="false">L11/$F$2</f>
        <v>0.45207624408614</v>
      </c>
      <c r="P11" s="53" t="n">
        <f aca="false">M11/$G$2</f>
        <v>4.99197833828179</v>
      </c>
      <c r="Q11" s="54" t="n">
        <f aca="false">N11/$H$2</f>
        <v>5.51393903870343</v>
      </c>
      <c r="R11" s="55" t="n">
        <f aca="false">O11*$K11/$I11</f>
        <v>1.96141199490792</v>
      </c>
      <c r="S11" s="53" t="n">
        <f aca="false">P11*$K11/$I11</f>
        <v>21.6585726835068</v>
      </c>
      <c r="T11" s="54" t="n">
        <f aca="false">Q11*$K11/$I11</f>
        <v>23.9231906369387</v>
      </c>
      <c r="U11" s="2" t="n">
        <v>2.9293</v>
      </c>
      <c r="V11" s="2"/>
      <c r="W11" s="51" t="n">
        <f aca="false">AVERAGE(R11:R12)/100</f>
        <v>0.0290317278940428</v>
      </c>
      <c r="X11" s="0" t="n">
        <f aca="false">AVERAGE(S11:S12)/100</f>
        <v>0.319216044080794</v>
      </c>
      <c r="Y11" s="1" t="n">
        <f aca="false">AVERAGE(T11:T12)/100</f>
        <v>0.351977098080112</v>
      </c>
      <c r="Z11" s="33" t="n">
        <f aca="false">AVERAGE(U11:V12)/100</f>
        <v>0.02924</v>
      </c>
      <c r="AA11" s="2" t="n">
        <f aca="false">SUM(W11:Z11)</f>
        <v>0.729464870054949</v>
      </c>
      <c r="AD11" s="0" t="n">
        <v>0.0402482707708016</v>
      </c>
      <c r="AE11" s="0" t="n">
        <v>0.442546644947864</v>
      </c>
      <c r="AF11" s="0" t="n">
        <v>0.487965084281334</v>
      </c>
      <c r="AG11" s="0" t="n">
        <v>0.02924</v>
      </c>
    </row>
    <row r="12" customFormat="false" ht="14.25" hidden="false" customHeight="true" outlineLevel="0" collapsed="false">
      <c r="A12" s="18"/>
      <c r="B12" s="34" t="s">
        <v>32</v>
      </c>
      <c r="C12" s="34" t="n">
        <v>8</v>
      </c>
      <c r="D12" s="34" t="n">
        <v>2.8543</v>
      </c>
      <c r="E12" s="34" t="n">
        <v>100</v>
      </c>
      <c r="F12" s="34" t="n">
        <v>3.0652</v>
      </c>
      <c r="G12" s="30" t="n">
        <f aca="false">1000-E12</f>
        <v>900</v>
      </c>
      <c r="H12" s="34" t="n">
        <v>3.6767</v>
      </c>
      <c r="I12" s="35" t="n">
        <f aca="false">F12-D12</f>
        <v>0.2109</v>
      </c>
      <c r="J12" s="35" t="n">
        <f aca="false">H12-F12</f>
        <v>0.6115</v>
      </c>
      <c r="K12" s="35" t="n">
        <f aca="false">J12+I12</f>
        <v>0.8224</v>
      </c>
      <c r="L12" s="36" t="n">
        <v>184.6941</v>
      </c>
      <c r="M12" s="36" t="n">
        <v>1908.1354</v>
      </c>
      <c r="N12" s="36" t="n">
        <v>1699.7787</v>
      </c>
      <c r="O12" s="52" t="n">
        <f aca="false">L12/$F$2</f>
        <v>0.986012272427824</v>
      </c>
      <c r="P12" s="53" t="n">
        <f aca="false">M12/$G$2</f>
        <v>10.8180201366444</v>
      </c>
      <c r="Q12" s="54" t="n">
        <f aca="false">N12/$H$2</f>
        <v>11.9175499655748</v>
      </c>
      <c r="R12" s="55" t="n">
        <f aca="false">O12*$K12/$I12</f>
        <v>3.84493358390063</v>
      </c>
      <c r="S12" s="53" t="n">
        <f aca="false">P12*$K12/$I12</f>
        <v>42.184636132652</v>
      </c>
      <c r="T12" s="54" t="n">
        <f aca="false">Q12*$K12/$I12</f>
        <v>46.4722289790836</v>
      </c>
      <c r="U12" s="2" t="n">
        <v>2.9187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57</v>
      </c>
      <c r="B13" s="19" t="s">
        <v>31</v>
      </c>
      <c r="C13" s="20" t="n">
        <v>9</v>
      </c>
      <c r="D13" s="19" t="n">
        <v>2.8603</v>
      </c>
      <c r="E13" s="19" t="n">
        <v>300</v>
      </c>
      <c r="F13" s="20" t="n">
        <v>3.0593</v>
      </c>
      <c r="G13" s="19" t="n">
        <f aca="false">1000-E13</f>
        <v>700</v>
      </c>
      <c r="H13" s="20" t="n">
        <v>3.6801</v>
      </c>
      <c r="I13" s="22" t="n">
        <f aca="false">F13-D13</f>
        <v>0.199</v>
      </c>
      <c r="J13" s="22" t="n">
        <f aca="false">H13-F13</f>
        <v>0.6208</v>
      </c>
      <c r="K13" s="22" t="n">
        <f aca="false">J13+I13</f>
        <v>0.8198</v>
      </c>
      <c r="L13" s="23" t="n">
        <v>67.8512</v>
      </c>
      <c r="M13" s="23" t="n">
        <v>13.7089</v>
      </c>
      <c r="N13" s="23" t="n">
        <v>13.5458</v>
      </c>
      <c r="O13" s="24" t="n">
        <f aca="false">L13/$F$2</f>
        <v>0.36223201444418</v>
      </c>
      <c r="P13" s="47" t="n">
        <f aca="false">M13/$G$2</f>
        <v>0.0777215056390882</v>
      </c>
      <c r="Q13" s="26" t="n">
        <f aca="false">N13/$H$2</f>
        <v>0.0949728034147525</v>
      </c>
      <c r="R13" s="25" t="n">
        <f aca="false">O13*$K13/$I13</f>
        <v>1.49225027859969</v>
      </c>
      <c r="S13" s="47" t="n">
        <f aca="false">P13*$K13/$I13</f>
        <v>0.320181358406656</v>
      </c>
      <c r="T13" s="26" t="n">
        <f aca="false">Q13*$K13/$I13</f>
        <v>0.391249770047307</v>
      </c>
      <c r="U13" s="27" t="n">
        <v>97.4976</v>
      </c>
      <c r="V13" s="27"/>
      <c r="W13" s="56" t="n">
        <f aca="false">AVERAGE(R13:R14)/100</f>
        <v>0.0139986356201562</v>
      </c>
      <c r="X13" s="57" t="n">
        <f aca="false">AVERAGE(S13:S14)/100</f>
        <v>0.00290634030826195</v>
      </c>
      <c r="Y13" s="57" t="n">
        <f aca="false">AVERAGE(T13:T14)/100</f>
        <v>0.00352820445180799</v>
      </c>
      <c r="Z13" s="29" t="n">
        <f aca="false">AVERAGE(U13:V14)/100</f>
        <v>0.9728655</v>
      </c>
      <c r="AA13" s="2" t="n">
        <f aca="false">SUM(W13:Z13)</f>
        <v>0.993298680380226</v>
      </c>
      <c r="AD13" s="0" t="n">
        <v>0.0139986356201562</v>
      </c>
      <c r="AE13" s="0" t="n">
        <v>0.00290634030826195</v>
      </c>
      <c r="AF13" s="0" t="n">
        <v>0.00352820445180799</v>
      </c>
      <c r="AG13" s="0" t="n">
        <v>0.979566819619774</v>
      </c>
    </row>
    <row r="14" customFormat="false" ht="14.25" hidden="false" customHeight="true" outlineLevel="0" collapsed="false">
      <c r="A14" s="18"/>
      <c r="B14" s="19" t="s">
        <v>31</v>
      </c>
      <c r="C14" s="20" t="n">
        <v>10</v>
      </c>
      <c r="D14" s="20" t="n">
        <v>2.8429</v>
      </c>
      <c r="E14" s="20" t="n">
        <v>300</v>
      </c>
      <c r="F14" s="20" t="n">
        <v>3.046</v>
      </c>
      <c r="G14" s="19" t="n">
        <f aca="false">1000-E14</f>
        <v>700</v>
      </c>
      <c r="H14" s="20" t="n">
        <v>3.6531</v>
      </c>
      <c r="I14" s="22" t="n">
        <f aca="false">F14-D14</f>
        <v>0.2031</v>
      </c>
      <c r="J14" s="22" t="n">
        <f aca="false">H14-F14</f>
        <v>0.6071</v>
      </c>
      <c r="K14" s="22" t="n">
        <f aca="false">J14+I14</f>
        <v>0.8102</v>
      </c>
      <c r="L14" s="23" t="n">
        <v>61.3935</v>
      </c>
      <c r="M14" s="23" t="n">
        <v>11.5442</v>
      </c>
      <c r="N14" s="23" t="n">
        <v>11.2407</v>
      </c>
      <c r="O14" s="24" t="n">
        <f aca="false">L14/$F$2</f>
        <v>0.327756785123605</v>
      </c>
      <c r="P14" s="47" t="n">
        <f aca="false">M14/$G$2</f>
        <v>0.0654489131439256</v>
      </c>
      <c r="Q14" s="26" t="n">
        <f aca="false">N14/$H$2</f>
        <v>0.0788112028336612</v>
      </c>
      <c r="R14" s="25" t="n">
        <f aca="false">O14*$K14/$I14</f>
        <v>1.30747684543154</v>
      </c>
      <c r="S14" s="47" t="n">
        <f aca="false">P14*$K14/$I14</f>
        <v>0.261086703245734</v>
      </c>
      <c r="T14" s="26" t="n">
        <f aca="false">Q14*$K14/$I14</f>
        <v>0.314391120314291</v>
      </c>
      <c r="U14" s="27" t="n">
        <v>97.0755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32</v>
      </c>
      <c r="C15" s="34" t="n">
        <v>11</v>
      </c>
      <c r="D15" s="34" t="n">
        <v>2.8676</v>
      </c>
      <c r="E15" s="34" t="n">
        <v>100</v>
      </c>
      <c r="F15" s="34" t="n">
        <v>3.0561</v>
      </c>
      <c r="G15" s="30" t="n">
        <f aca="false">1000-E15</f>
        <v>900</v>
      </c>
      <c r="H15" s="34" t="n">
        <v>3.6339</v>
      </c>
      <c r="I15" s="35" t="n">
        <f aca="false">F15-D15</f>
        <v>0.1885</v>
      </c>
      <c r="J15" s="35" t="n">
        <f aca="false">H15-F15</f>
        <v>0.5778</v>
      </c>
      <c r="K15" s="35" t="n">
        <f aca="false">J15+I15</f>
        <v>0.7663</v>
      </c>
      <c r="L15" s="36" t="n">
        <v>1883.4151</v>
      </c>
      <c r="M15" s="36" t="n">
        <v>957.9184</v>
      </c>
      <c r="N15" s="41" t="n">
        <v>857.5647</v>
      </c>
      <c r="O15" s="52" t="n">
        <f aca="false">L15/$F$2</f>
        <v>10.0548442136261</v>
      </c>
      <c r="P15" s="53" t="n">
        <f aca="false">M15/$G$2</f>
        <v>5.43084130217496</v>
      </c>
      <c r="Q15" s="54" t="n">
        <f aca="false">N15/$H$2</f>
        <v>6.01258867460993</v>
      </c>
      <c r="R15" s="55" t="n">
        <f aca="false">O15*$K15/$I15</f>
        <v>40.8754754424492</v>
      </c>
      <c r="S15" s="53" t="n">
        <f aca="false">P15*$K15/$I15</f>
        <v>22.0777384077277</v>
      </c>
      <c r="T15" s="54" t="n">
        <f aca="false">Q15*$K15/$I15</f>
        <v>24.4426880708413</v>
      </c>
      <c r="U15" s="2" t="n">
        <v>4.1294</v>
      </c>
      <c r="V15" s="2"/>
      <c r="W15" s="51" t="n">
        <f aca="false">AVERAGE(R15:R16)/100</f>
        <v>0.391530119612766</v>
      </c>
      <c r="X15" s="0" t="n">
        <f aca="false">AVERAGE(S15:S16)/100</f>
        <v>0.211571994808191</v>
      </c>
      <c r="Y15" s="1" t="n">
        <f aca="false">AVERAGE(T15:T16)/100</f>
        <v>0.232885278479916</v>
      </c>
      <c r="Z15" s="33" t="n">
        <f aca="false">AVERAGE(U15:V16)/100</f>
        <v>0.04192</v>
      </c>
      <c r="AA15" s="2" t="n">
        <f aca="false">SUM(W15:Z15)</f>
        <v>0.877907392900873</v>
      </c>
      <c r="AD15" s="0" t="n">
        <v>0.448711523862751</v>
      </c>
      <c r="AE15" s="0" t="n">
        <v>0.242471236417158</v>
      </c>
      <c r="AF15" s="0" t="n">
        <v>0.266897239720091</v>
      </c>
      <c r="AG15" s="0" t="n">
        <v>0.04192</v>
      </c>
    </row>
    <row r="16" customFormat="false" ht="14.25" hidden="false" customHeight="true" outlineLevel="0" collapsed="false">
      <c r="A16" s="18"/>
      <c r="B16" s="34" t="s">
        <v>32</v>
      </c>
      <c r="C16" s="34" t="n">
        <v>12</v>
      </c>
      <c r="D16" s="34" t="n">
        <v>2.8544</v>
      </c>
      <c r="E16" s="34" t="n">
        <v>100</v>
      </c>
      <c r="F16" s="34" t="n">
        <v>3.0582</v>
      </c>
      <c r="G16" s="30" t="n">
        <f aca="false">1000-E16</f>
        <v>900</v>
      </c>
      <c r="H16" s="34" t="n">
        <v>3.6349</v>
      </c>
      <c r="I16" s="35" t="n">
        <f aca="false">F16-D16</f>
        <v>0.2038</v>
      </c>
      <c r="J16" s="35" t="n">
        <f aca="false">H16-F16</f>
        <v>0.5767</v>
      </c>
      <c r="K16" s="35" t="n">
        <f aca="false">J16+I16</f>
        <v>0.7805</v>
      </c>
      <c r="L16" s="36" t="n">
        <v>1830.7463</v>
      </c>
      <c r="M16" s="36" t="n">
        <v>932.0335</v>
      </c>
      <c r="N16" s="36" t="n">
        <v>824.3351</v>
      </c>
      <c r="O16" s="52" t="n">
        <f aca="false">L16/$F$2</f>
        <v>9.77366531741854</v>
      </c>
      <c r="P16" s="53" t="n">
        <f aca="false">M16/$G$2</f>
        <v>5.28408894412164</v>
      </c>
      <c r="Q16" s="54" t="n">
        <f aca="false">N16/$H$2</f>
        <v>5.77960809994097</v>
      </c>
      <c r="R16" s="55" t="n">
        <f aca="false">O16*$K16/$I16</f>
        <v>37.4305484801039</v>
      </c>
      <c r="S16" s="53" t="n">
        <f aca="false">P16*$K16/$I16</f>
        <v>20.2366605539104</v>
      </c>
      <c r="T16" s="54" t="n">
        <f aca="false">Q16*$K16/$I16</f>
        <v>22.1343676251419</v>
      </c>
      <c r="U16" s="2" t="n">
        <v>4.2546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58</v>
      </c>
      <c r="B17" s="19" t="s">
        <v>31</v>
      </c>
      <c r="C17" s="20" t="n">
        <v>13</v>
      </c>
      <c r="D17" s="19" t="n">
        <v>2.7934</v>
      </c>
      <c r="E17" s="19" t="n">
        <v>300</v>
      </c>
      <c r="F17" s="20" t="n">
        <v>2.9943</v>
      </c>
      <c r="G17" s="19" t="n">
        <f aca="false">1000-E17</f>
        <v>700</v>
      </c>
      <c r="H17" s="20" t="n">
        <v>3.616</v>
      </c>
      <c r="I17" s="22" t="n">
        <f aca="false">F17-D17</f>
        <v>0.2009</v>
      </c>
      <c r="J17" s="22" t="n">
        <f aca="false">H17-F17</f>
        <v>0.6217</v>
      </c>
      <c r="K17" s="22" t="n">
        <f aca="false">J17+I17</f>
        <v>0.8226</v>
      </c>
      <c r="L17" s="23" t="n">
        <v>57.1915</v>
      </c>
      <c r="M17" s="23" t="n">
        <v>0.3476</v>
      </c>
      <c r="N17" s="23" t="n">
        <v>0.7863</v>
      </c>
      <c r="O17" s="24" t="n">
        <f aca="false">L17/$F$2</f>
        <v>0.305323888952359</v>
      </c>
      <c r="P17" s="47" t="n">
        <f aca="false">M17/$G$2</f>
        <v>0.00197069023482169</v>
      </c>
      <c r="Q17" s="26" t="n">
        <f aca="false">N17/$H$2</f>
        <v>0.00551293502967856</v>
      </c>
      <c r="R17" s="25" t="n">
        <f aca="false">O17*$K17/$I17</f>
        <v>1.25017138403291</v>
      </c>
      <c r="S17" s="47" t="n">
        <f aca="false">P17*$K17/$I17</f>
        <v>0.00806913781565118</v>
      </c>
      <c r="T17" s="26" t="n">
        <f aca="false">Q17*$K17/$I17</f>
        <v>0.0225731227248063</v>
      </c>
      <c r="U17" s="27" t="n">
        <v>98.3636</v>
      </c>
      <c r="V17" s="27"/>
      <c r="W17" s="56" t="n">
        <f aca="false">AVERAGE(R17:R18)/100</f>
        <v>0.0123724962401565</v>
      </c>
      <c r="X17" s="57" t="n">
        <f aca="false">AVERAGE(S17:S18)/100</f>
        <v>7.8407206802158E-005</v>
      </c>
      <c r="Y17" s="57" t="n">
        <f aca="false">AVERAGE(T17:T18)/100</f>
        <v>0.000219983069889952</v>
      </c>
      <c r="Z17" s="29" t="n">
        <f aca="false">AVERAGE(U17:V18)/100</f>
        <v>0.9848205</v>
      </c>
      <c r="AA17" s="2" t="n">
        <f aca="false">SUM(W17:Z17)</f>
        <v>0.997491386516849</v>
      </c>
      <c r="AD17" s="0" t="n">
        <v>0.0123724962401565</v>
      </c>
      <c r="AE17" s="0" t="n">
        <v>7.8407206802158E-005</v>
      </c>
      <c r="AF17" s="0" t="n">
        <v>0.000219983069889952</v>
      </c>
      <c r="AG17" s="0" t="n">
        <v>0.987329113483151</v>
      </c>
    </row>
    <row r="18" customFormat="false" ht="14.25" hidden="false" customHeight="true" outlineLevel="0" collapsed="false">
      <c r="A18" s="18"/>
      <c r="B18" s="20" t="s">
        <v>31</v>
      </c>
      <c r="C18" s="20" t="n">
        <v>14</v>
      </c>
      <c r="D18" s="20" t="n">
        <v>2.8597</v>
      </c>
      <c r="E18" s="20" t="n">
        <v>300</v>
      </c>
      <c r="F18" s="20" t="n">
        <v>3.0662</v>
      </c>
      <c r="G18" s="19" t="n">
        <f aca="false">1000-E18</f>
        <v>700</v>
      </c>
      <c r="H18" s="20" t="n">
        <v>3.6961</v>
      </c>
      <c r="I18" s="22" t="n">
        <f aca="false">F18-D18</f>
        <v>0.2065</v>
      </c>
      <c r="J18" s="22" t="n">
        <f aca="false">H18-F18</f>
        <v>0.6299</v>
      </c>
      <c r="K18" s="22" t="n">
        <f aca="false">J18+I18</f>
        <v>0.8364</v>
      </c>
      <c r="L18" s="23" t="n">
        <v>56.6206</v>
      </c>
      <c r="M18" s="23" t="n">
        <v>0.3315</v>
      </c>
      <c r="N18" s="23" t="n">
        <v>0.7544</v>
      </c>
      <c r="O18" s="24" t="n">
        <f aca="false">L18/$F$2</f>
        <v>0.302276068765742</v>
      </c>
      <c r="P18" s="47" t="n">
        <f aca="false">M18/$G$2</f>
        <v>0.00187941258010181</v>
      </c>
      <c r="Q18" s="26" t="n">
        <f aca="false">N18/$H$2</f>
        <v>0.00528927659467062</v>
      </c>
      <c r="R18" s="25" t="n">
        <f aca="false">O18*$K18/$I18</f>
        <v>1.22432786399839</v>
      </c>
      <c r="S18" s="47" t="n">
        <f aca="false">P18*$K18/$I18</f>
        <v>0.00761230354478042</v>
      </c>
      <c r="T18" s="26" t="n">
        <f aca="false">Q18*$K18/$I18</f>
        <v>0.0214234912531841</v>
      </c>
      <c r="U18" s="27" t="n">
        <v>98.6005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32</v>
      </c>
      <c r="C19" s="34" t="n">
        <v>15</v>
      </c>
      <c r="D19" s="34" t="n">
        <v>2.797</v>
      </c>
      <c r="E19" s="34" t="n">
        <v>100</v>
      </c>
      <c r="F19" s="34" t="n">
        <v>2.9859</v>
      </c>
      <c r="G19" s="30" t="n">
        <f aca="false">1000-E19</f>
        <v>900</v>
      </c>
      <c r="H19" s="34" t="n">
        <v>3.5978</v>
      </c>
      <c r="I19" s="35" t="n">
        <f aca="false">F19-D19</f>
        <v>0.1889</v>
      </c>
      <c r="J19" s="35" t="n">
        <f aca="false">H19-F19</f>
        <v>0.6119</v>
      </c>
      <c r="K19" s="35" t="n">
        <f aca="false">J19+I19</f>
        <v>0.8008</v>
      </c>
      <c r="L19" s="36" t="n">
        <v>2552.0538</v>
      </c>
      <c r="M19" s="36" t="n">
        <v>489.9162</v>
      </c>
      <c r="N19" s="36" t="n">
        <v>436.5485</v>
      </c>
      <c r="O19" s="52" t="n">
        <f aca="false">L19/$F$2</f>
        <v>13.6244545261384</v>
      </c>
      <c r="P19" s="53" t="n">
        <f aca="false">M19/$G$2</f>
        <v>2.77754048107293</v>
      </c>
      <c r="Q19" s="54" t="n">
        <f aca="false">N19/$H$2</f>
        <v>3.06074464937509</v>
      </c>
      <c r="R19" s="55" t="n">
        <f aca="false">O19*$K19/$I19</f>
        <v>57.75787816057</v>
      </c>
      <c r="S19" s="53" t="n">
        <f aca="false">P19*$K19/$I19</f>
        <v>11.7747719282329</v>
      </c>
      <c r="T19" s="54" t="n">
        <f aca="false">Q19*$K19/$I19</f>
        <v>12.9753537068267</v>
      </c>
      <c r="U19" s="2" t="n">
        <v>5.4714</v>
      </c>
      <c r="V19" s="2"/>
      <c r="W19" s="51" t="n">
        <f aca="false">AVERAGE(R19:R20)/100</f>
        <v>0.57804979089229</v>
      </c>
      <c r="X19" s="0" t="n">
        <f aca="false">AVERAGE(S19:S20)/100</f>
        <v>0.118196481925081</v>
      </c>
      <c r="Y19" s="1" t="n">
        <f aca="false">AVERAGE(T19:T20)/100</f>
        <v>0.130419218985655</v>
      </c>
      <c r="Z19" s="33" t="n">
        <f aca="false">AVERAGE(U19:V20)/100</f>
        <v>0.0557895</v>
      </c>
      <c r="AA19" s="2" t="n">
        <f aca="false">SUM(W19:Z19)</f>
        <v>0.882454991803027</v>
      </c>
      <c r="AD19" s="0" t="n">
        <v>0.66024369892696</v>
      </c>
      <c r="AE19" s="0" t="n">
        <v>0.135003045855111</v>
      </c>
      <c r="AF19" s="0" t="n">
        <v>0.148963755217929</v>
      </c>
      <c r="AG19" s="0" t="n">
        <v>0.0557895</v>
      </c>
    </row>
    <row r="20" customFormat="false" ht="14.25" hidden="false" customHeight="true" outlineLevel="0" collapsed="false">
      <c r="A20" s="18"/>
      <c r="B20" s="34" t="s">
        <v>32</v>
      </c>
      <c r="C20" s="34" t="n">
        <v>16</v>
      </c>
      <c r="D20" s="34" t="n">
        <v>2.844</v>
      </c>
      <c r="E20" s="34" t="n">
        <v>100</v>
      </c>
      <c r="F20" s="34" t="n">
        <v>3.0682</v>
      </c>
      <c r="G20" s="30" t="n">
        <f aca="false">1000-E20</f>
        <v>900</v>
      </c>
      <c r="H20" s="34" t="n">
        <v>3.6788</v>
      </c>
      <c r="I20" s="35" t="n">
        <f aca="false">F20-D20</f>
        <v>0.2242</v>
      </c>
      <c r="J20" s="35" t="n">
        <f aca="false">H20-F20</f>
        <v>0.6106</v>
      </c>
      <c r="K20" s="35" t="n">
        <f aca="false">J20+I20</f>
        <v>0.8348</v>
      </c>
      <c r="L20" s="36" t="n">
        <v>2910.3341</v>
      </c>
      <c r="M20" s="36" t="n">
        <v>562.037</v>
      </c>
      <c r="N20" s="36" t="n">
        <v>502.1243</v>
      </c>
      <c r="O20" s="52" t="n">
        <f aca="false">L20/$F$2</f>
        <v>15.5371781744256</v>
      </c>
      <c r="P20" s="53" t="n">
        <f aca="false">M20/$G$2</f>
        <v>3.18642355439723</v>
      </c>
      <c r="Q20" s="54" t="n">
        <f aca="false">N20/$H$2</f>
        <v>3.52051207264763</v>
      </c>
      <c r="R20" s="55" t="n">
        <f aca="false">O20*$K20/$I20</f>
        <v>57.8520800178881</v>
      </c>
      <c r="S20" s="53" t="n">
        <f aca="false">P20*$K20/$I20</f>
        <v>11.8645244567833</v>
      </c>
      <c r="T20" s="54" t="n">
        <f aca="false">Q20*$K20/$I20</f>
        <v>13.1084900903044</v>
      </c>
      <c r="U20" s="2" t="n">
        <v>5.6865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59</v>
      </c>
      <c r="B21" s="19" t="s">
        <v>31</v>
      </c>
      <c r="C21" s="20" t="n">
        <v>17</v>
      </c>
      <c r="D21" s="19" t="n">
        <v>2.8171</v>
      </c>
      <c r="E21" s="19" t="n">
        <v>300</v>
      </c>
      <c r="F21" s="20" t="n">
        <v>3.0182</v>
      </c>
      <c r="G21" s="19" t="n">
        <f aca="false">1000-E21</f>
        <v>700</v>
      </c>
      <c r="H21" s="20" t="n">
        <v>3.6413</v>
      </c>
      <c r="I21" s="22" t="n">
        <f aca="false">F21-D21</f>
        <v>0.2011</v>
      </c>
      <c r="J21" s="22" t="n">
        <f aca="false">H21-F21</f>
        <v>0.6231</v>
      </c>
      <c r="K21" s="22" t="n">
        <f aca="false">J21+I21</f>
        <v>0.8242</v>
      </c>
      <c r="L21" s="23" t="n">
        <v>28.4676</v>
      </c>
      <c r="M21" s="23" t="n">
        <v>15.6783</v>
      </c>
      <c r="N21" s="23" t="n">
        <v>14.9531</v>
      </c>
      <c r="O21" s="24" t="n">
        <f aca="false">L21/$F$2</f>
        <v>0.151977799867816</v>
      </c>
      <c r="P21" s="47" t="n">
        <f aca="false">M21/$G$2</f>
        <v>0.0888868604965618</v>
      </c>
      <c r="Q21" s="26" t="n">
        <f aca="false">N21/$H$2</f>
        <v>0.104839716129068</v>
      </c>
      <c r="R21" s="25" t="n">
        <f aca="false">O21*$K21/$I21</f>
        <v>0.622874702392111</v>
      </c>
      <c r="S21" s="47" t="n">
        <f aca="false">P21*$K21/$I21</f>
        <v>0.364299107017733</v>
      </c>
      <c r="T21" s="26" t="n">
        <f aca="false">Q21*$K21/$I21</f>
        <v>0.429681223438976</v>
      </c>
      <c r="U21" s="27" t="n">
        <v>99.6359</v>
      </c>
      <c r="V21" s="27"/>
      <c r="W21" s="56" t="n">
        <f aca="false">AVERAGE(R21:R22)/100</f>
        <v>0.00563439850481877</v>
      </c>
      <c r="X21" s="57" t="n">
        <f aca="false">AVERAGE(S21:S22)/100</f>
        <v>0.00286184681632068</v>
      </c>
      <c r="Y21" s="57" t="n">
        <f aca="false">AVERAGE(T21:T22)/100</f>
        <v>0.00344526894465796</v>
      </c>
      <c r="Z21" s="29" t="n">
        <f aca="false">AVERAGE(U21:V22)/100</f>
        <v>0.9930095</v>
      </c>
      <c r="AA21" s="2" t="n">
        <f aca="false">SUM(W21:Z21)</f>
        <v>1.0049510142658</v>
      </c>
      <c r="AD21" s="0" t="n">
        <v>0.00563439850481877</v>
      </c>
      <c r="AE21" s="0" t="n">
        <v>0.00286184681632068</v>
      </c>
      <c r="AF21" s="0" t="n">
        <v>0.00344526894465796</v>
      </c>
      <c r="AG21" s="0" t="n">
        <v>0.988058485734203</v>
      </c>
    </row>
    <row r="22" customFormat="false" ht="14.25" hidden="false" customHeight="true" outlineLevel="0" collapsed="false">
      <c r="A22" s="18"/>
      <c r="B22" s="20" t="s">
        <v>31</v>
      </c>
      <c r="C22" s="20" t="n">
        <v>18</v>
      </c>
      <c r="D22" s="20" t="n">
        <v>2.8546</v>
      </c>
      <c r="E22" s="20" t="n">
        <v>300</v>
      </c>
      <c r="F22" s="20" t="n">
        <v>3.0634</v>
      </c>
      <c r="G22" s="19" t="n">
        <f aca="false">1000-E22</f>
        <v>700</v>
      </c>
      <c r="H22" s="20" t="n">
        <v>3.6714</v>
      </c>
      <c r="I22" s="22" t="n">
        <f aca="false">F22-D22</f>
        <v>0.2088</v>
      </c>
      <c r="J22" s="22" t="n">
        <f aca="false">H22-F22</f>
        <v>0.608</v>
      </c>
      <c r="K22" s="22" t="n">
        <f aca="false">J22+I22</f>
        <v>0.8168</v>
      </c>
      <c r="L22" s="23" t="n">
        <v>24.1335</v>
      </c>
      <c r="M22" s="23" t="n">
        <v>9.3818</v>
      </c>
      <c r="N22" s="23" t="n">
        <v>9.4568</v>
      </c>
      <c r="O22" s="24" t="n">
        <f aca="false">L22/$F$2</f>
        <v>0.12883967152517</v>
      </c>
      <c r="P22" s="47" t="n">
        <f aca="false">M22/$G$2</f>
        <v>0.053189360313723</v>
      </c>
      <c r="Q22" s="26" t="n">
        <f aca="false">N22/$H$2</f>
        <v>0.0663038585637342</v>
      </c>
      <c r="R22" s="25" t="n">
        <f aca="false">O22*$K22/$I22</f>
        <v>0.504004998571642</v>
      </c>
      <c r="S22" s="47" t="n">
        <f aca="false">P22*$K22/$I22</f>
        <v>0.208070256246403</v>
      </c>
      <c r="T22" s="26" t="n">
        <f aca="false">Q22*$K22/$I22</f>
        <v>0.259372565492615</v>
      </c>
      <c r="U22" s="27" t="n">
        <v>98.966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32</v>
      </c>
      <c r="C23" s="34" t="n">
        <v>19</v>
      </c>
      <c r="D23" s="34" t="n">
        <v>2.8415</v>
      </c>
      <c r="E23" s="34" t="n">
        <v>100</v>
      </c>
      <c r="F23" s="34" t="n">
        <v>3.0318</v>
      </c>
      <c r="G23" s="30" t="n">
        <f aca="false">1000-E23</f>
        <v>900</v>
      </c>
      <c r="H23" s="34" t="n">
        <v>3.6222</v>
      </c>
      <c r="I23" s="35" t="n">
        <f aca="false">F23-D23</f>
        <v>0.1903</v>
      </c>
      <c r="J23" s="35" t="n">
        <f aca="false">H23-F23</f>
        <v>0.5904</v>
      </c>
      <c r="K23" s="35" t="n">
        <f aca="false">J23+I23</f>
        <v>0.7807</v>
      </c>
      <c r="L23" s="36" t="n">
        <v>864.6152</v>
      </c>
      <c r="M23" s="36" t="n">
        <v>1206.4066</v>
      </c>
      <c r="N23" s="36" t="n">
        <v>1065.0018</v>
      </c>
      <c r="O23" s="52" t="n">
        <f aca="false">L23/$F$2</f>
        <v>4.61585507131867</v>
      </c>
      <c r="P23" s="53" t="n">
        <f aca="false">M23/$G$2</f>
        <v>6.83962516065718</v>
      </c>
      <c r="Q23" s="54" t="n">
        <f aca="false">N23/$H$2</f>
        <v>7.46697918083521</v>
      </c>
      <c r="R23" s="55" t="n">
        <f aca="false">O23*$K23/$I23</f>
        <v>18.93640595995</v>
      </c>
      <c r="S23" s="53" t="n">
        <f aca="false">P23*$K23/$I23</f>
        <v>28.0593555592488</v>
      </c>
      <c r="T23" s="54" t="n">
        <f aca="false">Q23*$K23/$I23</f>
        <v>30.6330564712456</v>
      </c>
      <c r="U23" s="2" t="n">
        <v>3.5236</v>
      </c>
      <c r="V23" s="2"/>
      <c r="W23" s="51" t="n">
        <f aca="false">AVERAGE(R23:R24)/100</f>
        <v>0.194922284512713</v>
      </c>
      <c r="X23" s="0" t="n">
        <f aca="false">AVERAGE(S23:S24)/100</f>
        <v>0.288443368841023</v>
      </c>
      <c r="Y23" s="1" t="n">
        <f aca="false">AVERAGE(T23:T24)/100</f>
        <v>0.315932348496747</v>
      </c>
      <c r="Z23" s="33" t="n">
        <f aca="false">AVERAGE(U23:V24)/100</f>
        <v>0.0351605</v>
      </c>
      <c r="AA23" s="2" t="n">
        <f aca="false">SUM(W23:Z23)</f>
        <v>0.834458501850483</v>
      </c>
      <c r="AD23" s="0" t="n">
        <v>0.235292367918722</v>
      </c>
      <c r="AE23" s="0" t="n">
        <v>0.348182474029189</v>
      </c>
      <c r="AF23" s="0" t="n">
        <v>0.381364658052089</v>
      </c>
      <c r="AG23" s="0" t="n">
        <v>0.0351605</v>
      </c>
    </row>
    <row r="24" customFormat="false" ht="14.25" hidden="false" customHeight="true" outlineLevel="0" collapsed="false">
      <c r="A24" s="18"/>
      <c r="B24" s="34" t="s">
        <v>32</v>
      </c>
      <c r="C24" s="34" t="n">
        <v>20</v>
      </c>
      <c r="D24" s="34" t="n">
        <v>2.8375</v>
      </c>
      <c r="E24" s="34" t="n">
        <v>100</v>
      </c>
      <c r="F24" s="34" t="n">
        <v>3.0545</v>
      </c>
      <c r="G24" s="30" t="n">
        <f aca="false">1000-E24</f>
        <v>900</v>
      </c>
      <c r="H24" s="34" t="n">
        <v>3.6628</v>
      </c>
      <c r="I24" s="35" t="n">
        <f aca="false">F24-D24</f>
        <v>0.217</v>
      </c>
      <c r="J24" s="35" t="n">
        <f aca="false">H24-F24</f>
        <v>0.6083</v>
      </c>
      <c r="K24" s="35" t="n">
        <f aca="false">J24+I24</f>
        <v>0.8253</v>
      </c>
      <c r="L24" s="36" t="n">
        <v>987.3946</v>
      </c>
      <c r="M24" s="36" t="n">
        <v>1374.1399</v>
      </c>
      <c r="N24" s="36" t="n">
        <v>1220.8149</v>
      </c>
      <c r="O24" s="58" t="n">
        <f aca="false">L24/$F$2</f>
        <v>5.27132806802688</v>
      </c>
      <c r="P24" s="59" t="n">
        <f aca="false">M24/$G$2</f>
        <v>7.79057561049727</v>
      </c>
      <c r="Q24" s="60" t="n">
        <f aca="false">N24/$H$2</f>
        <v>8.5594216291028</v>
      </c>
      <c r="R24" s="55" t="n">
        <f aca="false">O24*$K24/$I24</f>
        <v>20.0480509425925</v>
      </c>
      <c r="S24" s="53" t="n">
        <f aca="false">P24*$K24/$I24</f>
        <v>29.6293182089557</v>
      </c>
      <c r="T24" s="54" t="n">
        <f aca="false">Q24*$K24/$I24</f>
        <v>32.5534132281039</v>
      </c>
      <c r="U24" s="42" t="n">
        <v>3.5085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37</v>
      </c>
      <c r="B25" s="1" t="s">
        <v>31</v>
      </c>
      <c r="C25" s="1" t="n">
        <v>1</v>
      </c>
      <c r="D25" s="1" t="n">
        <v>2.7782</v>
      </c>
      <c r="F25" s="1" t="n">
        <v>3.0825</v>
      </c>
      <c r="G25" s="2" t="n">
        <f aca="false">1000-E25</f>
        <v>1000</v>
      </c>
      <c r="H25" s="1" t="n">
        <v>3.5059</v>
      </c>
      <c r="I25" s="1" t="n">
        <f aca="false">F25-D25</f>
        <v>0.3043</v>
      </c>
      <c r="J25" s="1" t="n">
        <f aca="false">H25-F25</f>
        <v>0.4234</v>
      </c>
      <c r="K25" s="1" t="n">
        <f aca="false">J25+I25</f>
        <v>0.7277</v>
      </c>
      <c r="M25" s="1" t="n">
        <v>3.74</v>
      </c>
      <c r="N25" s="1" t="n">
        <v>3.41</v>
      </c>
      <c r="P25" s="1" t="n">
        <f aca="false">M25/$G$2</f>
        <v>0.021203629108841</v>
      </c>
      <c r="Q25" s="1" t="n">
        <f aca="false">N25/$H$2</f>
        <v>0.0239083154663664</v>
      </c>
      <c r="S25" s="1" t="n">
        <f aca="false">P25*$K25/$I25</f>
        <v>0.0507061482172316</v>
      </c>
      <c r="T25" s="1" t="n">
        <f aca="false">Q25*$K25/$I25</f>
        <v>0.0571741083301835</v>
      </c>
      <c r="X25" s="1" t="n">
        <f aca="false">AVERAGE(S25:S26)/100</f>
        <v>0.000475018945743764</v>
      </c>
      <c r="Y25" s="1" t="n">
        <f aca="false">AVERAGE(T25:T26)/100</f>
        <v>0.000563182330969825</v>
      </c>
      <c r="Z25" s="1" t="e">
        <f aca="false">AVERAGE(U25:V26)/100</f>
        <v>#DIV/0!</v>
      </c>
      <c r="AA25" s="1" t="e">
        <f aca="false">SUM(W25:Z25)</f>
        <v>#DIV/0!</v>
      </c>
      <c r="AE25" s="1" t="str">
        <f aca="false">IFERROR(X25/$AA25,"")</f>
        <v/>
      </c>
      <c r="AF25" s="1" t="str">
        <f aca="false">IFERROR(Y25/$AA25,"")</f>
        <v/>
      </c>
      <c r="AG25" s="1" t="str">
        <f aca="false">IFERROR(Z25/$AA25,"")</f>
        <v/>
      </c>
    </row>
    <row r="26" customFormat="false" ht="14.25" hidden="false" customHeight="true" outlineLevel="0" collapsed="false">
      <c r="A26" s="45"/>
      <c r="B26" s="1" t="s">
        <v>31</v>
      </c>
      <c r="C26" s="1" t="n">
        <v>2</v>
      </c>
      <c r="D26" s="1" t="n">
        <v>2.7759</v>
      </c>
      <c r="F26" s="1" t="n">
        <v>3.0842</v>
      </c>
      <c r="G26" s="2" t="n">
        <f aca="false">1000-E26</f>
        <v>1000</v>
      </c>
      <c r="H26" s="1" t="n">
        <v>3.524</v>
      </c>
      <c r="I26" s="1" t="n">
        <f aca="false">F26-D26</f>
        <v>0.3083</v>
      </c>
      <c r="J26" s="1" t="n">
        <f aca="false">H26-F26</f>
        <v>0.4398</v>
      </c>
      <c r="K26" s="1" t="n">
        <f aca="false">J26+I26</f>
        <v>0.7481</v>
      </c>
      <c r="M26" s="1" t="n">
        <v>3.22</v>
      </c>
      <c r="N26" s="1" t="n">
        <v>3.26</v>
      </c>
      <c r="P26" s="1" t="n">
        <f aca="false">M26/$G$2</f>
        <v>0.0182555309439754</v>
      </c>
      <c r="Q26" s="1" t="n">
        <f aca="false">N26/$H$2</f>
        <v>0.0228566300352946</v>
      </c>
      <c r="S26" s="1" t="n">
        <f aca="false">P26*$K26/$I26</f>
        <v>0.0442976409315212</v>
      </c>
      <c r="T26" s="1" t="n">
        <f aca="false">Q26*$K26/$I26</f>
        <v>0.0554623578637816</v>
      </c>
    </row>
    <row r="27" customFormat="false" ht="14.25" hidden="false" customHeight="true" outlineLevel="0" collapsed="false">
      <c r="A27" s="45"/>
      <c r="B27" s="1" t="s">
        <v>32</v>
      </c>
      <c r="C27" s="1" t="n">
        <v>3</v>
      </c>
      <c r="D27" s="1" t="n">
        <v>2.7654</v>
      </c>
      <c r="F27" s="1" t="n">
        <v>3.0632</v>
      </c>
      <c r="G27" s="2" t="n">
        <f aca="false">1000-E27</f>
        <v>1000</v>
      </c>
      <c r="H27" s="1" t="n">
        <v>3.544</v>
      </c>
      <c r="I27" s="1" t="n">
        <f aca="false">F27-D27</f>
        <v>0.2978</v>
      </c>
      <c r="J27" s="1" t="n">
        <f aca="false">H27-F27</f>
        <v>0.4808</v>
      </c>
      <c r="K27" s="1" t="n">
        <f aca="false">J27+I27</f>
        <v>0.7786</v>
      </c>
      <c r="M27" s="1" t="n">
        <v>3069.29</v>
      </c>
      <c r="N27" s="1" t="n">
        <v>2601.67</v>
      </c>
      <c r="P27" s="1" t="n">
        <f aca="false">M27/$G$2</f>
        <v>17.4010927239236</v>
      </c>
      <c r="Q27" s="1" t="n">
        <f aca="false">N27/$H$2</f>
        <v>18.2409229030444</v>
      </c>
      <c r="S27" s="1" t="n">
        <f aca="false">P27*$K27/$I27</f>
        <v>45.4952679477735</v>
      </c>
      <c r="T27" s="1" t="n">
        <f aca="false">Q27*$K27/$I27</f>
        <v>47.6910093093028</v>
      </c>
      <c r="U27" s="1" t="n">
        <v>2.9064</v>
      </c>
      <c r="X27" s="1" t="n">
        <f aca="false">AVERAGE(S27:S28)/100</f>
        <v>0.456317726241539</v>
      </c>
      <c r="Y27" s="1" t="n">
        <f aca="false">AVERAGE(T27:T28)/100</f>
        <v>0.478393701856602</v>
      </c>
      <c r="Z27" s="1" t="n">
        <f aca="false">AVERAGE(U27:V28)/100</f>
        <v>0.029216</v>
      </c>
      <c r="AA27" s="1" t="n">
        <f aca="false">SUM(W27:Z27)</f>
        <v>0.963927428098141</v>
      </c>
      <c r="AE27" s="1" t="n">
        <f aca="false">IFERROR(X27/$AA27,"")</f>
        <v>0.4733942752743</v>
      </c>
      <c r="AF27" s="1" t="n">
        <f aca="false">IFERROR(Y27/$AA27,"")</f>
        <v>0.496296389034688</v>
      </c>
      <c r="AG27" s="1" t="n">
        <f aca="false">IFERROR(Z27/$AA27,"")</f>
        <v>0.0303093356910116</v>
      </c>
    </row>
    <row r="28" customFormat="false" ht="14.25" hidden="false" customHeight="true" outlineLevel="0" collapsed="false">
      <c r="A28" s="45"/>
      <c r="B28" s="1" t="s">
        <v>32</v>
      </c>
      <c r="C28" s="1" t="n">
        <v>4</v>
      </c>
      <c r="D28" s="1" t="n">
        <v>2.7345</v>
      </c>
      <c r="F28" s="1" t="n">
        <v>3.038</v>
      </c>
      <c r="G28" s="2" t="n">
        <f aca="false">1000-E28</f>
        <v>1000</v>
      </c>
      <c r="H28" s="1" t="n">
        <v>3.5149</v>
      </c>
      <c r="I28" s="1" t="n">
        <f aca="false">F28-D28</f>
        <v>0.3035</v>
      </c>
      <c r="J28" s="1" t="n">
        <f aca="false">H28-F28</f>
        <v>0.4769</v>
      </c>
      <c r="K28" s="1" t="n">
        <f aca="false">J28+I28</f>
        <v>0.7804</v>
      </c>
      <c r="M28" s="1" t="n">
        <v>3139.55</v>
      </c>
      <c r="N28" s="1" t="n">
        <v>2661.81</v>
      </c>
      <c r="P28" s="1" t="n">
        <f aca="false">M28/$G$2</f>
        <v>17.7994261413534</v>
      </c>
      <c r="Q28" s="1" t="n">
        <f aca="false">N28/$H$2</f>
        <v>18.6625786485422</v>
      </c>
      <c r="S28" s="1" t="n">
        <f aca="false">P28*$K28/$I28</f>
        <v>45.7682773005344</v>
      </c>
      <c r="T28" s="1" t="n">
        <f aca="false">Q28*$K28/$I28</f>
        <v>47.9877310620175</v>
      </c>
      <c r="U28" s="1" t="n">
        <v>2.9368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60</v>
      </c>
    </row>
    <row r="2" customFormat="false" ht="14.25" hidden="false" customHeight="true" outlineLevel="0" collapsed="false">
      <c r="E2" s="1" t="s">
        <v>2</v>
      </c>
      <c r="F2" s="1" t="n">
        <v>187.3142</v>
      </c>
      <c r="G2" s="2" t="n">
        <v>176.3849</v>
      </c>
      <c r="H2" s="4" t="n">
        <v>170.3662</v>
      </c>
    </row>
    <row r="3" customFormat="false" ht="14.25" hidden="false" customHeight="true" outlineLevel="0" collapsed="false">
      <c r="M3" s="1" t="s">
        <v>3</v>
      </c>
      <c r="N3" s="1" t="s">
        <v>61</v>
      </c>
      <c r="O3" s="5" t="s">
        <v>5</v>
      </c>
      <c r="P3" s="5"/>
      <c r="Q3" s="5"/>
      <c r="R3" s="6" t="s">
        <v>6</v>
      </c>
      <c r="S3" s="6"/>
      <c r="T3" s="6"/>
      <c r="U3" s="7" t="s">
        <v>7</v>
      </c>
      <c r="V3" s="7"/>
    </row>
    <row r="4" customFormat="false" ht="14.25" hidden="false" customHeight="true" outlineLevel="0" collapsed="false">
      <c r="A4" s="8" t="s">
        <v>8</v>
      </c>
      <c r="B4" s="8" t="s">
        <v>9</v>
      </c>
      <c r="C4" s="8" t="s">
        <v>10</v>
      </c>
      <c r="D4" s="8" t="s">
        <v>11</v>
      </c>
      <c r="E4" s="8" t="s">
        <v>12</v>
      </c>
      <c r="F4" s="8" t="s">
        <v>13</v>
      </c>
      <c r="G4" s="8" t="s">
        <v>14</v>
      </c>
      <c r="H4" s="8" t="s">
        <v>15</v>
      </c>
      <c r="I4" s="9" t="s">
        <v>16</v>
      </c>
      <c r="J4" s="9" t="s">
        <v>17</v>
      </c>
      <c r="K4" s="9" t="s">
        <v>18</v>
      </c>
      <c r="L4" s="9" t="s">
        <v>19</v>
      </c>
      <c r="M4" s="10" t="s">
        <v>40</v>
      </c>
      <c r="N4" s="11" t="s">
        <v>21</v>
      </c>
      <c r="O4" s="12" t="s">
        <v>22</v>
      </c>
      <c r="P4" s="13" t="s">
        <v>23</v>
      </c>
      <c r="Q4" s="14" t="s">
        <v>24</v>
      </c>
      <c r="R4" s="12" t="s">
        <v>22</v>
      </c>
      <c r="S4" s="13" t="s">
        <v>23</v>
      </c>
      <c r="T4" s="14" t="s">
        <v>24</v>
      </c>
      <c r="U4" s="15" t="n">
        <v>1</v>
      </c>
      <c r="V4" s="15" t="n">
        <v>2</v>
      </c>
      <c r="W4" s="16" t="s">
        <v>25</v>
      </c>
      <c r="X4" s="15" t="s">
        <v>26</v>
      </c>
      <c r="Y4" s="15" t="s">
        <v>27</v>
      </c>
      <c r="Z4" s="17" t="s">
        <v>28</v>
      </c>
    </row>
    <row r="5" customFormat="false" ht="14.25" hidden="false" customHeight="true" outlineLevel="0" collapsed="false">
      <c r="A5" s="18" t="s">
        <v>62</v>
      </c>
      <c r="B5" s="19" t="s">
        <v>31</v>
      </c>
      <c r="C5" s="20" t="n">
        <v>1</v>
      </c>
      <c r="D5" s="21" t="n">
        <v>2.8242</v>
      </c>
      <c r="E5" s="19" t="n">
        <v>300</v>
      </c>
      <c r="F5" s="20" t="n">
        <v>2.9878</v>
      </c>
      <c r="G5" s="19" t="n">
        <f aca="false">1000-E5</f>
        <v>700</v>
      </c>
      <c r="H5" s="20" t="n">
        <v>3.6215</v>
      </c>
      <c r="I5" s="22" t="n">
        <f aca="false">F5-D5</f>
        <v>0.1636</v>
      </c>
      <c r="J5" s="22" t="n">
        <f aca="false">H5-F5</f>
        <v>0.6337</v>
      </c>
      <c r="K5" s="22" t="n">
        <f aca="false">J5+I5</f>
        <v>0.7973</v>
      </c>
      <c r="L5" s="23" t="n">
        <v>196.6166</v>
      </c>
      <c r="M5" s="23" t="n">
        <v>2077.8537</v>
      </c>
      <c r="N5" s="23" t="n">
        <v>1940.8217</v>
      </c>
      <c r="O5" s="24" t="n">
        <f aca="false">L5/$F$2</f>
        <v>1.04966201174284</v>
      </c>
      <c r="P5" s="47" t="n">
        <f aca="false">M5/$G$2</f>
        <v>11.7802243842869</v>
      </c>
      <c r="Q5" s="26" t="n">
        <f aca="false">N5/$H$2</f>
        <v>11.3920584012556</v>
      </c>
      <c r="R5" s="25" t="n">
        <f aca="false">O5*$K5/$I5</f>
        <v>5.11549830050466</v>
      </c>
      <c r="S5" s="47" t="n">
        <f aca="false">P5*$K5/$I5</f>
        <v>57.410592308019</v>
      </c>
      <c r="T5" s="26" t="n">
        <f aca="false">Q5*$K5/$I5</f>
        <v>55.5188763039188</v>
      </c>
      <c r="U5" s="27" t="n">
        <v>1.6603</v>
      </c>
      <c r="V5" s="27" t="n">
        <v>1.7084</v>
      </c>
      <c r="W5" s="48" t="n">
        <f aca="false">AVERAGE(R5:R6)/100</f>
        <v>0.0312191035145682</v>
      </c>
      <c r="X5" s="49" t="n">
        <f aca="false">AVERAGE(S5:S6)/100</f>
        <v>0.287073312230071</v>
      </c>
      <c r="Y5" s="49" t="n">
        <f aca="false">AVERAGE(T5:T6)/100</f>
        <v>0.277617678340203</v>
      </c>
      <c r="Z5" s="50" t="n">
        <f aca="false">AVERAGE(U5:V6)/100</f>
        <v>0.016628</v>
      </c>
      <c r="AA5" s="2" t="n">
        <f aca="false">SUM(W5:Z5)</f>
        <v>0.612538094084842</v>
      </c>
      <c r="AD5" s="0" t="n">
        <v>0.0515178255345295</v>
      </c>
      <c r="AE5" s="0" t="n">
        <v>0.473728939980194</v>
      </c>
      <c r="AF5" s="0" t="n">
        <v>0.458125234485277</v>
      </c>
      <c r="AG5" s="0" t="n">
        <v>0.016628</v>
      </c>
    </row>
    <row r="6" customFormat="false" ht="14.25" hidden="false" customHeight="true" outlineLevel="0" collapsed="false">
      <c r="A6" s="18"/>
      <c r="B6" s="20" t="s">
        <v>31</v>
      </c>
      <c r="C6" s="20" t="n">
        <v>2</v>
      </c>
      <c r="D6" s="20" t="n">
        <v>2.8409</v>
      </c>
      <c r="E6" s="20" t="n">
        <v>300</v>
      </c>
      <c r="F6" s="20" t="n">
        <v>3.0311</v>
      </c>
      <c r="G6" s="19" t="n">
        <f aca="false">1000-E6</f>
        <v>700</v>
      </c>
      <c r="H6" s="20" t="n">
        <v>3.661</v>
      </c>
      <c r="I6" s="22" t="n">
        <f aca="false">F6-D6</f>
        <v>0.1902</v>
      </c>
      <c r="J6" s="22" t="n">
        <f aca="false">H6-F6</f>
        <v>0.6299</v>
      </c>
      <c r="K6" s="22" t="n">
        <f aca="false">J6+I6</f>
        <v>0.8201</v>
      </c>
      <c r="L6" s="23" t="n">
        <v>49.0171</v>
      </c>
      <c r="M6" s="23" t="n">
        <v>0.1665</v>
      </c>
      <c r="N6" s="23" t="n">
        <v>0.1841</v>
      </c>
      <c r="O6" s="24" t="n">
        <f aca="false">L6/$F$2</f>
        <v>0.26168384457772</v>
      </c>
      <c r="P6" s="47" t="n">
        <f aca="false">M6/$G$2</f>
        <v>0.00094395835471177</v>
      </c>
      <c r="Q6" s="26" t="n">
        <f aca="false">N6/$H$2</f>
        <v>0.00108061340805864</v>
      </c>
      <c r="R6" s="25" t="n">
        <f aca="false">O6*$K6/$I6</f>
        <v>1.12832240240898</v>
      </c>
      <c r="S6" s="47" t="n">
        <f aca="false">P6*$K6/$I6</f>
        <v>0.00407013799526353</v>
      </c>
      <c r="T6" s="26" t="n">
        <f aca="false">Q6*$K6/$I6</f>
        <v>0.00465936412170816</v>
      </c>
      <c r="U6" s="27" t="n">
        <v>1.6197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32</v>
      </c>
      <c r="C7" s="34" t="n">
        <v>3</v>
      </c>
      <c r="D7" s="34" t="n">
        <v>2.751</v>
      </c>
      <c r="E7" s="34" t="n">
        <v>100</v>
      </c>
      <c r="F7" s="34" t="n">
        <v>2.9515</v>
      </c>
      <c r="G7" s="30" t="n">
        <f aca="false">1000-E7</f>
        <v>900</v>
      </c>
      <c r="H7" s="34" t="n">
        <v>3.5894</v>
      </c>
      <c r="I7" s="35" t="n">
        <f aca="false">F7-D7</f>
        <v>0.2005</v>
      </c>
      <c r="J7" s="35" t="n">
        <f aca="false">H7-F7</f>
        <v>0.6379</v>
      </c>
      <c r="K7" s="35" t="n">
        <f aca="false">J7+I7</f>
        <v>0.8384</v>
      </c>
      <c r="L7" s="1" t="n">
        <v>5.1491</v>
      </c>
      <c r="M7" s="1" t="n">
        <v>0.7548</v>
      </c>
      <c r="N7" s="36" t="n">
        <v>1.512</v>
      </c>
      <c r="O7" s="52" t="n">
        <f aca="false">L7/$F$2</f>
        <v>0.0274891065386394</v>
      </c>
      <c r="P7" s="53" t="n">
        <f aca="false">M7/$G$2</f>
        <v>0.00427927787469336</v>
      </c>
      <c r="Q7" s="54" t="n">
        <f aca="false">N7/$H$2</f>
        <v>0.00887499985325728</v>
      </c>
      <c r="R7" s="55" t="n">
        <f aca="false">O7*$K7/$I7</f>
        <v>0.114946967191996</v>
      </c>
      <c r="S7" s="53" t="n">
        <f aca="false">P7*$K7/$I7</f>
        <v>0.0178939978560744</v>
      </c>
      <c r="T7" s="54" t="n">
        <f aca="false">Q7*$K7/$I7</f>
        <v>0.0371112213315257</v>
      </c>
      <c r="U7" s="2" t="n">
        <v>98.0875</v>
      </c>
      <c r="V7" s="2"/>
      <c r="W7" s="51" t="n">
        <f aca="false">AVERAGE(R7:R8)/100</f>
        <v>0.00113921046340982</v>
      </c>
      <c r="X7" s="0" t="n">
        <f aca="false">AVERAGE(S7:S8)/100</f>
        <v>0.000180265156284695</v>
      </c>
      <c r="Y7" s="1" t="n">
        <f aca="false">AVERAGE(T7:T8)/100</f>
        <v>0.000371912287304029</v>
      </c>
      <c r="Z7" s="33" t="n">
        <f aca="false">AVERAGE(U7:V8)/100</f>
        <v>0.984287</v>
      </c>
      <c r="AA7" s="2" t="n">
        <f aca="false">SUM(W7:Z7)</f>
        <v>0.985978387906999</v>
      </c>
      <c r="AD7" s="0" t="n">
        <v>0.00113921046340982</v>
      </c>
      <c r="AE7" s="0" t="n">
        <v>0.000180265156284695</v>
      </c>
      <c r="AF7" s="0" t="n">
        <v>0.000371912287304029</v>
      </c>
      <c r="AG7" s="0" t="n">
        <v>0.998308612093002</v>
      </c>
    </row>
    <row r="8" customFormat="false" ht="14.25" hidden="false" customHeight="true" outlineLevel="0" collapsed="false">
      <c r="A8" s="18"/>
      <c r="B8" s="34" t="s">
        <v>32</v>
      </c>
      <c r="C8" s="34" t="n">
        <v>4</v>
      </c>
      <c r="D8" s="34" t="n">
        <v>2.736</v>
      </c>
      <c r="E8" s="34" t="n">
        <v>100</v>
      </c>
      <c r="F8" s="34" t="n">
        <v>2.9446</v>
      </c>
      <c r="G8" s="30" t="n">
        <f aca="false">1000-E8</f>
        <v>900</v>
      </c>
      <c r="H8" s="34" t="n">
        <v>3.5794</v>
      </c>
      <c r="I8" s="35" t="n">
        <f aca="false">F8-D8</f>
        <v>0.2086</v>
      </c>
      <c r="J8" s="35" t="n">
        <f aca="false">H8-F8</f>
        <v>0.6348</v>
      </c>
      <c r="K8" s="35" t="n">
        <f aca="false">J8+I8</f>
        <v>0.8434</v>
      </c>
      <c r="L8" s="36" t="n">
        <v>5.2303</v>
      </c>
      <c r="M8" s="36" t="n">
        <v>0.7922</v>
      </c>
      <c r="N8" s="36" t="n">
        <v>1.5705</v>
      </c>
      <c r="O8" s="52" t="n">
        <f aca="false">L8/$F$2</f>
        <v>0.0279226027711727</v>
      </c>
      <c r="P8" s="53" t="n">
        <f aca="false">M8/$G$2</f>
        <v>0.00449131416578177</v>
      </c>
      <c r="Q8" s="54" t="n">
        <f aca="false">N8/$H$2</f>
        <v>0.00921837782377021</v>
      </c>
      <c r="R8" s="55" t="n">
        <f aca="false">O8*$K8/$I8</f>
        <v>0.112895125489967</v>
      </c>
      <c r="S8" s="53" t="n">
        <f aca="false">P8*$K8/$I8</f>
        <v>0.0181590334008646</v>
      </c>
      <c r="T8" s="54" t="n">
        <f aca="false">Q8*$K8/$I8</f>
        <v>0.03727123612928</v>
      </c>
      <c r="U8" s="2" t="n">
        <v>98.808</v>
      </c>
      <c r="V8" s="2" t="n">
        <v>98.3906</v>
      </c>
      <c r="W8" s="51"/>
      <c r="Z8" s="33"/>
      <c r="AA8" s="2"/>
    </row>
    <row r="9" customFormat="false" ht="14.25" hidden="false" customHeight="true" outlineLevel="0" collapsed="false">
      <c r="A9" s="18" t="s">
        <v>63</v>
      </c>
      <c r="B9" s="19" t="s">
        <v>31</v>
      </c>
      <c r="C9" s="20" t="n">
        <v>5</v>
      </c>
      <c r="D9" s="19" t="n">
        <v>2.752</v>
      </c>
      <c r="E9" s="19" t="n">
        <v>300</v>
      </c>
      <c r="F9" s="20" t="n">
        <v>2.8709</v>
      </c>
      <c r="G9" s="19" t="n">
        <f aca="false">1000-E9</f>
        <v>700</v>
      </c>
      <c r="H9" s="20" t="n">
        <v>3.5013</v>
      </c>
      <c r="I9" s="22" t="n">
        <f aca="false">F9-D9</f>
        <v>0.1189</v>
      </c>
      <c r="J9" s="22" t="n">
        <f aca="false">H9-F9</f>
        <v>0.6304</v>
      </c>
      <c r="K9" s="22" t="n">
        <f aca="false">J9+I9</f>
        <v>0.7493</v>
      </c>
      <c r="L9" s="23" t="n">
        <v>47.7925</v>
      </c>
      <c r="M9" s="23" t="n">
        <v>0.0294</v>
      </c>
      <c r="N9" s="23" t="n">
        <v>0.0785</v>
      </c>
      <c r="O9" s="24" t="n">
        <f aca="false">L9/$F$2</f>
        <v>0.255146166174268</v>
      </c>
      <c r="P9" s="47" t="n">
        <f aca="false">M9/$G$2</f>
        <v>0.000166680934705862</v>
      </c>
      <c r="Q9" s="26" t="n">
        <f aca="false">N9/$H$2</f>
        <v>0.000460772148466069</v>
      </c>
      <c r="R9" s="25" t="n">
        <f aca="false">O9*$K9/$I9</f>
        <v>1.60791440129839</v>
      </c>
      <c r="S9" s="47" t="n">
        <f aca="false">P9*$K9/$I9</f>
        <v>0.00105041231602273</v>
      </c>
      <c r="T9" s="26" t="n">
        <f aca="false">Q9*$K9/$I9</f>
        <v>0.00290375585236018</v>
      </c>
      <c r="U9" s="27" t="n">
        <v>88.714</v>
      </c>
      <c r="V9" s="27" t="n">
        <v>89.9148</v>
      </c>
      <c r="W9" s="56" t="n">
        <f aca="false">AVERAGE(R9:R10)/100</f>
        <v>0.0463922449485327</v>
      </c>
      <c r="X9" s="57" t="n">
        <f aca="false">AVERAGE(S9:S10)/100</f>
        <v>0.436254971254253</v>
      </c>
      <c r="Y9" s="57" t="n">
        <f aca="false">AVERAGE(T9:T10)/100</f>
        <v>0.419727066332507</v>
      </c>
      <c r="Z9" s="29" t="n">
        <f aca="false">AVERAGE(U9:V10)/100</f>
        <v>0.92712775</v>
      </c>
      <c r="AA9" s="2" t="n">
        <f aca="false">SUM(W9:Z9)</f>
        <v>1.82950203253529</v>
      </c>
      <c r="AD9" s="0" t="n">
        <v>0.0160791440129839</v>
      </c>
      <c r="AE9" s="0" t="n">
        <v>1.05041231602273E-005</v>
      </c>
      <c r="AF9" s="0" t="n">
        <v>2.90375585236018E-005</v>
      </c>
      <c r="AG9" s="0" t="n">
        <v>0.983881314305332</v>
      </c>
    </row>
    <row r="10" customFormat="false" ht="14.25" hidden="false" customHeight="true" outlineLevel="0" collapsed="false">
      <c r="A10" s="18"/>
      <c r="B10" s="20" t="s">
        <v>31</v>
      </c>
      <c r="C10" s="20" t="n">
        <v>6</v>
      </c>
      <c r="D10" s="20" t="n">
        <v>2.8169</v>
      </c>
      <c r="E10" s="20" t="n">
        <v>300</v>
      </c>
      <c r="F10" s="20" t="n">
        <v>2.9387</v>
      </c>
      <c r="G10" s="19" t="n">
        <f aca="false">1000-E10</f>
        <v>700</v>
      </c>
      <c r="H10" s="20" t="n">
        <v>3.5666</v>
      </c>
      <c r="I10" s="22" t="n">
        <f aca="false">F10-D10</f>
        <v>0.1218</v>
      </c>
      <c r="J10" s="22" t="n">
        <f aca="false">H10-F10</f>
        <v>0.6279</v>
      </c>
      <c r="K10" s="22" t="n">
        <f aca="false">J10+I10</f>
        <v>0.7497</v>
      </c>
      <c r="L10" s="23" t="n">
        <v>233.4297</v>
      </c>
      <c r="M10" s="23" t="n">
        <v>2500.2667</v>
      </c>
      <c r="N10" s="23" t="n">
        <v>2323.4063</v>
      </c>
      <c r="O10" s="24" t="n">
        <f aca="false">L10/$F$2</f>
        <v>1.24619329447527</v>
      </c>
      <c r="P10" s="47" t="n">
        <f aca="false">M10/$G$2</f>
        <v>14.1750609037395</v>
      </c>
      <c r="Q10" s="26" t="n">
        <f aca="false">N10/$H$2</f>
        <v>13.6377186319822</v>
      </c>
      <c r="R10" s="25" t="n">
        <f aca="false">O10*$K10/$I10</f>
        <v>7.67053458840815</v>
      </c>
      <c r="S10" s="47" t="n">
        <f aca="false">P10*$K10/$I10</f>
        <v>87.2499438385346</v>
      </c>
      <c r="T10" s="26" t="n">
        <f aca="false">Q10*$K10/$I10</f>
        <v>83.942509510649</v>
      </c>
      <c r="U10" s="27" t="n">
        <v>99.5197</v>
      </c>
      <c r="V10" s="27" t="n">
        <v>92.7026</v>
      </c>
      <c r="W10" s="51"/>
      <c r="Z10" s="33"/>
      <c r="AA10" s="2"/>
    </row>
    <row r="11" customFormat="false" ht="14.25" hidden="false" customHeight="true" outlineLevel="0" collapsed="false">
      <c r="A11" s="18"/>
      <c r="B11" s="34" t="s">
        <v>32</v>
      </c>
      <c r="C11" s="34" t="n">
        <v>7</v>
      </c>
      <c r="D11" s="34" t="n">
        <v>2.7959</v>
      </c>
      <c r="E11" s="34" t="n">
        <v>100</v>
      </c>
      <c r="F11" s="34" t="n">
        <v>2.9182</v>
      </c>
      <c r="G11" s="30" t="n">
        <f aca="false">1000-E11</f>
        <v>900</v>
      </c>
      <c r="H11" s="34" t="n">
        <v>3.5465</v>
      </c>
      <c r="I11" s="35" t="n">
        <f aca="false">F11-D11</f>
        <v>0.1223</v>
      </c>
      <c r="J11" s="35" t="n">
        <f aca="false">H11-F11</f>
        <v>0.6283</v>
      </c>
      <c r="K11" s="35" t="n">
        <f aca="false">J11+I11</f>
        <v>0.7506</v>
      </c>
      <c r="L11" s="40" t="n">
        <v>2184.6416</v>
      </c>
      <c r="M11" s="40" t="n">
        <v>40.364</v>
      </c>
      <c r="N11" s="36" t="n">
        <v>38.4122</v>
      </c>
      <c r="O11" s="52" t="n">
        <f aca="false">L11/$F$2</f>
        <v>11.6629791014242</v>
      </c>
      <c r="P11" s="53" t="n">
        <f aca="false">M11/$G$2</f>
        <v>0.228840450628143</v>
      </c>
      <c r="Q11" s="54" t="n">
        <f aca="false">N11/$H$2</f>
        <v>0.225468432118578</v>
      </c>
      <c r="R11" s="55" t="n">
        <f aca="false">O11*$K11/$I11</f>
        <v>71.5799845750534</v>
      </c>
      <c r="S11" s="53" t="n">
        <f aca="false">P11*$K11/$I11</f>
        <v>1.40447785970143</v>
      </c>
      <c r="T11" s="54" t="n">
        <f aca="false">Q11*$K11/$I11</f>
        <v>1.38378254413904</v>
      </c>
      <c r="U11" s="2" t="n">
        <v>8.078</v>
      </c>
      <c r="V11" s="2"/>
      <c r="W11" s="51" t="n">
        <f aca="false">AVERAGE(R11:R12)/100</f>
        <v>0.713562862397184</v>
      </c>
      <c r="X11" s="0" t="n">
        <f aca="false">AVERAGE(S11:S12)/100</f>
        <v>0.0139994317788104</v>
      </c>
      <c r="Y11" s="1" t="n">
        <f aca="false">AVERAGE(T11:T12)/100</f>
        <v>0.0137846307528579</v>
      </c>
      <c r="Z11" s="33" t="n">
        <f aca="false">AVERAGE(U11:V12)/100</f>
        <v>0.081533</v>
      </c>
      <c r="AA11" s="2" t="n">
        <f aca="false">SUM(W11:Z11)</f>
        <v>0.822879924928853</v>
      </c>
      <c r="AD11" s="0" t="n">
        <v>0.884044864150819</v>
      </c>
      <c r="AE11" s="0" t="n">
        <v>0.0173441282012772</v>
      </c>
      <c r="AF11" s="0" t="n">
        <v>0.0170780076479041</v>
      </c>
      <c r="AG11" s="0" t="n">
        <v>0.081533</v>
      </c>
    </row>
    <row r="12" customFormat="false" ht="14.25" hidden="false" customHeight="true" outlineLevel="0" collapsed="false">
      <c r="A12" s="18"/>
      <c r="B12" s="34" t="s">
        <v>32</v>
      </c>
      <c r="C12" s="34" t="n">
        <v>8</v>
      </c>
      <c r="D12" s="34" t="n">
        <v>2.8006</v>
      </c>
      <c r="E12" s="34" t="n">
        <v>100</v>
      </c>
      <c r="F12" s="34" t="n">
        <v>2.931</v>
      </c>
      <c r="G12" s="30" t="n">
        <f aca="false">1000-E12</f>
        <v>900</v>
      </c>
      <c r="H12" s="34" t="n">
        <v>3.5408</v>
      </c>
      <c r="I12" s="35" t="n">
        <f aca="false">F12-D12</f>
        <v>0.1304</v>
      </c>
      <c r="J12" s="35" t="n">
        <f aca="false">H12-F12</f>
        <v>0.6098</v>
      </c>
      <c r="K12" s="35" t="n">
        <f aca="false">J12+I12</f>
        <v>0.7402</v>
      </c>
      <c r="L12" s="36" t="n">
        <v>2347.2958</v>
      </c>
      <c r="M12" s="36" t="n">
        <v>43.3602</v>
      </c>
      <c r="N12" s="36" t="n">
        <v>41.2124</v>
      </c>
      <c r="O12" s="52" t="n">
        <f aca="false">L12/$F$2</f>
        <v>12.5313286445982</v>
      </c>
      <c r="P12" s="53" t="n">
        <f aca="false">M12/$G$2</f>
        <v>0.245827165477317</v>
      </c>
      <c r="Q12" s="54" t="n">
        <f aca="false">N12/$H$2</f>
        <v>0.241904790973796</v>
      </c>
      <c r="R12" s="55" t="n">
        <f aca="false">O12*$K12/$I12</f>
        <v>71.1325879043835</v>
      </c>
      <c r="S12" s="53" t="n">
        <f aca="false">P12*$K12/$I12</f>
        <v>1.39540849606066</v>
      </c>
      <c r="T12" s="54" t="n">
        <f aca="false">Q12*$K12/$I12</f>
        <v>1.37314360643255</v>
      </c>
      <c r="U12" s="2" t="n">
        <v>8.2286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64</v>
      </c>
      <c r="B13" s="19" t="s">
        <v>31</v>
      </c>
      <c r="C13" s="20" t="n">
        <v>9</v>
      </c>
      <c r="D13" s="19" t="n">
        <v>2.7584</v>
      </c>
      <c r="E13" s="19" t="n">
        <v>300</v>
      </c>
      <c r="F13" s="20" t="n">
        <v>2.9397</v>
      </c>
      <c r="G13" s="19" t="n">
        <f aca="false">1000-E13</f>
        <v>700</v>
      </c>
      <c r="H13" s="20" t="n">
        <v>3.58</v>
      </c>
      <c r="I13" s="22" t="n">
        <f aca="false">F13-D13</f>
        <v>0.1813</v>
      </c>
      <c r="J13" s="22" t="n">
        <f aca="false">H13-F13</f>
        <v>0.6403</v>
      </c>
      <c r="K13" s="22" t="n">
        <f aca="false">J13+I13</f>
        <v>0.8216</v>
      </c>
      <c r="L13" s="23" t="n">
        <v>1568.3479</v>
      </c>
      <c r="M13" s="23" t="n">
        <v>839.7914</v>
      </c>
      <c r="N13" s="23" t="n">
        <v>801.4931</v>
      </c>
      <c r="O13" s="24" t="n">
        <f aca="false">L13/$F$2</f>
        <v>8.37281903881286</v>
      </c>
      <c r="P13" s="47" t="n">
        <f aca="false">M13/$G$2</f>
        <v>4.76112977924981</v>
      </c>
      <c r="Q13" s="26" t="n">
        <f aca="false">N13/$H$2</f>
        <v>4.70453118048064</v>
      </c>
      <c r="R13" s="25" t="n">
        <f aca="false">O13*$K13/$I13</f>
        <v>37.9432328863135</v>
      </c>
      <c r="S13" s="47" t="n">
        <f aca="false">P13*$K13/$I13</f>
        <v>21.5760850889776</v>
      </c>
      <c r="T13" s="26" t="n">
        <f aca="false">Q13*$K13/$I13</f>
        <v>21.3195963479475</v>
      </c>
      <c r="U13" s="27" t="n">
        <v>3.6077</v>
      </c>
      <c r="V13" s="27"/>
      <c r="W13" s="56" t="n">
        <f aca="false">AVERAGE(R13:R14)/100</f>
        <v>0.406578667987819</v>
      </c>
      <c r="X13" s="57" t="n">
        <f aca="false">AVERAGE(S13:S14)/100</f>
        <v>0.232505722994748</v>
      </c>
      <c r="Y13" s="57" t="n">
        <f aca="false">AVERAGE(T13:T14)/100</f>
        <v>0.228159844963981</v>
      </c>
      <c r="Z13" s="29" t="n">
        <f aca="false">AVERAGE(U13:V14)/100</f>
        <v>0.0356555</v>
      </c>
      <c r="AA13" s="2" t="n">
        <f aca="false">SUM(W13:Z13)</f>
        <v>0.902899735946548</v>
      </c>
      <c r="AD13" s="0" t="n">
        <v>0.452100903113463</v>
      </c>
      <c r="AE13" s="0" t="n">
        <v>0.258538028729346</v>
      </c>
      <c r="AF13" s="0" t="n">
        <v>0.253705568157191</v>
      </c>
      <c r="AG13" s="0" t="n">
        <v>0.0356555</v>
      </c>
    </row>
    <row r="14" customFormat="false" ht="14.25" hidden="false" customHeight="true" outlineLevel="0" collapsed="false">
      <c r="A14" s="18"/>
      <c r="B14" s="19" t="s">
        <v>31</v>
      </c>
      <c r="C14" s="20" t="n">
        <v>10</v>
      </c>
      <c r="D14" s="20" t="n">
        <v>2.7291</v>
      </c>
      <c r="E14" s="20" t="n">
        <v>300</v>
      </c>
      <c r="F14" s="20" t="n">
        <v>2.9304</v>
      </c>
      <c r="G14" s="19" t="n">
        <f aca="false">1000-E14</f>
        <v>700</v>
      </c>
      <c r="H14" s="20" t="n">
        <v>3.5726</v>
      </c>
      <c r="I14" s="22" t="n">
        <f aca="false">F14-D14</f>
        <v>0.2013</v>
      </c>
      <c r="J14" s="22" t="n">
        <f aca="false">H14-F14</f>
        <v>0.6422</v>
      </c>
      <c r="K14" s="22" t="n">
        <f aca="false">J14+I14</f>
        <v>0.8435</v>
      </c>
      <c r="L14" s="23" t="n">
        <v>1938.8484</v>
      </c>
      <c r="M14" s="23" t="n">
        <v>1049.1952</v>
      </c>
      <c r="N14" s="23" t="n">
        <v>988.4836</v>
      </c>
      <c r="O14" s="24" t="n">
        <f aca="false">L14/$F$2</f>
        <v>10.3507817346469</v>
      </c>
      <c r="P14" s="47" t="n">
        <f aca="false">M14/$G$2</f>
        <v>5.94832777635727</v>
      </c>
      <c r="Q14" s="26" t="n">
        <f aca="false">N14/$H$2</f>
        <v>5.80211098210795</v>
      </c>
      <c r="R14" s="25" t="n">
        <f aca="false">O14*$K14/$I14</f>
        <v>43.3725007112502</v>
      </c>
      <c r="S14" s="47" t="n">
        <f aca="false">P14*$K14/$I14</f>
        <v>24.925059509972</v>
      </c>
      <c r="T14" s="26" t="n">
        <f aca="false">Q14*$K14/$I14</f>
        <v>24.3123726448488</v>
      </c>
      <c r="U14" s="27" t="n">
        <v>3.5234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32</v>
      </c>
      <c r="C15" s="34" t="n">
        <v>11</v>
      </c>
      <c r="D15" s="34" t="n">
        <v>2.7739</v>
      </c>
      <c r="E15" s="34" t="n">
        <v>100</v>
      </c>
      <c r="F15" s="34" t="n">
        <v>2.9727</v>
      </c>
      <c r="G15" s="30" t="n">
        <f aca="false">1000-E15</f>
        <v>900</v>
      </c>
      <c r="H15" s="34" t="n">
        <v>3.6067</v>
      </c>
      <c r="I15" s="35" t="n">
        <f aca="false">F15-D15</f>
        <v>0.1988</v>
      </c>
      <c r="J15" s="35" t="n">
        <f aca="false">H15-F15</f>
        <v>0.634</v>
      </c>
      <c r="K15" s="35" t="n">
        <f aca="false">J15+I15</f>
        <v>0.8328</v>
      </c>
      <c r="L15" s="36" t="n">
        <v>43.5975</v>
      </c>
      <c r="M15" s="36" t="n">
        <v>0.4508</v>
      </c>
      <c r="N15" s="41" t="n">
        <v>1.1477</v>
      </c>
      <c r="O15" s="52" t="n">
        <f aca="false">L15/$F$2</f>
        <v>0.232750640367895</v>
      </c>
      <c r="P15" s="53" t="n">
        <f aca="false">M15/$G$2</f>
        <v>0.00255577433215655</v>
      </c>
      <c r="Q15" s="54" t="n">
        <f aca="false">N15/$H$2</f>
        <v>0.00673666490184086</v>
      </c>
      <c r="R15" s="55" t="n">
        <f aca="false">O15*$K15/$I15</f>
        <v>0.975023809348002</v>
      </c>
      <c r="S15" s="53" t="n">
        <f aca="false">P15*$K15/$I15</f>
        <v>0.0107064832184103</v>
      </c>
      <c r="T15" s="54" t="n">
        <f aca="false">Q15*$K15/$I15</f>
        <v>0.0282207974358806</v>
      </c>
      <c r="U15" s="2" t="n">
        <v>98.1203</v>
      </c>
      <c r="V15" s="2"/>
      <c r="W15" s="51" t="n">
        <f aca="false">AVERAGE(R15:R16)/100</f>
        <v>0.00974077777307962</v>
      </c>
      <c r="X15" s="0" t="n">
        <f aca="false">AVERAGE(S15:S16)/100</f>
        <v>9.93563180216648E-005</v>
      </c>
      <c r="Y15" s="1" t="n">
        <f aca="false">AVERAGE(T15:T16)/100</f>
        <v>0.000270185288647533</v>
      </c>
      <c r="Z15" s="33" t="n">
        <f aca="false">AVERAGE(U15:V16)/100</f>
        <v>0.9756095</v>
      </c>
      <c r="AA15" s="2" t="n">
        <f aca="false">SUM(W15:Z15)</f>
        <v>0.985719819379749</v>
      </c>
      <c r="AD15" s="0" t="n">
        <v>0.00974077777307962</v>
      </c>
      <c r="AE15" s="0" t="n">
        <v>9.93563180216648E-005</v>
      </c>
      <c r="AF15" s="0" t="n">
        <v>0.000270185288647533</v>
      </c>
      <c r="AG15" s="0" t="n">
        <v>0.989889680620251</v>
      </c>
    </row>
    <row r="16" customFormat="false" ht="14.25" hidden="false" customHeight="true" outlineLevel="0" collapsed="false">
      <c r="A16" s="18"/>
      <c r="B16" s="34" t="s">
        <v>32</v>
      </c>
      <c r="C16" s="34" t="n">
        <v>12</v>
      </c>
      <c r="D16" s="34" t="n">
        <v>2.7729</v>
      </c>
      <c r="E16" s="34" t="n">
        <v>100</v>
      </c>
      <c r="F16" s="34" t="n">
        <v>2.9821</v>
      </c>
      <c r="G16" s="30" t="n">
        <f aca="false">1000-E16</f>
        <v>900</v>
      </c>
      <c r="H16" s="34" t="n">
        <v>3.6175</v>
      </c>
      <c r="I16" s="35" t="n">
        <f aca="false">F16-D16</f>
        <v>0.2092</v>
      </c>
      <c r="J16" s="35" t="n">
        <f aca="false">H16-F16</f>
        <v>0.6354</v>
      </c>
      <c r="K16" s="35" t="n">
        <f aca="false">J16+I16</f>
        <v>0.8446</v>
      </c>
      <c r="L16" s="36" t="n">
        <v>45.1495</v>
      </c>
      <c r="M16" s="36" t="n">
        <v>0.4004</v>
      </c>
      <c r="N16" s="36" t="n">
        <v>1.0894</v>
      </c>
      <c r="O16" s="52" t="n">
        <f aca="false">L16/$F$2</f>
        <v>0.24103618412272</v>
      </c>
      <c r="P16" s="53" t="n">
        <f aca="false">M16/$G$2</f>
        <v>0.0022700355869465</v>
      </c>
      <c r="Q16" s="54" t="n">
        <f aca="false">N16/$H$2</f>
        <v>0.00639446087310746</v>
      </c>
      <c r="R16" s="55" t="n">
        <f aca="false">O16*$K16/$I16</f>
        <v>0.973131745267922</v>
      </c>
      <c r="S16" s="53" t="n">
        <f aca="false">P16*$K16/$I16</f>
        <v>0.00916478038592264</v>
      </c>
      <c r="T16" s="54" t="n">
        <f aca="false">Q16*$K16/$I16</f>
        <v>0.025816260293626</v>
      </c>
      <c r="U16" s="2" t="n">
        <v>97.0016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65</v>
      </c>
      <c r="B17" s="19" t="s">
        <v>31</v>
      </c>
      <c r="C17" s="20" t="n">
        <v>13</v>
      </c>
      <c r="D17" s="19" t="n">
        <v>2.7281</v>
      </c>
      <c r="E17" s="19" t="n">
        <v>300</v>
      </c>
      <c r="F17" s="20" t="n">
        <v>2.9042</v>
      </c>
      <c r="G17" s="19" t="n">
        <f aca="false">1000-E17</f>
        <v>700</v>
      </c>
      <c r="H17" s="20" t="n">
        <v>3.543</v>
      </c>
      <c r="I17" s="22" t="n">
        <f aca="false">F17-D17</f>
        <v>0.1761</v>
      </c>
      <c r="J17" s="22" t="n">
        <f aca="false">H17-F17</f>
        <v>0.6388</v>
      </c>
      <c r="K17" s="22" t="n">
        <f aca="false">J17+I17</f>
        <v>0.8149</v>
      </c>
      <c r="L17" s="23" t="n">
        <v>1040.1487</v>
      </c>
      <c r="M17" s="23" t="n">
        <v>1576.3018</v>
      </c>
      <c r="N17" s="23" t="n">
        <v>1453.4128</v>
      </c>
      <c r="O17" s="24" t="n">
        <f aca="false">L17/$F$2</f>
        <v>5.55296234882353</v>
      </c>
      <c r="P17" s="47" t="n">
        <f aca="false">M17/$G$2</f>
        <v>8.93671623818139</v>
      </c>
      <c r="Q17" s="26" t="n">
        <f aca="false">N17/$H$2</f>
        <v>8.53111004412847</v>
      </c>
      <c r="R17" s="25" t="n">
        <f aca="false">O17*$K17/$I17</f>
        <v>25.6962465534145</v>
      </c>
      <c r="S17" s="47" t="n">
        <f aca="false">P17*$K17/$I17</f>
        <v>41.3545148352869</v>
      </c>
      <c r="T17" s="26" t="n">
        <f aca="false">Q17*$K17/$I17</f>
        <v>39.4775785063049</v>
      </c>
      <c r="U17" s="27" t="n">
        <v>2.3119</v>
      </c>
      <c r="V17" s="27"/>
      <c r="W17" s="56" t="n">
        <f aca="false">AVERAGE(R17:R18)/100</f>
        <v>0.255619701629144</v>
      </c>
      <c r="X17" s="57" t="n">
        <f aca="false">AVERAGE(S17:S18)/100</f>
        <v>0.410903262344587</v>
      </c>
      <c r="Y17" s="57" t="n">
        <f aca="false">AVERAGE(T17:T18)/100</f>
        <v>0.393369202717283</v>
      </c>
      <c r="Z17" s="29" t="n">
        <f aca="false">AVERAGE(U17:V18)/100</f>
        <v>0.0234555</v>
      </c>
      <c r="AA17" s="2" t="n">
        <f aca="false">SUM(W17:Z17)</f>
        <v>1.08334766669101</v>
      </c>
      <c r="AD17" s="0" t="n">
        <v>0.235518311732512</v>
      </c>
      <c r="AE17" s="0" t="n">
        <v>0.378590703361282</v>
      </c>
      <c r="AF17" s="0" t="n">
        <v>0.362435484906207</v>
      </c>
      <c r="AG17" s="0" t="n">
        <v>0.0234555</v>
      </c>
    </row>
    <row r="18" customFormat="false" ht="14.25" hidden="false" customHeight="true" outlineLevel="0" collapsed="false">
      <c r="A18" s="18"/>
      <c r="B18" s="20" t="s">
        <v>31</v>
      </c>
      <c r="C18" s="20" t="n">
        <v>14</v>
      </c>
      <c r="D18" s="20" t="n">
        <v>2.7443</v>
      </c>
      <c r="E18" s="20" t="n">
        <v>300</v>
      </c>
      <c r="F18" s="20" t="n">
        <v>2.9446</v>
      </c>
      <c r="G18" s="19" t="n">
        <f aca="false">1000-E18</f>
        <v>700</v>
      </c>
      <c r="H18" s="20" t="n">
        <v>3.5807</v>
      </c>
      <c r="I18" s="22" t="n">
        <f aca="false">F18-D18</f>
        <v>0.2003</v>
      </c>
      <c r="J18" s="22" t="n">
        <f aca="false">H18-F18</f>
        <v>0.6361</v>
      </c>
      <c r="K18" s="22" t="n">
        <f aca="false">J18+I18</f>
        <v>0.8364</v>
      </c>
      <c r="L18" s="23" t="n">
        <v>1140.6295</v>
      </c>
      <c r="M18" s="23" t="n">
        <v>1724.5136</v>
      </c>
      <c r="N18" s="23" t="n">
        <v>1599.1714</v>
      </c>
      <c r="O18" s="24" t="n">
        <f aca="false">L18/$F$2</f>
        <v>6.08939151436463</v>
      </c>
      <c r="P18" s="47" t="n">
        <f aca="false">M18/$G$2</f>
        <v>9.77699111431874</v>
      </c>
      <c r="Q18" s="26" t="n">
        <f aca="false">N18/$H$2</f>
        <v>9.38667059545849</v>
      </c>
      <c r="R18" s="25" t="n">
        <f aca="false">O18*$K18/$I18</f>
        <v>25.4276937724143</v>
      </c>
      <c r="S18" s="47" t="n">
        <f aca="false">P18*$K18/$I18</f>
        <v>40.8261376336306</v>
      </c>
      <c r="T18" s="26" t="n">
        <f aca="false">Q18*$K18/$I18</f>
        <v>39.1962620371517</v>
      </c>
      <c r="U18" s="27" t="n">
        <v>2.3792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32</v>
      </c>
      <c r="C19" s="34" t="n">
        <v>15</v>
      </c>
      <c r="D19" s="34" t="n">
        <v>2.8079</v>
      </c>
      <c r="E19" s="34" t="n">
        <v>100</v>
      </c>
      <c r="F19" s="34" t="n">
        <v>3.0084</v>
      </c>
      <c r="G19" s="30" t="n">
        <f aca="false">1000-E19</f>
        <v>900</v>
      </c>
      <c r="H19" s="34" t="n">
        <v>3.6429</v>
      </c>
      <c r="I19" s="35" t="n">
        <f aca="false">F19-D19</f>
        <v>0.2005</v>
      </c>
      <c r="J19" s="35" t="n">
        <f aca="false">H19-F19</f>
        <v>0.6345</v>
      </c>
      <c r="K19" s="35" t="n">
        <f aca="false">J19+I19</f>
        <v>0.835</v>
      </c>
      <c r="L19" s="36" t="n">
        <v>24.2178</v>
      </c>
      <c r="M19" s="36" t="n">
        <v>0.6841</v>
      </c>
      <c r="N19" s="36" t="n">
        <v>1.4122</v>
      </c>
      <c r="O19" s="52" t="n">
        <f aca="false">L19/$F$2</f>
        <v>0.129289717490719</v>
      </c>
      <c r="P19" s="53" t="n">
        <f aca="false">M19/$G$2</f>
        <v>0.00387844991266259</v>
      </c>
      <c r="Q19" s="54" t="n">
        <f aca="false">N19/$H$2</f>
        <v>0.00828920290527112</v>
      </c>
      <c r="R19" s="55" t="n">
        <f aca="false">O19*$K19/$I19</f>
        <v>0.538438474337907</v>
      </c>
      <c r="S19" s="53" t="n">
        <f aca="false">P19*$K19/$I19</f>
        <v>0.016152148015328</v>
      </c>
      <c r="T19" s="54" t="n">
        <f aca="false">Q19*$K19/$I19</f>
        <v>0.034521119331179</v>
      </c>
      <c r="U19" s="2" t="n">
        <v>99.6209</v>
      </c>
      <c r="V19" s="2"/>
      <c r="W19" s="51" t="n">
        <f aca="false">AVERAGE(R19:R20)/100</f>
        <v>0.00536674717283757</v>
      </c>
      <c r="X19" s="0" t="n">
        <f aca="false">AVERAGE(S19:S20)/100</f>
        <v>0.000145560800502005</v>
      </c>
      <c r="Y19" s="1" t="n">
        <f aca="false">AVERAGE(T19:T20)/100</f>
        <v>0.000325667660197368</v>
      </c>
      <c r="Z19" s="33" t="n">
        <f aca="false">AVERAGE(U19:V20)/100</f>
        <v>0.998301</v>
      </c>
      <c r="AA19" s="2" t="n">
        <f aca="false">SUM(W19:Z19)</f>
        <v>1.00413897563354</v>
      </c>
      <c r="AD19" s="0" t="n">
        <v>0.00536674717283757</v>
      </c>
      <c r="AE19" s="0" t="n">
        <v>0.000145560800502005</v>
      </c>
      <c r="AF19" s="0" t="n">
        <v>0.000325667660197368</v>
      </c>
      <c r="AG19" s="0" t="n">
        <v>0.994162024366463</v>
      </c>
    </row>
    <row r="20" customFormat="false" ht="14.25" hidden="false" customHeight="true" outlineLevel="0" collapsed="false">
      <c r="A20" s="18"/>
      <c r="B20" s="34" t="s">
        <v>32</v>
      </c>
      <c r="C20" s="34" t="n">
        <v>16</v>
      </c>
      <c r="D20" s="34" t="n">
        <v>2.7555</v>
      </c>
      <c r="E20" s="34" t="n">
        <v>100</v>
      </c>
      <c r="F20" s="34" t="n">
        <v>2.9621</v>
      </c>
      <c r="G20" s="30" t="n">
        <f aca="false">1000-E20</f>
        <v>900</v>
      </c>
      <c r="H20" s="34" t="n">
        <v>3.5963</v>
      </c>
      <c r="I20" s="35" t="n">
        <f aca="false">F20-D20</f>
        <v>0.2066</v>
      </c>
      <c r="J20" s="35" t="n">
        <f aca="false">H20-F20</f>
        <v>0.6342</v>
      </c>
      <c r="K20" s="35" t="n">
        <f aca="false">J20+I20</f>
        <v>0.8408</v>
      </c>
      <c r="L20" s="36" t="n">
        <v>24.6201</v>
      </c>
      <c r="M20" s="36" t="n">
        <v>0.5617</v>
      </c>
      <c r="N20" s="36" t="n">
        <v>1.2815</v>
      </c>
      <c r="O20" s="52" t="n">
        <f aca="false">L20/$F$2</f>
        <v>0.131437445746238</v>
      </c>
      <c r="P20" s="53" t="n">
        <f aca="false">M20/$G$2</f>
        <v>0.00318451296000962</v>
      </c>
      <c r="Q20" s="54" t="n">
        <f aca="false">N20/$H$2</f>
        <v>0.00752203195234736</v>
      </c>
      <c r="R20" s="55" t="n">
        <f aca="false">O20*$K20/$I20</f>
        <v>0.534910960229608</v>
      </c>
      <c r="S20" s="53" t="n">
        <f aca="false">P20*$K20/$I20</f>
        <v>0.012960012085073</v>
      </c>
      <c r="T20" s="54" t="n">
        <f aca="false">Q20*$K20/$I20</f>
        <v>0.0306124127082946</v>
      </c>
      <c r="U20" s="2" t="n">
        <v>99.2358</v>
      </c>
      <c r="V20" s="2" t="n">
        <v>100.6336</v>
      </c>
      <c r="W20" s="51"/>
      <c r="Z20" s="33"/>
      <c r="AA20" s="2"/>
    </row>
    <row r="21" customFormat="false" ht="14.25" hidden="false" customHeight="true" outlineLevel="0" collapsed="false">
      <c r="A21" s="18" t="s">
        <v>66</v>
      </c>
      <c r="B21" s="19" t="s">
        <v>31</v>
      </c>
      <c r="C21" s="20" t="n">
        <v>17</v>
      </c>
      <c r="D21" s="19" t="n">
        <v>2.7621</v>
      </c>
      <c r="E21" s="19" t="n">
        <v>300</v>
      </c>
      <c r="F21" s="20" t="n">
        <v>2.9638</v>
      </c>
      <c r="G21" s="19" t="n">
        <f aca="false">1000-E21</f>
        <v>700</v>
      </c>
      <c r="H21" s="20" t="n">
        <v>3.5998</v>
      </c>
      <c r="I21" s="22" t="n">
        <f aca="false">F21-D21</f>
        <v>0.2017</v>
      </c>
      <c r="J21" s="22" t="n">
        <f aca="false">H21-F21</f>
        <v>0.636</v>
      </c>
      <c r="K21" s="22" t="n">
        <f aca="false">J21+I21</f>
        <v>0.8377</v>
      </c>
      <c r="L21" s="23" t="n">
        <v>55.8455</v>
      </c>
      <c r="M21" s="23" t="n">
        <v>0.1908</v>
      </c>
      <c r="N21" s="23" t="n">
        <v>0.594</v>
      </c>
      <c r="O21" s="24" t="n">
        <f aca="false">L21/$F$2</f>
        <v>0.298138101649528</v>
      </c>
      <c r="P21" s="47" t="n">
        <f aca="false">M21/$G$2</f>
        <v>0.00108172524972376</v>
      </c>
      <c r="Q21" s="26" t="n">
        <f aca="false">N21/$H$2</f>
        <v>0.00348660708520822</v>
      </c>
      <c r="R21" s="25" t="n">
        <f aca="false">O21*$K21/$I21</f>
        <v>1.23822651339519</v>
      </c>
      <c r="S21" s="47" t="n">
        <f aca="false">P21*$K21/$I21</f>
        <v>0.00449261894741494</v>
      </c>
      <c r="T21" s="26" t="n">
        <f aca="false">Q21*$K21/$I21</f>
        <v>0.0144805689404012</v>
      </c>
      <c r="U21" s="27" t="n">
        <v>97.6309</v>
      </c>
      <c r="V21" s="27"/>
      <c r="W21" s="56" t="n">
        <f aca="false">AVERAGE(R21:R22)/100</f>
        <v>0.0126209546547131</v>
      </c>
      <c r="X21" s="57" t="n">
        <f aca="false">AVERAGE(S21:S22)/100</f>
        <v>4.67822771030686E-005</v>
      </c>
      <c r="Y21" s="57" t="n">
        <f aca="false">AVERAGE(T21:T22)/100</f>
        <v>0.000148947856262621</v>
      </c>
      <c r="Z21" s="29" t="n">
        <f aca="false">AVERAGE(U21:V22)/100</f>
        <v>0.976993</v>
      </c>
      <c r="AA21" s="2" t="n">
        <f aca="false">SUM(W21:Z21)</f>
        <v>0.989809684788079</v>
      </c>
      <c r="AD21" s="0" t="n">
        <v>0.0126209546547132</v>
      </c>
      <c r="AE21" s="0" t="n">
        <v>4.67822771030686E-005</v>
      </c>
      <c r="AF21" s="0" t="n">
        <v>0.000148947856262621</v>
      </c>
      <c r="AG21" s="0" t="n">
        <v>0.987183315211921</v>
      </c>
    </row>
    <row r="22" customFormat="false" ht="14.25" hidden="false" customHeight="true" outlineLevel="0" collapsed="false">
      <c r="A22" s="18"/>
      <c r="B22" s="20" t="s">
        <v>31</v>
      </c>
      <c r="C22" s="20" t="n">
        <v>18</v>
      </c>
      <c r="D22" s="20" t="n">
        <v>2.7709</v>
      </c>
      <c r="E22" s="20" t="n">
        <v>300</v>
      </c>
      <c r="F22" s="20" t="n">
        <v>2.9761</v>
      </c>
      <c r="G22" s="19" t="n">
        <f aca="false">1000-E22</f>
        <v>700</v>
      </c>
      <c r="H22" s="20" t="n">
        <v>3.6116</v>
      </c>
      <c r="I22" s="22" t="n">
        <f aca="false">F22-D22</f>
        <v>0.2052</v>
      </c>
      <c r="J22" s="22" t="n">
        <f aca="false">H22-F22</f>
        <v>0.6355</v>
      </c>
      <c r="K22" s="22" t="n">
        <f aca="false">J22+I22</f>
        <v>0.8407</v>
      </c>
      <c r="L22" s="23" t="n">
        <v>58.7944</v>
      </c>
      <c r="M22" s="23" t="n">
        <v>0.2094</v>
      </c>
      <c r="N22" s="23" t="n">
        <v>0.6366</v>
      </c>
      <c r="O22" s="24" t="n">
        <f aca="false">L22/$F$2</f>
        <v>0.31388116864605</v>
      </c>
      <c r="P22" s="47" t="n">
        <f aca="false">M22/$G$2</f>
        <v>0.00118717645331318</v>
      </c>
      <c r="Q22" s="26" t="n">
        <f aca="false">N22/$H$2</f>
        <v>0.0037366566842484</v>
      </c>
      <c r="R22" s="25" t="n">
        <f aca="false">O22*$K22/$I22</f>
        <v>1.28596441754744</v>
      </c>
      <c r="S22" s="47" t="n">
        <f aca="false">P22*$K22/$I22</f>
        <v>0.00486383647319879</v>
      </c>
      <c r="T22" s="26" t="n">
        <f aca="false">Q22*$K22/$I22</f>
        <v>0.015309002312123</v>
      </c>
      <c r="U22" s="27" t="n">
        <v>97.7677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32</v>
      </c>
      <c r="C23" s="34" t="n">
        <v>19</v>
      </c>
      <c r="D23" s="34" t="n">
        <v>2.8372</v>
      </c>
      <c r="E23" s="34" t="n">
        <v>100</v>
      </c>
      <c r="F23" s="34" t="n">
        <v>3.0177</v>
      </c>
      <c r="G23" s="30" t="n">
        <f aca="false">1000-E23</f>
        <v>900</v>
      </c>
      <c r="H23" s="34" t="n">
        <v>3.6481</v>
      </c>
      <c r="I23" s="35" t="n">
        <f aca="false">F23-D23</f>
        <v>0.1805</v>
      </c>
      <c r="J23" s="35" t="n">
        <f aca="false">H23-F23</f>
        <v>0.6304</v>
      </c>
      <c r="K23" s="35" t="n">
        <f aca="false">J23+I23</f>
        <v>0.8109</v>
      </c>
      <c r="L23" s="36" t="n">
        <v>2748.1388</v>
      </c>
      <c r="M23" s="36" t="n">
        <v>537.3664</v>
      </c>
      <c r="N23" s="36" t="n">
        <v>489.7975</v>
      </c>
      <c r="O23" s="52" t="n">
        <f aca="false">L23/$F$2</f>
        <v>14.6712785256003</v>
      </c>
      <c r="P23" s="53" t="n">
        <f aca="false">M23/$G$2</f>
        <v>3.04655557250082</v>
      </c>
      <c r="Q23" s="54" t="n">
        <f aca="false">N23/$H$2</f>
        <v>2.87496874380012</v>
      </c>
      <c r="R23" s="55" t="n">
        <f aca="false">O23*$K23/$I23</f>
        <v>65.9110235812149</v>
      </c>
      <c r="S23" s="53" t="n">
        <f aca="false">P23*$K23/$I23</f>
        <v>13.6867142035508</v>
      </c>
      <c r="T23" s="54" t="n">
        <f aca="false">Q23*$K23/$I23</f>
        <v>12.9158568107896</v>
      </c>
      <c r="U23" s="2" t="n">
        <v>6.2927</v>
      </c>
      <c r="V23" s="2"/>
      <c r="W23" s="51" t="n">
        <f aca="false">AVERAGE(R23:R24)/100</f>
        <v>0.643353928564494</v>
      </c>
      <c r="X23" s="0" t="n">
        <f aca="false">AVERAGE(S23:S24)/100</f>
        <v>0.132918544202503</v>
      </c>
      <c r="Y23" s="1" t="n">
        <f aca="false">AVERAGE(T23:T24)/100</f>
        <v>0.126458925992048</v>
      </c>
      <c r="Z23" s="33" t="n">
        <f aca="false">AVERAGE(U23:V24)/100</f>
        <v>0.0609765</v>
      </c>
      <c r="AA23" s="2" t="n">
        <f aca="false">SUM(W23:Z23)</f>
        <v>0.963707898759045</v>
      </c>
      <c r="AD23" s="0" t="n">
        <v>0.669218394939903</v>
      </c>
      <c r="AE23" s="0" t="n">
        <v>0.13826220818675</v>
      </c>
      <c r="AF23" s="0" t="n">
        <v>0.131542896873347</v>
      </c>
      <c r="AG23" s="0" t="n">
        <v>0.0609765</v>
      </c>
    </row>
    <row r="24" customFormat="false" ht="14.25" hidden="false" customHeight="true" outlineLevel="0" collapsed="false">
      <c r="A24" s="18"/>
      <c r="B24" s="34" t="s">
        <v>32</v>
      </c>
      <c r="C24" s="34" t="n">
        <v>20</v>
      </c>
      <c r="D24" s="34" t="n">
        <v>2.7103</v>
      </c>
      <c r="E24" s="34" t="n">
        <v>100</v>
      </c>
      <c r="F24" s="34" t="n">
        <v>2.9009</v>
      </c>
      <c r="G24" s="30" t="n">
        <f aca="false">1000-E24</f>
        <v>900</v>
      </c>
      <c r="H24" s="34" t="n">
        <v>3.5359</v>
      </c>
      <c r="I24" s="35" t="n">
        <f aca="false">F24-D24</f>
        <v>0.1906</v>
      </c>
      <c r="J24" s="35" t="n">
        <f aca="false">H24-F24</f>
        <v>0.635</v>
      </c>
      <c r="K24" s="35" t="n">
        <f aca="false">J24+I24</f>
        <v>0.8256</v>
      </c>
      <c r="L24" s="36" t="n">
        <v>2713.971</v>
      </c>
      <c r="M24" s="36" t="n">
        <v>525.1739</v>
      </c>
      <c r="N24" s="36" t="n">
        <v>486.7595</v>
      </c>
      <c r="O24" s="58" t="n">
        <f aca="false">L24/$F$2</f>
        <v>14.4888695037536</v>
      </c>
      <c r="P24" s="59" t="n">
        <f aca="false">M24/$G$2</f>
        <v>2.97743117466404</v>
      </c>
      <c r="Q24" s="60" t="n">
        <f aca="false">N24/$H$2</f>
        <v>2.85713656816904</v>
      </c>
      <c r="R24" s="55" t="n">
        <f aca="false">O24*$K24/$I24</f>
        <v>62.759762131684</v>
      </c>
      <c r="S24" s="53" t="n">
        <f aca="false">P24*$K24/$I24</f>
        <v>12.8969946369498</v>
      </c>
      <c r="T24" s="54" t="n">
        <f aca="false">Q24*$K24/$I24</f>
        <v>12.3759283876199</v>
      </c>
      <c r="U24" s="42" t="n">
        <v>5.9026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37</v>
      </c>
      <c r="B25" s="1" t="s">
        <v>31</v>
      </c>
      <c r="C25" s="1" t="n">
        <v>1</v>
      </c>
      <c r="D25" s="1" t="n">
        <v>2.744</v>
      </c>
      <c r="F25" s="1" t="n">
        <v>2.9991</v>
      </c>
      <c r="G25" s="2" t="n">
        <f aca="false">1000-E25</f>
        <v>1000</v>
      </c>
      <c r="H25" s="1" t="n">
        <v>3.4818</v>
      </c>
      <c r="I25" s="1" t="n">
        <f aca="false">F25-D25</f>
        <v>0.2551</v>
      </c>
      <c r="J25" s="1" t="n">
        <f aca="false">H25-F25</f>
        <v>0.4827</v>
      </c>
      <c r="K25" s="1" t="n">
        <f aca="false">J25+I25</f>
        <v>0.7378</v>
      </c>
      <c r="M25" s="1" t="n">
        <v>2977.72</v>
      </c>
      <c r="N25" s="1" t="n">
        <v>2807.82</v>
      </c>
      <c r="P25" s="1" t="n">
        <f aca="false">M25/$G$2</f>
        <v>16.8819439759299</v>
      </c>
      <c r="Q25" s="1" t="n">
        <f aca="false">N25/$H$2</f>
        <v>16.4810860370191</v>
      </c>
      <c r="S25" s="1" t="n">
        <f aca="false">P25*$K25/$I25</f>
        <v>48.8259438080796</v>
      </c>
      <c r="T25" s="1" t="n">
        <f aca="false">Q25*$K25/$I25</f>
        <v>47.6665828228643</v>
      </c>
      <c r="U25" s="1" t="n">
        <v>1.5991</v>
      </c>
      <c r="X25" s="1" t="n">
        <f aca="false">AVERAGE(S25:S26)/100</f>
        <v>0.483473079716047</v>
      </c>
      <c r="Y25" s="1" t="n">
        <f aca="false">AVERAGE(T25:T26)/100</f>
        <v>0.472364642293089</v>
      </c>
      <c r="Z25" s="1" t="n">
        <f aca="false">AVERAGE(U25:V26)/100</f>
        <v>0.015937</v>
      </c>
      <c r="AA25" s="1" t="n">
        <f aca="false">SUM(W25:Z25)</f>
        <v>0.971774722009135</v>
      </c>
      <c r="AE25" s="1" t="n">
        <f aca="false">IFERROR(X25/$AA25,"")</f>
        <v>0.497515595709745</v>
      </c>
      <c r="AF25" s="1" t="n">
        <f aca="false">IFERROR(Y25/$AA25,"")</f>
        <v>0.486084512793746</v>
      </c>
      <c r="AG25" s="1" t="n">
        <f aca="false">IFERROR(Z25/$AA25,"")</f>
        <v>0.016399891496509</v>
      </c>
    </row>
    <row r="26" customFormat="false" ht="14.25" hidden="false" customHeight="true" outlineLevel="0" collapsed="false">
      <c r="A26" s="45"/>
      <c r="B26" s="1" t="s">
        <v>31</v>
      </c>
      <c r="C26" s="1" t="n">
        <v>2</v>
      </c>
      <c r="D26" s="1" t="n">
        <v>2.7519</v>
      </c>
      <c r="F26" s="1" t="n">
        <v>3.0157</v>
      </c>
      <c r="G26" s="2" t="n">
        <f aca="false">1000-E26</f>
        <v>1000</v>
      </c>
      <c r="H26" s="1" t="n">
        <v>3.4988</v>
      </c>
      <c r="I26" s="1" t="n">
        <f aca="false">F26-D26</f>
        <v>0.2638</v>
      </c>
      <c r="J26" s="1" t="n">
        <f aca="false">H26-F26</f>
        <v>0.4831</v>
      </c>
      <c r="K26" s="1" t="n">
        <f aca="false">J26+I26</f>
        <v>0.7469</v>
      </c>
      <c r="M26" s="1" t="n">
        <v>2982.12</v>
      </c>
      <c r="N26" s="1" t="n">
        <v>2816.44</v>
      </c>
      <c r="P26" s="1" t="n">
        <f aca="false">M26/$G$2</f>
        <v>16.9068894219403</v>
      </c>
      <c r="Q26" s="1" t="n">
        <f aca="false">N26/$H$2</f>
        <v>16.5316829277169</v>
      </c>
      <c r="S26" s="1" t="n">
        <f aca="false">P26*$K26/$I26</f>
        <v>47.8686721351298</v>
      </c>
      <c r="T26" s="1" t="n">
        <f aca="false">Q26*$K26/$I26</f>
        <v>46.8063456357534</v>
      </c>
      <c r="U26" s="1" t="n">
        <v>1.5883</v>
      </c>
    </row>
    <row r="27" customFormat="false" ht="14.25" hidden="false" customHeight="true" outlineLevel="0" collapsed="false">
      <c r="A27" s="45"/>
      <c r="B27" s="1" t="s">
        <v>32</v>
      </c>
      <c r="C27" s="1" t="n">
        <v>3</v>
      </c>
      <c r="D27" s="1" t="n">
        <v>2.7848</v>
      </c>
      <c r="F27" s="1" t="n">
        <v>3.0739</v>
      </c>
      <c r="G27" s="2" t="n">
        <f aca="false">1000-E27</f>
        <v>1000</v>
      </c>
      <c r="H27" s="1" t="n">
        <v>3.5576</v>
      </c>
      <c r="I27" s="1" t="n">
        <f aca="false">F27-D27</f>
        <v>0.2891</v>
      </c>
      <c r="J27" s="1" t="n">
        <f aca="false">H27-F27</f>
        <v>0.4837</v>
      </c>
      <c r="K27" s="1" t="n">
        <f aca="false">J27+I27</f>
        <v>0.7728</v>
      </c>
      <c r="M27" s="1" t="n">
        <v>1.43</v>
      </c>
      <c r="N27" s="1" t="n">
        <v>2.21</v>
      </c>
      <c r="P27" s="1" t="n">
        <f aca="false">M27/$G$2</f>
        <v>0.00810726995338036</v>
      </c>
      <c r="Q27" s="1" t="n">
        <f aca="false">N27/$H$2</f>
        <v>0.0129720566638218</v>
      </c>
      <c r="S27" s="1" t="n">
        <f aca="false">P27*$K27/$I27</f>
        <v>0.0216717337252589</v>
      </c>
      <c r="T27" s="1" t="n">
        <f aca="false">Q27*$K27/$I27</f>
        <v>0.0346759093386423</v>
      </c>
      <c r="X27" s="1" t="n">
        <f aca="false">AVERAGE(S27:S28)/100</f>
        <v>0.000336778003846007</v>
      </c>
      <c r="Y27" s="1" t="n">
        <f aca="false">AVERAGE(T27:T28)/100</f>
        <v>0.000460774822073272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32</v>
      </c>
      <c r="C28" s="1" t="n">
        <v>4</v>
      </c>
      <c r="D28" s="1" t="n">
        <v>2.7548</v>
      </c>
      <c r="F28" s="1" t="n">
        <v>3.1571</v>
      </c>
      <c r="G28" s="2" t="n">
        <f aca="false">1000-E28</f>
        <v>1000</v>
      </c>
      <c r="H28" s="1" t="n">
        <v>3.6381</v>
      </c>
      <c r="I28" s="1" t="n">
        <f aca="false">F28-D28</f>
        <v>0.4023</v>
      </c>
      <c r="J28" s="1" t="n">
        <f aca="false">H28-F28</f>
        <v>0.481</v>
      </c>
      <c r="K28" s="1" t="n">
        <f aca="false">J28+I28</f>
        <v>0.8833</v>
      </c>
      <c r="M28" s="1" t="n">
        <v>3.67</v>
      </c>
      <c r="N28" s="1" t="n">
        <v>4.46</v>
      </c>
      <c r="P28" s="1" t="n">
        <f aca="false">M28/$G$2</f>
        <v>0.0208067697404937</v>
      </c>
      <c r="Q28" s="1" t="n">
        <f aca="false">N28/$H$2</f>
        <v>0.0261789016835499</v>
      </c>
      <c r="S28" s="1" t="n">
        <f aca="false">P28*$K28/$I28</f>
        <v>0.0456838670439425</v>
      </c>
      <c r="T28" s="1" t="n">
        <f aca="false">Q28*$K28/$I28</f>
        <v>0.057479055076012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63" t="s">
        <v>67</v>
      </c>
      <c r="H1" s="64"/>
    </row>
    <row r="2" customFormat="false" ht="14.25" hidden="false" customHeight="true" outlineLevel="0" collapsed="false">
      <c r="E2" s="1" t="s">
        <v>2</v>
      </c>
      <c r="F2" s="1" t="n">
        <v>187.3142</v>
      </c>
      <c r="G2" s="2" t="n">
        <v>170.3662</v>
      </c>
      <c r="H2" s="4" t="n">
        <v>171.2346</v>
      </c>
    </row>
    <row r="3" customFormat="false" ht="14.25" hidden="false" customHeight="true" outlineLevel="0" collapsed="false">
      <c r="M3" s="1" t="s">
        <v>61</v>
      </c>
      <c r="N3" s="1" t="s">
        <v>4</v>
      </c>
      <c r="O3" s="5" t="s">
        <v>5</v>
      </c>
      <c r="P3" s="5"/>
      <c r="Q3" s="5"/>
      <c r="R3" s="6" t="s">
        <v>6</v>
      </c>
      <c r="S3" s="6"/>
      <c r="T3" s="6"/>
      <c r="U3" s="7" t="s">
        <v>7</v>
      </c>
      <c r="V3" s="7"/>
    </row>
    <row r="4" customFormat="false" ht="14.25" hidden="false" customHeight="true" outlineLevel="0" collapsed="false">
      <c r="A4" s="8" t="s">
        <v>8</v>
      </c>
      <c r="B4" s="8" t="s">
        <v>9</v>
      </c>
      <c r="C4" s="8" t="s">
        <v>10</v>
      </c>
      <c r="D4" s="8" t="s">
        <v>11</v>
      </c>
      <c r="E4" s="8" t="s">
        <v>12</v>
      </c>
      <c r="F4" s="8" t="s">
        <v>13</v>
      </c>
      <c r="G4" s="8" t="s">
        <v>14</v>
      </c>
      <c r="H4" s="8" t="s">
        <v>15</v>
      </c>
      <c r="I4" s="9" t="s">
        <v>16</v>
      </c>
      <c r="J4" s="9" t="s">
        <v>17</v>
      </c>
      <c r="K4" s="9" t="s">
        <v>18</v>
      </c>
      <c r="L4" s="9" t="s">
        <v>19</v>
      </c>
      <c r="M4" s="10" t="s">
        <v>40</v>
      </c>
      <c r="N4" s="11" t="s">
        <v>21</v>
      </c>
      <c r="O4" s="12" t="s">
        <v>22</v>
      </c>
      <c r="P4" s="13" t="s">
        <v>23</v>
      </c>
      <c r="Q4" s="14" t="s">
        <v>24</v>
      </c>
      <c r="R4" s="12" t="s">
        <v>22</v>
      </c>
      <c r="S4" s="13" t="s">
        <v>23</v>
      </c>
      <c r="T4" s="14" t="s">
        <v>24</v>
      </c>
      <c r="U4" s="15" t="n">
        <v>1</v>
      </c>
      <c r="V4" s="15" t="n">
        <v>2</v>
      </c>
      <c r="W4" s="16" t="s">
        <v>25</v>
      </c>
      <c r="X4" s="15" t="s">
        <v>26</v>
      </c>
      <c r="Y4" s="15" t="s">
        <v>27</v>
      </c>
      <c r="Z4" s="17" t="s">
        <v>28</v>
      </c>
    </row>
    <row r="5" customFormat="false" ht="14.25" hidden="false" customHeight="true" outlineLevel="0" collapsed="false">
      <c r="A5" s="18" t="s">
        <v>62</v>
      </c>
      <c r="B5" s="19" t="s">
        <v>31</v>
      </c>
      <c r="C5" s="20" t="n">
        <v>1</v>
      </c>
      <c r="D5" s="21" t="n">
        <v>2.8012</v>
      </c>
      <c r="E5" s="19" t="n">
        <v>300</v>
      </c>
      <c r="F5" s="20" t="n">
        <v>2.9715</v>
      </c>
      <c r="G5" s="19" t="n">
        <f aca="false">1000-E5</f>
        <v>700</v>
      </c>
      <c r="H5" s="20" t="n">
        <v>3.612</v>
      </c>
      <c r="I5" s="22" t="n">
        <f aca="false">F5-D5</f>
        <v>0.1703</v>
      </c>
      <c r="J5" s="22" t="n">
        <f aca="false">H5-F5</f>
        <v>0.6405</v>
      </c>
      <c r="K5" s="22" t="n">
        <f aca="false">J5+I5</f>
        <v>0.8108</v>
      </c>
      <c r="L5" s="23" t="n">
        <v>130.0619</v>
      </c>
      <c r="M5" s="23" t="n">
        <v>1383.6623</v>
      </c>
      <c r="N5" s="23" t="n">
        <v>1374.7846</v>
      </c>
      <c r="O5" s="24" t="n">
        <f aca="false">L5/$F$2</f>
        <v>0.694351522735596</v>
      </c>
      <c r="P5" s="47" t="n">
        <f aca="false">M5/$G$2</f>
        <v>8.12169491366245</v>
      </c>
      <c r="Q5" s="26" t="n">
        <f aca="false">N5/$H$2</f>
        <v>8.02866126355304</v>
      </c>
      <c r="R5" s="25" t="n">
        <f aca="false">O5*$K5/$I5</f>
        <v>3.30581453102773</v>
      </c>
      <c r="S5" s="47" t="n">
        <f aca="false">P5*$K5/$I5</f>
        <v>38.6674705578246</v>
      </c>
      <c r="T5" s="26" t="n">
        <f aca="false">Q5*$K5/$I5</f>
        <v>38.2245364209561</v>
      </c>
      <c r="U5" s="27" t="n">
        <v>1.1008</v>
      </c>
      <c r="V5" s="27"/>
      <c r="W5" s="48" t="n">
        <f aca="false">AVERAGE(R5:R6)/100</f>
        <v>0.050014761282655</v>
      </c>
      <c r="X5" s="49" t="n">
        <f aca="false">AVERAGE(S5:S6)/100</f>
        <v>0.568164041721873</v>
      </c>
      <c r="Y5" s="49" t="n">
        <f aca="false">AVERAGE(T5:T6)/100</f>
        <v>0.559343635173108</v>
      </c>
      <c r="Z5" s="50" t="n">
        <f aca="false">AVERAGE(U5:V6)/100</f>
        <v>0.011057</v>
      </c>
      <c r="AA5" s="2" t="n">
        <f aca="false">SUM(W5:Z5)</f>
        <v>1.18857943817764</v>
      </c>
      <c r="AD5" s="0" t="n">
        <v>0.042004930405998</v>
      </c>
      <c r="AE5" s="0" t="n">
        <v>0.477172946939455</v>
      </c>
      <c r="AF5" s="0" t="n">
        <v>0.469765122654548</v>
      </c>
      <c r="AG5" s="0" t="n">
        <v>0.011057</v>
      </c>
    </row>
    <row r="6" customFormat="false" ht="14.25" hidden="false" customHeight="true" outlineLevel="0" collapsed="false">
      <c r="A6" s="18"/>
      <c r="B6" s="20" t="s">
        <v>31</v>
      </c>
      <c r="C6" s="20" t="n">
        <v>2</v>
      </c>
      <c r="D6" s="20" t="n">
        <v>2.8703</v>
      </c>
      <c r="E6" s="20" t="n">
        <v>300</v>
      </c>
      <c r="F6" s="20" t="n">
        <v>3.0163</v>
      </c>
      <c r="G6" s="19" t="n">
        <f aca="false">1000-E6</f>
        <v>700</v>
      </c>
      <c r="H6" s="20" t="n">
        <v>3.6549</v>
      </c>
      <c r="I6" s="22" t="n">
        <f aca="false">F6-D6</f>
        <v>0.146</v>
      </c>
      <c r="J6" s="22" t="n">
        <f aca="false">H6-F6</f>
        <v>0.6386</v>
      </c>
      <c r="K6" s="22" t="n">
        <f aca="false">J6+I6</f>
        <v>0.7846</v>
      </c>
      <c r="L6" s="23" t="n">
        <v>233.4342</v>
      </c>
      <c r="M6" s="23" t="n">
        <v>2376.5584</v>
      </c>
      <c r="N6" s="23" t="n">
        <v>2346.5757</v>
      </c>
      <c r="O6" s="24" t="n">
        <f aca="false">L6/$F$2</f>
        <v>1.24621731828126</v>
      </c>
      <c r="P6" s="47" t="n">
        <f aca="false">M6/$G$2</f>
        <v>13.9497059862813</v>
      </c>
      <c r="Q6" s="26" t="n">
        <f aca="false">N6/$H$2</f>
        <v>13.703864172311</v>
      </c>
      <c r="R6" s="25" t="n">
        <f aca="false">O6*$K6/$I6</f>
        <v>6.69713772550326</v>
      </c>
      <c r="S6" s="47" t="n">
        <f aca="false">P6*$K6/$I6</f>
        <v>74.96533778655</v>
      </c>
      <c r="T6" s="26" t="n">
        <f aca="false">Q6*$K6/$I6</f>
        <v>73.6441906136655</v>
      </c>
      <c r="U6" s="27" t="n">
        <v>1.1106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32</v>
      </c>
      <c r="C7" s="34" t="n">
        <v>3</v>
      </c>
      <c r="D7" s="34" t="n">
        <v>2.7946</v>
      </c>
      <c r="E7" s="34" t="n">
        <v>100</v>
      </c>
      <c r="F7" s="34" t="n">
        <v>3.0147</v>
      </c>
      <c r="G7" s="30" t="n">
        <f aca="false">1000-E7</f>
        <v>900</v>
      </c>
      <c r="H7" s="34" t="n">
        <v>3.6552</v>
      </c>
      <c r="I7" s="35" t="n">
        <f aca="false">F7-D7</f>
        <v>0.2201</v>
      </c>
      <c r="J7" s="35" t="n">
        <f aca="false">H7-F7</f>
        <v>0.6405</v>
      </c>
      <c r="K7" s="35" t="n">
        <f aca="false">J7+I7</f>
        <v>0.8606</v>
      </c>
      <c r="L7" s="1" t="n">
        <v>4.907</v>
      </c>
      <c r="M7" s="1" t="n">
        <v>3.6779</v>
      </c>
      <c r="N7" s="36" t="n">
        <v>1.8402</v>
      </c>
      <c r="O7" s="52" t="n">
        <f aca="false">L7/$F$2</f>
        <v>0.0261966257763693</v>
      </c>
      <c r="P7" s="53" t="n">
        <f aca="false">M7/$G$2</f>
        <v>0.0215882023546924</v>
      </c>
      <c r="Q7" s="54" t="n">
        <f aca="false">N7/$H$2</f>
        <v>0.0107466598456153</v>
      </c>
      <c r="R7" s="55" t="n">
        <f aca="false">O7*$K7/$I7</f>
        <v>0.102429877978843</v>
      </c>
      <c r="S7" s="53" t="n">
        <f aca="false">P7*$K7/$I7</f>
        <v>0.0844107539593289</v>
      </c>
      <c r="T7" s="54" t="n">
        <f aca="false">Q7*$K7/$I7</f>
        <v>0.0420198794326967</v>
      </c>
      <c r="U7" s="2" t="n">
        <v>99.4816</v>
      </c>
      <c r="V7" s="2"/>
      <c r="W7" s="51" t="n">
        <f aca="false">AVERAGE(R7:R8)/100</f>
        <v>0.000990663947401218</v>
      </c>
      <c r="X7" s="0" t="n">
        <f aca="false">AVERAGE(S7:S8)/100</f>
        <v>0.000822931408671022</v>
      </c>
      <c r="Y7" s="1" t="n">
        <f aca="false">AVERAGE(T7:T8)/100</f>
        <v>0.000418234895728567</v>
      </c>
      <c r="Z7" s="33" t="n">
        <f aca="false">AVERAGE(U7:V8)/100</f>
        <v>0.9886145</v>
      </c>
      <c r="AA7" s="2" t="n">
        <f aca="false">SUM(W7:Z7)</f>
        <v>0.990846330251801</v>
      </c>
      <c r="AD7" s="0" t="n">
        <v>0.000990663947401218</v>
      </c>
      <c r="AE7" s="0" t="n">
        <v>0.000822931408671022</v>
      </c>
      <c r="AF7" s="0" t="n">
        <v>0.000418234895728567</v>
      </c>
      <c r="AG7" s="0" t="n">
        <v>0.997768169748199</v>
      </c>
    </row>
    <row r="8" customFormat="false" ht="14.25" hidden="false" customHeight="true" outlineLevel="0" collapsed="false">
      <c r="A8" s="18"/>
      <c r="B8" s="34" t="s">
        <v>32</v>
      </c>
      <c r="C8" s="34" t="n">
        <v>4</v>
      </c>
      <c r="D8" s="34" t="n">
        <v>2.8078</v>
      </c>
      <c r="E8" s="34" t="n">
        <v>100</v>
      </c>
      <c r="F8" s="34" t="n">
        <v>3.0238</v>
      </c>
      <c r="G8" s="30" t="n">
        <f aca="false">1000-E8</f>
        <v>900</v>
      </c>
      <c r="H8" s="34" t="n">
        <v>3.6615</v>
      </c>
      <c r="I8" s="35" t="n">
        <f aca="false">F8-D8</f>
        <v>0.216</v>
      </c>
      <c r="J8" s="35" t="n">
        <f aca="false">H8-F8</f>
        <v>0.6377</v>
      </c>
      <c r="K8" s="35" t="n">
        <f aca="false">J8+I8</f>
        <v>0.8537</v>
      </c>
      <c r="L8" s="36" t="n">
        <v>4.5357</v>
      </c>
      <c r="M8" s="36" t="n">
        <v>3.456</v>
      </c>
      <c r="N8" s="36" t="n">
        <v>1.8035</v>
      </c>
      <c r="O8" s="52" t="n">
        <f aca="false">L8/$F$2</f>
        <v>0.0242143948510044</v>
      </c>
      <c r="P8" s="53" t="n">
        <f aca="false">M8/$G$2</f>
        <v>0.0202857139503024</v>
      </c>
      <c r="Q8" s="54" t="n">
        <f aca="false">N8/$H$2</f>
        <v>0.0105323340025906</v>
      </c>
      <c r="R8" s="55" t="n">
        <f aca="false">O8*$K8/$I8</f>
        <v>0.0957029115014001</v>
      </c>
      <c r="S8" s="53" t="n">
        <f aca="false">P8*$K8/$I8</f>
        <v>0.0801755277748755</v>
      </c>
      <c r="T8" s="54" t="n">
        <f aca="false">Q8*$K8/$I8</f>
        <v>0.0416270997130166</v>
      </c>
      <c r="U8" s="2" t="n">
        <v>98.2413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63</v>
      </c>
      <c r="B9" s="19" t="s">
        <v>31</v>
      </c>
      <c r="C9" s="20" t="n">
        <v>5</v>
      </c>
      <c r="D9" s="19" t="n">
        <v>2.8465</v>
      </c>
      <c r="E9" s="19" t="n">
        <v>300</v>
      </c>
      <c r="F9" s="20" t="n">
        <v>2.9449</v>
      </c>
      <c r="G9" s="19" t="n">
        <f aca="false">1000-E9</f>
        <v>700</v>
      </c>
      <c r="H9" s="20" t="n">
        <v>3.5629</v>
      </c>
      <c r="I9" s="22" t="n">
        <f aca="false">F9-D9</f>
        <v>0.0984000000000003</v>
      </c>
      <c r="J9" s="22" t="n">
        <f aca="false">H9-F9</f>
        <v>0.618</v>
      </c>
      <c r="K9" s="22" t="n">
        <f aca="false">J9+I9</f>
        <v>0.7164</v>
      </c>
      <c r="L9" s="23" t="n">
        <v>93.3038</v>
      </c>
      <c r="M9" s="23" t="n">
        <v>0.1532</v>
      </c>
      <c r="N9" s="23" t="n">
        <v>0.0823</v>
      </c>
      <c r="O9" s="24" t="n">
        <f aca="false">L9/$F$2</f>
        <v>0.498113864298596</v>
      </c>
      <c r="P9" s="47" t="n">
        <f aca="false">M9/$G$2</f>
        <v>0.000899239403121042</v>
      </c>
      <c r="Q9" s="26" t="n">
        <f aca="false">N9/$H$2</f>
        <v>0.000480627162968232</v>
      </c>
      <c r="R9" s="25" t="n">
        <f aca="false">O9*$K9/$I9</f>
        <v>3.6265119144666</v>
      </c>
      <c r="S9" s="47" t="n">
        <f aca="false">P9*$K9/$I9</f>
        <v>0.00654690150808854</v>
      </c>
      <c r="T9" s="26" t="n">
        <f aca="false">Q9*$K9/$I9</f>
        <v>0.00349920019868334</v>
      </c>
      <c r="U9" s="27" t="n">
        <v>97.6096</v>
      </c>
      <c r="V9" s="27" t="n">
        <v>99.7309</v>
      </c>
      <c r="W9" s="56" t="n">
        <f aca="false">AVERAGE(R9:R10)/100</f>
        <v>0.0276964151789129</v>
      </c>
      <c r="X9" s="57" t="n">
        <f aca="false">AVERAGE(S9:S10)/100</f>
        <v>5.17986833841008E-005</v>
      </c>
      <c r="Y9" s="57" t="n">
        <f aca="false">AVERAGE(T9:T10)/100</f>
        <v>2.82114906849774E-005</v>
      </c>
      <c r="Z9" s="29" t="n">
        <f aca="false">AVERAGE(U9:V10)/100</f>
        <v>0.986094</v>
      </c>
      <c r="AA9" s="2" t="n">
        <f aca="false">SUM(W9:Z9)</f>
        <v>1.01387042535298</v>
      </c>
      <c r="AD9" s="0" t="n">
        <v>0.0276964151789129</v>
      </c>
      <c r="AE9" s="0" t="n">
        <v>5.17986833841008E-005</v>
      </c>
      <c r="AF9" s="0" t="n">
        <v>2.82114906849774E-005</v>
      </c>
      <c r="AG9" s="0" t="n">
        <v>0.972223574647018</v>
      </c>
    </row>
    <row r="10" customFormat="false" ht="14.25" hidden="false" customHeight="true" outlineLevel="0" collapsed="false">
      <c r="A10" s="18"/>
      <c r="B10" s="20" t="s">
        <v>31</v>
      </c>
      <c r="C10" s="20" t="n">
        <v>6</v>
      </c>
      <c r="D10" s="20" t="n">
        <v>2.834</v>
      </c>
      <c r="E10" s="20" t="n">
        <v>300</v>
      </c>
      <c r="F10" s="20" t="n">
        <v>3.0123</v>
      </c>
      <c r="G10" s="19" t="n">
        <f aca="false">1000-E10</f>
        <v>700</v>
      </c>
      <c r="H10" s="20" t="n">
        <v>3.656</v>
      </c>
      <c r="I10" s="22" t="n">
        <f aca="false">F10-D10</f>
        <v>0.1783</v>
      </c>
      <c r="J10" s="22" t="n">
        <f aca="false">H10-F10</f>
        <v>0.6437</v>
      </c>
      <c r="K10" s="22" t="n">
        <f aca="false">J10+I10</f>
        <v>0.822</v>
      </c>
      <c r="L10" s="23" t="n">
        <v>77.7165</v>
      </c>
      <c r="M10" s="23" t="n">
        <v>0.1409</v>
      </c>
      <c r="N10" s="23" t="n">
        <v>0.0796</v>
      </c>
      <c r="O10" s="24" t="n">
        <f aca="false">L10/$F$2</f>
        <v>0.414899137385206</v>
      </c>
      <c r="P10" s="47" t="n">
        <f aca="false">M10/$G$2</f>
        <v>0.000827041983679862</v>
      </c>
      <c r="Q10" s="26" t="n">
        <f aca="false">N10/$H$2</f>
        <v>0.000464859321655787</v>
      </c>
      <c r="R10" s="25" t="n">
        <f aca="false">O10*$K10/$I10</f>
        <v>1.91277112131598</v>
      </c>
      <c r="S10" s="47" t="n">
        <f aca="false">P10*$K10/$I10</f>
        <v>0.00381283516873161</v>
      </c>
      <c r="T10" s="26" t="n">
        <f aca="false">Q10*$K10/$I10</f>
        <v>0.00214309793831215</v>
      </c>
      <c r="U10" s="27" t="n">
        <v>98.4877</v>
      </c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32</v>
      </c>
      <c r="C11" s="34" t="n">
        <v>7</v>
      </c>
      <c r="D11" s="34" t="n">
        <v>2.7981</v>
      </c>
      <c r="E11" s="34" t="n">
        <v>100</v>
      </c>
      <c r="F11" s="34" t="n">
        <v>2.9724</v>
      </c>
      <c r="G11" s="30" t="n">
        <f aca="false">1000-E11</f>
        <v>900</v>
      </c>
      <c r="H11" s="34" t="n">
        <v>3.611</v>
      </c>
      <c r="I11" s="35" t="n">
        <f aca="false">F11-D11</f>
        <v>0.1743</v>
      </c>
      <c r="J11" s="35" t="n">
        <f aca="false">H11-F11</f>
        <v>0.6386</v>
      </c>
      <c r="K11" s="35" t="n">
        <f aca="false">J11+I11</f>
        <v>0.8129</v>
      </c>
      <c r="L11" s="40" t="n">
        <v>4166.4918</v>
      </c>
      <c r="M11" s="40" t="n">
        <v>75.5526</v>
      </c>
      <c r="N11" s="36" t="n">
        <v>74.6352</v>
      </c>
      <c r="O11" s="52" t="n">
        <f aca="false">L11/$F$2</f>
        <v>22.2433312583883</v>
      </c>
      <c r="P11" s="53" t="n">
        <f aca="false">M11/$G$2</f>
        <v>0.443471768461115</v>
      </c>
      <c r="Q11" s="54" t="n">
        <f aca="false">N11/$H$2</f>
        <v>0.435865181452814</v>
      </c>
      <c r="R11" s="55" t="n">
        <f aca="false">O11*$K11/$I11</f>
        <v>103.7384049337</v>
      </c>
      <c r="S11" s="53" t="n">
        <f aca="false">P11*$K11/$I11</f>
        <v>2.0682627686864</v>
      </c>
      <c r="T11" s="54" t="n">
        <f aca="false">Q11*$K11/$I11</f>
        <v>2.03278718303495</v>
      </c>
      <c r="U11" s="2" t="n">
        <v>7.8468</v>
      </c>
      <c r="V11" s="2"/>
      <c r="W11" s="51" t="n">
        <f aca="false">AVERAGE(R11:R12)/100</f>
        <v>1.33433420176529</v>
      </c>
      <c r="X11" s="0" t="n">
        <f aca="false">AVERAGE(S11:S12)/100</f>
        <v>0.0263073965176823</v>
      </c>
      <c r="Y11" s="1" t="n">
        <f aca="false">AVERAGE(T11:T12)/100</f>
        <v>0.0258902968930289</v>
      </c>
      <c r="Z11" s="33" t="n">
        <f aca="false">AVERAGE(U11:V12)/100</f>
        <v>0.0792005</v>
      </c>
      <c r="AA11" s="2" t="n">
        <f aca="false">SUM(W11:Z11)</f>
        <v>1.465732395176</v>
      </c>
      <c r="AD11" s="0" t="n">
        <v>0.886134873704018</v>
      </c>
      <c r="AE11" s="0" t="n">
        <v>0.0174708116301275</v>
      </c>
      <c r="AF11" s="0" t="n">
        <v>0.0171938146658548</v>
      </c>
      <c r="AG11" s="0" t="n">
        <v>0.0792005</v>
      </c>
    </row>
    <row r="12" customFormat="false" ht="14.25" hidden="false" customHeight="true" outlineLevel="0" collapsed="false">
      <c r="A12" s="18"/>
      <c r="B12" s="34" t="s">
        <v>32</v>
      </c>
      <c r="C12" s="34" t="n">
        <v>8</v>
      </c>
      <c r="D12" s="34" t="n">
        <v>2.8034</v>
      </c>
      <c r="E12" s="34" t="n">
        <v>100</v>
      </c>
      <c r="F12" s="34" t="n">
        <v>2.9342</v>
      </c>
      <c r="G12" s="30" t="n">
        <f aca="false">1000-E12</f>
        <v>900</v>
      </c>
      <c r="H12" s="34" t="n">
        <v>3.5736</v>
      </c>
      <c r="I12" s="35" t="n">
        <f aca="false">F12-D12</f>
        <v>0.1308</v>
      </c>
      <c r="J12" s="35" t="n">
        <f aca="false">H12-F12</f>
        <v>0.6394</v>
      </c>
      <c r="K12" s="35" t="n">
        <f aca="false">J12+I12</f>
        <v>0.7702</v>
      </c>
      <c r="L12" s="36" t="n">
        <v>5189.2501</v>
      </c>
      <c r="M12" s="36" t="n">
        <v>92.3881</v>
      </c>
      <c r="N12" s="36" t="n">
        <v>91.4648</v>
      </c>
      <c r="O12" s="52" t="n">
        <f aca="false">L12/$F$2</f>
        <v>27.7034528081694</v>
      </c>
      <c r="P12" s="53" t="n">
        <f aca="false">M12/$G$2</f>
        <v>0.542291252607618</v>
      </c>
      <c r="Q12" s="54" t="n">
        <f aca="false">N12/$H$2</f>
        <v>0.534149056323897</v>
      </c>
      <c r="R12" s="55" t="n">
        <f aca="false">O12*$K12/$I12</f>
        <v>163.128435419358</v>
      </c>
      <c r="S12" s="53" t="n">
        <f aca="false">P12*$K12/$I12</f>
        <v>3.19321653485005</v>
      </c>
      <c r="T12" s="54" t="n">
        <f aca="false">Q12*$K12/$I12</f>
        <v>3.14527219557083</v>
      </c>
      <c r="U12" s="2" t="n">
        <v>7.9933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64</v>
      </c>
      <c r="B13" s="19" t="s">
        <v>31</v>
      </c>
      <c r="C13" s="20" t="n">
        <v>9</v>
      </c>
      <c r="D13" s="19" t="n">
        <v>2.8009</v>
      </c>
      <c r="E13" s="19" t="n">
        <v>300</v>
      </c>
      <c r="F13" s="20" t="n">
        <v>3.0359</v>
      </c>
      <c r="G13" s="19" t="n">
        <f aca="false">1000-E13</f>
        <v>700</v>
      </c>
      <c r="H13" s="20" t="n">
        <v>3.6692</v>
      </c>
      <c r="I13" s="22" t="n">
        <f aca="false">F13-D13</f>
        <v>0.235</v>
      </c>
      <c r="J13" s="22" t="n">
        <f aca="false">H13-F13</f>
        <v>0.6333</v>
      </c>
      <c r="K13" s="22" t="n">
        <f aca="false">J13+I13</f>
        <v>0.8683</v>
      </c>
      <c r="L13" s="23" t="n">
        <v>2452.6514</v>
      </c>
      <c r="M13" s="23" t="n">
        <v>1124.5005</v>
      </c>
      <c r="N13" s="23" t="n">
        <v>1116.7503</v>
      </c>
      <c r="O13" s="24" t="n">
        <f aca="false">L13/$F$2</f>
        <v>13.0937825322373</v>
      </c>
      <c r="P13" s="47" t="n">
        <f aca="false">M13/$G$2</f>
        <v>6.60049059026967</v>
      </c>
      <c r="Q13" s="26" t="n">
        <f aca="false">N13/$H$2</f>
        <v>6.52175611704644</v>
      </c>
      <c r="R13" s="25" t="n">
        <f aca="false">O13*$K13/$I13</f>
        <v>48.3801335010282</v>
      </c>
      <c r="S13" s="47" t="n">
        <f aca="false">P13*$K13/$I13</f>
        <v>24.3881105511964</v>
      </c>
      <c r="T13" s="26" t="n">
        <f aca="false">Q13*$K13/$I13</f>
        <v>24.0971950486444</v>
      </c>
      <c r="U13" s="27" t="n">
        <v>4.4671</v>
      </c>
      <c r="V13" s="27"/>
      <c r="W13" s="56" t="n">
        <f aca="false">AVERAGE(R13:R14)/100</f>
        <v>0.638995953930861</v>
      </c>
      <c r="X13" s="57" t="n">
        <f aca="false">AVERAGE(S13:S14)/100</f>
        <v>0.321824732746996</v>
      </c>
      <c r="Y13" s="57" t="n">
        <f aca="false">AVERAGE(T13:T14)/100</f>
        <v>0.317916566824439</v>
      </c>
      <c r="Z13" s="29" t="n">
        <f aca="false">AVERAGE(U13:V14)/100</f>
        <v>0.0442125</v>
      </c>
      <c r="AA13" s="2" t="n">
        <f aca="false">SUM(W13:Z13)</f>
        <v>1.3229497535023</v>
      </c>
      <c r="AD13" s="0" t="n">
        <v>0.477615197058616</v>
      </c>
      <c r="AE13" s="0" t="n">
        <v>0.240546723658792</v>
      </c>
      <c r="AF13" s="0" t="n">
        <v>0.237625579282592</v>
      </c>
      <c r="AG13" s="0" t="n">
        <v>0.0442125</v>
      </c>
    </row>
    <row r="14" customFormat="false" ht="14.25" hidden="false" customHeight="true" outlineLevel="0" collapsed="false">
      <c r="A14" s="18"/>
      <c r="B14" s="19" t="s">
        <v>31</v>
      </c>
      <c r="C14" s="20" t="n">
        <v>10</v>
      </c>
      <c r="D14" s="20" t="n">
        <v>2.8659</v>
      </c>
      <c r="E14" s="20" t="n">
        <v>300</v>
      </c>
      <c r="F14" s="20" t="n">
        <v>2.9982</v>
      </c>
      <c r="G14" s="19" t="n">
        <f aca="false">1000-E14</f>
        <v>700</v>
      </c>
      <c r="H14" s="20" t="n">
        <v>3.6368</v>
      </c>
      <c r="I14" s="22" t="n">
        <f aca="false">F14-D14</f>
        <v>0.1323</v>
      </c>
      <c r="J14" s="22" t="n">
        <f aca="false">H14-F14</f>
        <v>0.6386</v>
      </c>
      <c r="K14" s="22" t="n">
        <f aca="false">J14+I14</f>
        <v>0.7709</v>
      </c>
      <c r="L14" s="23" t="n">
        <v>2553.0377</v>
      </c>
      <c r="M14" s="23" t="n">
        <v>1168.8362</v>
      </c>
      <c r="N14" s="23" t="n">
        <v>1160.3734</v>
      </c>
      <c r="O14" s="24" t="n">
        <f aca="false">L14/$F$2</f>
        <v>13.6297071978526</v>
      </c>
      <c r="P14" s="47" t="n">
        <f aca="false">M14/$G$2</f>
        <v>6.86072824304352</v>
      </c>
      <c r="Q14" s="26" t="n">
        <f aca="false">N14/$H$2</f>
        <v>6.77651245717863</v>
      </c>
      <c r="R14" s="25" t="n">
        <f aca="false">O14*$K14/$I14</f>
        <v>79.4190572851439</v>
      </c>
      <c r="S14" s="47" t="n">
        <f aca="false">P14*$K14/$I14</f>
        <v>39.9768359982028</v>
      </c>
      <c r="T14" s="26" t="n">
        <f aca="false">Q14*$K14/$I14</f>
        <v>39.4861183162434</v>
      </c>
      <c r="U14" s="27" t="n">
        <v>4.3754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32</v>
      </c>
      <c r="C15" s="34" t="n">
        <v>11</v>
      </c>
      <c r="D15" s="34" t="n">
        <v>2.7983</v>
      </c>
      <c r="E15" s="34" t="n">
        <v>100</v>
      </c>
      <c r="F15" s="34" t="n">
        <v>2.9485</v>
      </c>
      <c r="G15" s="30" t="n">
        <f aca="false">1000-E15</f>
        <v>900</v>
      </c>
      <c r="H15" s="34" t="n">
        <v>3.5893</v>
      </c>
      <c r="I15" s="35" t="n">
        <f aca="false">F15-D15</f>
        <v>0.1502</v>
      </c>
      <c r="J15" s="35" t="n">
        <f aca="false">H15-F15</f>
        <v>0.6408</v>
      </c>
      <c r="K15" s="35" t="n">
        <f aca="false">J15+I15</f>
        <v>0.791</v>
      </c>
      <c r="L15" s="36" t="n">
        <v>40.5951</v>
      </c>
      <c r="M15" s="36" t="n">
        <v>1.8643</v>
      </c>
      <c r="N15" s="41" t="n">
        <v>1.0211</v>
      </c>
      <c r="O15" s="52" t="n">
        <f aca="false">L15/$F$2</f>
        <v>0.216721957011268</v>
      </c>
      <c r="P15" s="53" t="n">
        <f aca="false">M15/$G$2</f>
        <v>0.0109428982979018</v>
      </c>
      <c r="Q15" s="54" t="n">
        <f aca="false">N15/$H$2</f>
        <v>0.00596316398671764</v>
      </c>
      <c r="R15" s="55" t="n">
        <f aca="false">O15*$K15/$I15</f>
        <v>1.14132535283564</v>
      </c>
      <c r="S15" s="53" t="n">
        <f aca="false">P15*$K15/$I15</f>
        <v>0.0576287120748357</v>
      </c>
      <c r="T15" s="54" t="n">
        <f aca="false">Q15*$K15/$I15</f>
        <v>0.0314038795838458</v>
      </c>
      <c r="U15" s="2" t="n">
        <v>98.793</v>
      </c>
      <c r="V15" s="2"/>
      <c r="W15" s="51" t="n">
        <f aca="false">AVERAGE(R15:R16)/100</f>
        <v>0.00947187536492187</v>
      </c>
      <c r="X15" s="0" t="n">
        <f aca="false">AVERAGE(S15:S16)/100</f>
        <v>0.000467631930722946</v>
      </c>
      <c r="Y15" s="1" t="n">
        <f aca="false">AVERAGE(T15:T16)/100</f>
        <v>0.000250739780453535</v>
      </c>
      <c r="Z15" s="33" t="n">
        <f aca="false">AVERAGE(U15:V16)/100</f>
        <v>0.987522</v>
      </c>
      <c r="AA15" s="2" t="n">
        <f aca="false">SUM(W15:Z15)</f>
        <v>0.997712247076098</v>
      </c>
      <c r="AD15" s="0" t="n">
        <v>0.00947187536492187</v>
      </c>
      <c r="AE15" s="0" t="n">
        <v>0.000467631930722946</v>
      </c>
      <c r="AF15" s="0" t="n">
        <v>0.000250739780453535</v>
      </c>
      <c r="AG15" s="0" t="n">
        <v>0.989809752923902</v>
      </c>
    </row>
    <row r="16" customFormat="false" ht="14.25" hidden="false" customHeight="true" outlineLevel="0" collapsed="false">
      <c r="A16" s="18"/>
      <c r="B16" s="34" t="s">
        <v>32</v>
      </c>
      <c r="C16" s="34" t="n">
        <v>12</v>
      </c>
      <c r="D16" s="34" t="n">
        <v>2.7929</v>
      </c>
      <c r="E16" s="34" t="n">
        <v>100</v>
      </c>
      <c r="F16" s="34" t="n">
        <v>3.0272</v>
      </c>
      <c r="G16" s="30" t="n">
        <f aca="false">1000-E16</f>
        <v>900</v>
      </c>
      <c r="H16" s="34" t="n">
        <v>3.6644</v>
      </c>
      <c r="I16" s="35" t="n">
        <f aca="false">F16-D16</f>
        <v>0.2343</v>
      </c>
      <c r="J16" s="35" t="n">
        <f aca="false">H16-F16</f>
        <v>0.6372</v>
      </c>
      <c r="K16" s="35" t="n">
        <f aca="false">J16+I16</f>
        <v>0.8715</v>
      </c>
      <c r="L16" s="36" t="n">
        <v>37.9227</v>
      </c>
      <c r="M16" s="36" t="n">
        <v>1.6442</v>
      </c>
      <c r="N16" s="36" t="n">
        <v>0.8629</v>
      </c>
      <c r="O16" s="52" t="n">
        <f aca="false">L16/$F$2</f>
        <v>0.202455019427251</v>
      </c>
      <c r="P16" s="53" t="n">
        <f aca="false">M16/$G$2</f>
        <v>0.00965097536952752</v>
      </c>
      <c r="Q16" s="54" t="n">
        <f aca="false">N16/$H$2</f>
        <v>0.0050392852846329</v>
      </c>
      <c r="R16" s="55" t="n">
        <f aca="false">O16*$K16/$I16</f>
        <v>0.753049720148738</v>
      </c>
      <c r="S16" s="53" t="n">
        <f aca="false">P16*$K16/$I16</f>
        <v>0.0358976740697534</v>
      </c>
      <c r="T16" s="54" t="n">
        <f aca="false">Q16*$K16/$I16</f>
        <v>0.0187440765068611</v>
      </c>
      <c r="U16" s="2" t="n">
        <v>98.7114</v>
      </c>
      <c r="V16" s="2"/>
      <c r="W16" s="51"/>
      <c r="Z16" s="33"/>
      <c r="AA16" s="2"/>
    </row>
    <row r="17" customFormat="false" ht="14.25" hidden="false" customHeight="true" outlineLevel="0" collapsed="false">
      <c r="A17" s="18" t="s">
        <v>65</v>
      </c>
      <c r="B17" s="19" t="s">
        <v>31</v>
      </c>
      <c r="C17" s="20" t="n">
        <v>13</v>
      </c>
      <c r="D17" s="19" t="n">
        <v>2.8159</v>
      </c>
      <c r="E17" s="19" t="n">
        <v>300</v>
      </c>
      <c r="F17" s="20" t="n">
        <v>3.0136</v>
      </c>
      <c r="G17" s="19" t="n">
        <f aca="false">1000-E17</f>
        <v>700</v>
      </c>
      <c r="H17" s="20" t="n">
        <v>3.6274</v>
      </c>
      <c r="I17" s="22" t="n">
        <f aca="false">F17-D17</f>
        <v>0.1977</v>
      </c>
      <c r="J17" s="22" t="n">
        <f aca="false">H17-F17</f>
        <v>0.6138</v>
      </c>
      <c r="K17" s="22" t="n">
        <f aca="false">J17+I17</f>
        <v>0.8115</v>
      </c>
      <c r="L17" s="23" t="n">
        <v>2453.2232</v>
      </c>
      <c r="M17" s="23" t="n">
        <v>449.0819</v>
      </c>
      <c r="N17" s="23" t="n">
        <v>446.4899</v>
      </c>
      <c r="O17" s="24" t="n">
        <f aca="false">L17/$F$2</f>
        <v>13.0968351571851</v>
      </c>
      <c r="P17" s="47" t="n">
        <f aca="false">M17/$G$2</f>
        <v>2.63598002420668</v>
      </c>
      <c r="Q17" s="26" t="n">
        <f aca="false">N17/$H$2</f>
        <v>2.60747477437387</v>
      </c>
      <c r="R17" s="25" t="n">
        <f aca="false">O17*$K17/$I17</f>
        <v>53.7586329289616</v>
      </c>
      <c r="S17" s="47" t="n">
        <f aca="false">P17*$K17/$I17</f>
        <v>10.8199180052793</v>
      </c>
      <c r="T17" s="26" t="n">
        <f aca="false">Q17*$K17/$I17</f>
        <v>10.7029123895013</v>
      </c>
      <c r="U17" s="27" t="n">
        <v>6.4258</v>
      </c>
      <c r="V17" s="27"/>
      <c r="W17" s="56" t="n">
        <f aca="false">AVERAGE(R17:R18)/100</f>
        <v>0.714462507753903</v>
      </c>
      <c r="X17" s="57" t="n">
        <f aca="false">AVERAGE(S17:S18)/100</f>
        <v>0.141715227354095</v>
      </c>
      <c r="Y17" s="57" t="n">
        <f aca="false">AVERAGE(T17:T18)/100</f>
        <v>0.140217256854582</v>
      </c>
      <c r="Z17" s="29" t="n">
        <f aca="false">AVERAGE(U17:V18)/100</f>
        <v>0.062883</v>
      </c>
      <c r="AA17" s="2" t="n">
        <f aca="false">SUM(W17:Z17)</f>
        <v>1.05927799196258</v>
      </c>
      <c r="AD17" s="0" t="n">
        <v>0.671957373611487</v>
      </c>
      <c r="AE17" s="0" t="n">
        <v>0.133284239466927</v>
      </c>
      <c r="AF17" s="0" t="n">
        <v>0.131875386921586</v>
      </c>
      <c r="AG17" s="0" t="n">
        <v>0.062883</v>
      </c>
    </row>
    <row r="18" customFormat="false" ht="14.25" hidden="false" customHeight="true" outlineLevel="0" collapsed="false">
      <c r="A18" s="18"/>
      <c r="B18" s="20" t="s">
        <v>31</v>
      </c>
      <c r="C18" s="20" t="n">
        <v>14</v>
      </c>
      <c r="D18" s="20" t="n">
        <v>2.8546</v>
      </c>
      <c r="E18" s="20" t="n">
        <v>300</v>
      </c>
      <c r="F18" s="20" t="n">
        <v>3.0014</v>
      </c>
      <c r="G18" s="19" t="n">
        <f aca="false">1000-E18</f>
        <v>700</v>
      </c>
      <c r="H18" s="20" t="n">
        <v>3.6465</v>
      </c>
      <c r="I18" s="22" t="n">
        <f aca="false">F18-D18</f>
        <v>0.1468</v>
      </c>
      <c r="J18" s="22" t="n">
        <f aca="false">H18-F18</f>
        <v>0.6451</v>
      </c>
      <c r="K18" s="22" t="n">
        <f aca="false">J18+I18</f>
        <v>0.7919</v>
      </c>
      <c r="L18" s="23" t="n">
        <v>3095.0607</v>
      </c>
      <c r="M18" s="23" t="n">
        <v>553.4148</v>
      </c>
      <c r="N18" s="23" t="n">
        <v>550.4398</v>
      </c>
      <c r="O18" s="24" t="n">
        <f aca="false">L18/$F$2</f>
        <v>16.523363952119</v>
      </c>
      <c r="P18" s="47" t="n">
        <f aca="false">M18/$G$2</f>
        <v>3.24838377565503</v>
      </c>
      <c r="Q18" s="26" t="n">
        <f aca="false">N18/$H$2</f>
        <v>3.21453608090888</v>
      </c>
      <c r="R18" s="25" t="n">
        <f aca="false">O18*$K18/$I18</f>
        <v>89.1338686218189</v>
      </c>
      <c r="S18" s="47" t="n">
        <f aca="false">P18*$K18/$I18</f>
        <v>17.5231274655397</v>
      </c>
      <c r="T18" s="26" t="n">
        <f aca="false">Q18*$K18/$I18</f>
        <v>17.3405389814152</v>
      </c>
      <c r="U18" s="27" t="n">
        <v>6.1508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32</v>
      </c>
      <c r="C19" s="34" t="n">
        <v>15</v>
      </c>
      <c r="D19" s="34" t="n">
        <v>2.8212</v>
      </c>
      <c r="E19" s="34" t="n">
        <v>100</v>
      </c>
      <c r="F19" s="34" t="n">
        <v>2.9905</v>
      </c>
      <c r="G19" s="30" t="n">
        <f aca="false">1000-E19</f>
        <v>900</v>
      </c>
      <c r="H19" s="34" t="n">
        <v>3.6314</v>
      </c>
      <c r="I19" s="35" t="n">
        <f aca="false">F19-D19</f>
        <v>0.1693</v>
      </c>
      <c r="J19" s="35" t="n">
        <f aca="false">H19-F19</f>
        <v>0.6409</v>
      </c>
      <c r="K19" s="35" t="n">
        <f aca="false">J19+I19</f>
        <v>0.8102</v>
      </c>
      <c r="L19" s="36" t="n">
        <v>61.2145</v>
      </c>
      <c r="M19" s="36" t="n">
        <v>1.3194</v>
      </c>
      <c r="N19" s="36" t="n">
        <v>0.8522</v>
      </c>
      <c r="O19" s="52" t="n">
        <f aca="false">L19/$F$2</f>
        <v>0.326801171507553</v>
      </c>
      <c r="P19" s="53" t="n">
        <f aca="false">M19/$G$2</f>
        <v>0.00774449391956855</v>
      </c>
      <c r="Q19" s="54" t="n">
        <f aca="false">N19/$H$2</f>
        <v>0.0049767979135058</v>
      </c>
      <c r="R19" s="55" t="n">
        <f aca="false">O19*$K19/$I19</f>
        <v>1.56393567132557</v>
      </c>
      <c r="S19" s="53" t="n">
        <f aca="false">P19*$K19/$I19</f>
        <v>0.0370619549535408</v>
      </c>
      <c r="T19" s="54" t="n">
        <f aca="false">Q19*$K19/$I19</f>
        <v>0.0238169029505163</v>
      </c>
      <c r="U19" s="2" t="n">
        <v>98.6729</v>
      </c>
      <c r="V19" s="2"/>
      <c r="W19" s="51" t="n">
        <f aca="false">AVERAGE(R19:R20)/100</f>
        <v>0.0138159581747576</v>
      </c>
      <c r="X19" s="0" t="n">
        <f aca="false">AVERAGE(S19:S20)/100</f>
        <v>0.000318786899647339</v>
      </c>
      <c r="Y19" s="1" t="n">
        <f aca="false">AVERAGE(T19:T20)/100</f>
        <v>0.000202987427595046</v>
      </c>
      <c r="Z19" s="33" t="n">
        <f aca="false">AVERAGE(U19:V20)/100</f>
        <v>0.983951</v>
      </c>
      <c r="AA19" s="2" t="n">
        <f aca="false">SUM(W19:Z19)</f>
        <v>0.998288732502</v>
      </c>
      <c r="AD19" s="0" t="n">
        <v>0.0138159581747576</v>
      </c>
      <c r="AE19" s="0" t="n">
        <v>0.000318786899647339</v>
      </c>
      <c r="AF19" s="0" t="n">
        <v>0.000202987427595046</v>
      </c>
      <c r="AG19" s="0" t="n">
        <v>0.985662267498</v>
      </c>
    </row>
    <row r="20" customFormat="false" ht="14.25" hidden="false" customHeight="true" outlineLevel="0" collapsed="false">
      <c r="A20" s="18"/>
      <c r="B20" s="34" t="s">
        <v>32</v>
      </c>
      <c r="C20" s="34" t="n">
        <v>16</v>
      </c>
      <c r="D20" s="34" t="n">
        <v>2.8023</v>
      </c>
      <c r="E20" s="34" t="n">
        <v>100</v>
      </c>
      <c r="F20" s="34" t="n">
        <v>3.014</v>
      </c>
      <c r="G20" s="30" t="n">
        <f aca="false">1000-E20</f>
        <v>900</v>
      </c>
      <c r="H20" s="34" t="n">
        <v>3.6551</v>
      </c>
      <c r="I20" s="35" t="n">
        <f aca="false">F20-D20</f>
        <v>0.2117</v>
      </c>
      <c r="J20" s="35" t="n">
        <f aca="false">H20-F20</f>
        <v>0.6411</v>
      </c>
      <c r="K20" s="35" t="n">
        <f aca="false">J20+I20</f>
        <v>0.8528</v>
      </c>
      <c r="L20" s="36" t="n">
        <v>55.7643</v>
      </c>
      <c r="M20" s="36" t="n">
        <v>1.129</v>
      </c>
      <c r="N20" s="36" t="n">
        <v>0.7133</v>
      </c>
      <c r="O20" s="52" t="n">
        <f aca="false">L20/$F$2</f>
        <v>0.297704605416995</v>
      </c>
      <c r="P20" s="53" t="n">
        <f aca="false">M20/$G$2</f>
        <v>0.00662690134545467</v>
      </c>
      <c r="Q20" s="54" t="n">
        <f aca="false">N20/$H$2</f>
        <v>0.0041656300770989</v>
      </c>
      <c r="R20" s="55" t="n">
        <f aca="false">O20*$K20/$I20</f>
        <v>1.19925596362595</v>
      </c>
      <c r="S20" s="53" t="n">
        <f aca="false">P20*$K20/$I20</f>
        <v>0.026695424975927</v>
      </c>
      <c r="T20" s="54" t="n">
        <f aca="false">Q20*$K20/$I20</f>
        <v>0.0167805825684929</v>
      </c>
      <c r="U20" s="2" t="n">
        <v>98.1173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66</v>
      </c>
      <c r="B21" s="19" t="s">
        <v>31</v>
      </c>
      <c r="C21" s="20" t="n">
        <v>17</v>
      </c>
      <c r="D21" s="19" t="n">
        <v>2.8164</v>
      </c>
      <c r="E21" s="19" t="n">
        <v>300</v>
      </c>
      <c r="F21" s="20" t="n">
        <v>3.0017</v>
      </c>
      <c r="G21" s="19" t="n">
        <f aca="false">1000-E21</f>
        <v>700</v>
      </c>
      <c r="H21" s="20" t="n">
        <v>3.6024</v>
      </c>
      <c r="I21" s="22" t="n">
        <f aca="false">F21-D21</f>
        <v>0.1853</v>
      </c>
      <c r="J21" s="22" t="n">
        <f aca="false">H21-F21</f>
        <v>0.6007</v>
      </c>
      <c r="K21" s="22" t="n">
        <f aca="false">J21+I21</f>
        <v>0.786</v>
      </c>
      <c r="L21" s="23" t="n">
        <v>1179.6356</v>
      </c>
      <c r="M21" s="23" t="n">
        <v>1348.6819</v>
      </c>
      <c r="N21" s="23" t="n">
        <v>1337.4612</v>
      </c>
      <c r="O21" s="24" t="n">
        <f aca="false">L21/$F$2</f>
        <v>6.2976303985496</v>
      </c>
      <c r="P21" s="47" t="n">
        <f aca="false">M21/$G$2</f>
        <v>7.91637014853885</v>
      </c>
      <c r="Q21" s="26" t="n">
        <f aca="false">N21/$H$2</f>
        <v>7.81069480116752</v>
      </c>
      <c r="R21" s="25" t="n">
        <f aca="false">O21*$K21/$I21</f>
        <v>26.7131003413922</v>
      </c>
      <c r="S21" s="47" t="n">
        <f aca="false">P21*$K21/$I21</f>
        <v>33.5794222166839</v>
      </c>
      <c r="T21" s="26" t="n">
        <f aca="false">Q21*$K21/$I21</f>
        <v>33.1311716876291</v>
      </c>
      <c r="U21" s="27" t="n">
        <v>2.8273</v>
      </c>
      <c r="V21" s="27"/>
      <c r="W21" s="56" t="n">
        <f aca="false">AVERAGE(R21:R22)/100</f>
        <v>0.279550795654604</v>
      </c>
      <c r="X21" s="57" t="n">
        <f aca="false">AVERAGE(S21:S22)/100</f>
        <v>0.350953728433004</v>
      </c>
      <c r="Y21" s="57" t="n">
        <f aca="false">AVERAGE(T21:T22)/100</f>
        <v>0.346150517044809</v>
      </c>
      <c r="Z21" s="29" t="n">
        <f aca="false">AVERAGE(U21:V22)/100</f>
        <v>0.027996</v>
      </c>
      <c r="AA21" s="2" t="n">
        <f aca="false">SUM(W21:Z21)</f>
        <v>1.00465104113242</v>
      </c>
      <c r="AD21" s="0" t="n">
        <v>0.278219514706439</v>
      </c>
      <c r="AE21" s="0" t="n">
        <v>0.349282411378597</v>
      </c>
      <c r="AF21" s="0" t="n">
        <v>0.344502073914965</v>
      </c>
      <c r="AG21" s="0" t="n">
        <v>0.027996</v>
      </c>
    </row>
    <row r="22" customFormat="false" ht="14.25" hidden="false" customHeight="true" outlineLevel="0" collapsed="false">
      <c r="A22" s="18"/>
      <c r="B22" s="20" t="s">
        <v>31</v>
      </c>
      <c r="C22" s="20" t="n">
        <v>18</v>
      </c>
      <c r="D22" s="20" t="n">
        <v>2.8171</v>
      </c>
      <c r="E22" s="20" t="n">
        <v>300</v>
      </c>
      <c r="F22" s="20" t="n">
        <v>3.0021</v>
      </c>
      <c r="G22" s="19" t="n">
        <f aca="false">1000-E22</f>
        <v>700</v>
      </c>
      <c r="H22" s="20" t="n">
        <v>3.6464</v>
      </c>
      <c r="I22" s="22" t="n">
        <f aca="false">F22-D22</f>
        <v>0.185</v>
      </c>
      <c r="J22" s="22" t="n">
        <f aca="false">H22-F22</f>
        <v>0.6443</v>
      </c>
      <c r="K22" s="22" t="n">
        <f aca="false">J22+I22</f>
        <v>0.8293</v>
      </c>
      <c r="L22" s="23" t="n">
        <v>1220.0282</v>
      </c>
      <c r="M22" s="23" t="n">
        <v>1391.4222</v>
      </c>
      <c r="N22" s="23" t="n">
        <v>1378.9418</v>
      </c>
      <c r="O22" s="24" t="n">
        <f aca="false">L22/$F$2</f>
        <v>6.51327128429131</v>
      </c>
      <c r="P22" s="47" t="n">
        <f aca="false">M22/$G$2</f>
        <v>8.16724326773738</v>
      </c>
      <c r="Q22" s="26" t="n">
        <f aca="false">N22/$H$2</f>
        <v>8.05293906722123</v>
      </c>
      <c r="R22" s="25" t="n">
        <f aca="false">O22*$K22/$I22</f>
        <v>29.1970587895286</v>
      </c>
      <c r="S22" s="47" t="n">
        <f aca="false">P22*$K22/$I22</f>
        <v>36.6113234699168</v>
      </c>
      <c r="T22" s="26" t="n">
        <f aca="false">Q22*$K22/$I22</f>
        <v>36.0989317213328</v>
      </c>
      <c r="U22" s="27" t="n">
        <v>2.7719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32</v>
      </c>
      <c r="C23" s="34" t="n">
        <v>19</v>
      </c>
      <c r="D23" s="34" t="n">
        <v>2.8014</v>
      </c>
      <c r="E23" s="34" t="n">
        <v>100</v>
      </c>
      <c r="F23" s="34" t="n">
        <v>3.0245</v>
      </c>
      <c r="G23" s="30" t="n">
        <f aca="false">1000-E23</f>
        <v>900</v>
      </c>
      <c r="H23" s="34" t="n">
        <v>3.6706</v>
      </c>
      <c r="I23" s="35" t="n">
        <f aca="false">F23-D23</f>
        <v>0.2231</v>
      </c>
      <c r="J23" s="35" t="n">
        <f aca="false">H23-F23</f>
        <v>0.6461</v>
      </c>
      <c r="K23" s="35" t="n">
        <f aca="false">J23+I23</f>
        <v>0.8692</v>
      </c>
      <c r="L23" s="36" t="n">
        <v>31.3648</v>
      </c>
      <c r="M23" s="36" t="n">
        <v>11.8566</v>
      </c>
      <c r="N23" s="36" t="n">
        <v>10.9413</v>
      </c>
      <c r="O23" s="52" t="n">
        <f aca="false">L23/$F$2</f>
        <v>0.167444860026629</v>
      </c>
      <c r="P23" s="53" t="n">
        <f aca="false">M23/$G$2</f>
        <v>0.0695947905159592</v>
      </c>
      <c r="Q23" s="54" t="n">
        <f aca="false">N23/$H$2</f>
        <v>0.0638965489451314</v>
      </c>
      <c r="R23" s="55" t="n">
        <f aca="false">O23*$K23/$I23</f>
        <v>0.652366975953142</v>
      </c>
      <c r="S23" s="53" t="n">
        <f aca="false">P23*$K23/$I23</f>
        <v>0.271142052516682</v>
      </c>
      <c r="T23" s="54" t="n">
        <f aca="false">Q23*$K23/$I23</f>
        <v>0.248941642057858</v>
      </c>
      <c r="U23" s="2" t="n">
        <v>97.482</v>
      </c>
      <c r="V23" s="2" t="n">
        <v>100.2932</v>
      </c>
      <c r="W23" s="51" t="n">
        <f aca="false">AVERAGE(R23:R24)/100</f>
        <v>0.00587146129699683</v>
      </c>
      <c r="X23" s="0" t="n">
        <f aca="false">AVERAGE(S23:S24)/100</f>
        <v>0.00238389021032173</v>
      </c>
      <c r="Y23" s="1" t="n">
        <f aca="false">AVERAGE(T23:T24)/100</f>
        <v>0.00218277375296413</v>
      </c>
      <c r="Z23" s="33" t="n">
        <f aca="false">AVERAGE(U23:V24)/100</f>
        <v>0.985854</v>
      </c>
      <c r="AA23" s="2" t="n">
        <f aca="false">SUM(W23:Z23)</f>
        <v>0.996292125260283</v>
      </c>
      <c r="AD23" s="0" t="n">
        <v>0.00521925283446224</v>
      </c>
      <c r="AE23" s="0" t="n">
        <v>0.00205635989547664</v>
      </c>
      <c r="AF23" s="0" t="n">
        <v>0.00187613108534968</v>
      </c>
      <c r="AG23" s="0" t="n">
        <v>0.990848256184711</v>
      </c>
    </row>
    <row r="24" customFormat="false" ht="14.25" hidden="false" customHeight="true" outlineLevel="0" collapsed="false">
      <c r="A24" s="18"/>
      <c r="B24" s="34" t="s">
        <v>32</v>
      </c>
      <c r="C24" s="34" t="n">
        <v>20</v>
      </c>
      <c r="D24" s="34" t="n">
        <v>2.7188</v>
      </c>
      <c r="E24" s="34" t="n">
        <v>100</v>
      </c>
      <c r="F24" s="34" t="n">
        <v>3.0307</v>
      </c>
      <c r="G24" s="30" t="n">
        <f aca="false">1000-E24</f>
        <v>900</v>
      </c>
      <c r="H24" s="34" t="n">
        <v>3.6734</v>
      </c>
      <c r="I24" s="35" t="n">
        <f aca="false">F24-D24</f>
        <v>0.3119</v>
      </c>
      <c r="J24" s="35" t="n">
        <f aca="false">H24-F24</f>
        <v>0.6427</v>
      </c>
      <c r="K24" s="35" t="n">
        <f aca="false">J24+I24</f>
        <v>0.9546</v>
      </c>
      <c r="L24" s="36" t="n">
        <v>31.9428</v>
      </c>
      <c r="M24" s="36" t="n">
        <v>11.4466</v>
      </c>
      <c r="N24" s="36" t="n">
        <v>10.4966</v>
      </c>
      <c r="O24" s="58" t="n">
        <f aca="false">L24/$F$2</f>
        <v>0.170530584440475</v>
      </c>
      <c r="P24" s="59" t="n">
        <f aca="false">M24/$G$2</f>
        <v>0.0671882098679198</v>
      </c>
      <c r="Q24" s="60" t="n">
        <f aca="false">N24/$H$2</f>
        <v>0.0612995270815595</v>
      </c>
      <c r="R24" s="55" t="n">
        <f aca="false">O24*$K24/$I24</f>
        <v>0.521925283446224</v>
      </c>
      <c r="S24" s="53" t="n">
        <f aca="false">P24*$K24/$I24</f>
        <v>0.205635989547664</v>
      </c>
      <c r="T24" s="54" t="n">
        <f aca="false">Q24*$K24/$I24</f>
        <v>0.187613108534968</v>
      </c>
      <c r="U24" s="42" t="n">
        <v>97.981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37</v>
      </c>
      <c r="B25" s="1" t="s">
        <v>31</v>
      </c>
      <c r="C25" s="1" t="n">
        <v>1</v>
      </c>
      <c r="D25" s="1" t="n">
        <v>2.8209</v>
      </c>
      <c r="F25" s="1" t="n">
        <v>3.0963</v>
      </c>
      <c r="G25" s="2" t="n">
        <f aca="false">1000-E25</f>
        <v>1000</v>
      </c>
      <c r="H25" s="1" t="n">
        <v>3.5769</v>
      </c>
      <c r="I25" s="1" t="n">
        <f aca="false">F25-D25</f>
        <v>0.2754</v>
      </c>
      <c r="J25" s="1" t="n">
        <f aca="false">H25-F25</f>
        <v>0.4806</v>
      </c>
      <c r="K25" s="1" t="n">
        <f aca="false">J25+I25</f>
        <v>0.756</v>
      </c>
      <c r="M25" s="1" t="n">
        <v>3013.61</v>
      </c>
      <c r="N25" s="1" t="n">
        <v>2979.82</v>
      </c>
      <c r="P25" s="1" t="n">
        <f aca="false">M25/$G$2</f>
        <v>17.6890134310679</v>
      </c>
      <c r="Q25" s="1" t="n">
        <f aca="false">N25/$H$2</f>
        <v>17.401973666537</v>
      </c>
      <c r="S25" s="1" t="n">
        <f aca="false">P25*$K25/$I25</f>
        <v>48.5580760852845</v>
      </c>
      <c r="T25" s="1" t="n">
        <f aca="false">Q25*$K25/$I25</f>
        <v>47.7701237904938</v>
      </c>
      <c r="U25" s="1" t="n">
        <v>0.9213</v>
      </c>
      <c r="X25" s="1" t="n">
        <f aca="false">AVERAGE(S25:S26)/100</f>
        <v>0.486199538687177</v>
      </c>
      <c r="Y25" s="1" t="n">
        <f aca="false">AVERAGE(T25:T26)/100</f>
        <v>0.478823562094908</v>
      </c>
      <c r="Z25" s="1" t="n">
        <f aca="false">AVERAGE(U25:V26)/100</f>
        <v>0.0092335</v>
      </c>
      <c r="AA25" s="1" t="n">
        <f aca="false">SUM(W25:Z25)</f>
        <v>0.974256600782085</v>
      </c>
      <c r="AE25" s="1" t="n">
        <f aca="false">IFERROR(X25/$AA25,"")</f>
        <v>0.499046697037392</v>
      </c>
      <c r="AF25" s="1" t="n">
        <f aca="false">IFERROR(Y25/$AA25,"")</f>
        <v>0.491475820343975</v>
      </c>
      <c r="AG25" s="1" t="n">
        <f aca="false">IFERROR(Z25/$AA25,"")</f>
        <v>0.0094774826186323</v>
      </c>
    </row>
    <row r="26" customFormat="false" ht="14.25" hidden="false" customHeight="true" outlineLevel="0" collapsed="false">
      <c r="A26" s="45"/>
      <c r="B26" s="1" t="s">
        <v>31</v>
      </c>
      <c r="C26" s="1" t="n">
        <v>2</v>
      </c>
      <c r="D26" s="1" t="n">
        <v>2.7648</v>
      </c>
      <c r="F26" s="1" t="n">
        <v>3.0455</v>
      </c>
      <c r="G26" s="2" t="n">
        <f aca="false">1000-E26</f>
        <v>1000</v>
      </c>
      <c r="H26" s="1" t="n">
        <v>3.521</v>
      </c>
      <c r="I26" s="1" t="n">
        <f aca="false">F26-D26</f>
        <v>0.2807</v>
      </c>
      <c r="J26" s="1" t="n">
        <f aca="false">H26-F26</f>
        <v>0.4755</v>
      </c>
      <c r="K26" s="1" t="n">
        <f aca="false">J26+I26</f>
        <v>0.7562</v>
      </c>
      <c r="M26" s="1" t="n">
        <v>3078.62</v>
      </c>
      <c r="N26" s="1" t="n">
        <v>3050.63</v>
      </c>
      <c r="P26" s="1" t="n">
        <f aca="false">M26/$G$2</f>
        <v>18.0706032065046</v>
      </c>
      <c r="Q26" s="1" t="n">
        <f aca="false">N26/$H$2</f>
        <v>17.815499904809</v>
      </c>
      <c r="S26" s="1" t="n">
        <f aca="false">P26*$K26/$I26</f>
        <v>48.6818316521509</v>
      </c>
      <c r="T26" s="1" t="n">
        <f aca="false">Q26*$K26/$I26</f>
        <v>47.9945886284878</v>
      </c>
      <c r="U26" s="1" t="n">
        <v>0.9254</v>
      </c>
    </row>
    <row r="27" customFormat="false" ht="14.25" hidden="false" customHeight="true" outlineLevel="0" collapsed="false">
      <c r="A27" s="45"/>
      <c r="B27" s="1" t="s">
        <v>32</v>
      </c>
      <c r="C27" s="1" t="n">
        <v>3</v>
      </c>
      <c r="D27" s="1" t="n">
        <v>2.7676</v>
      </c>
      <c r="F27" s="1" t="n">
        <v>3.2654</v>
      </c>
      <c r="G27" s="2" t="n">
        <f aca="false">1000-E27</f>
        <v>1000</v>
      </c>
      <c r="H27" s="1" t="n">
        <v>4.1525</v>
      </c>
      <c r="I27" s="1" t="n">
        <f aca="false">F27-D27</f>
        <v>0.4978</v>
      </c>
      <c r="J27" s="1" t="n">
        <f aca="false">H27-F27</f>
        <v>0.8871</v>
      </c>
      <c r="K27" s="1" t="n">
        <f aca="false">J27+I27</f>
        <v>1.3849</v>
      </c>
      <c r="M27" s="1" t="n">
        <v>7.67</v>
      </c>
      <c r="N27" s="1" t="n">
        <v>4.01</v>
      </c>
      <c r="P27" s="1" t="n">
        <f aca="false">M27/$G$2</f>
        <v>0.0450206672450287</v>
      </c>
      <c r="Q27" s="1" t="n">
        <f aca="false">N27/$H$2</f>
        <v>0.0234181643195943</v>
      </c>
      <c r="S27" s="1" t="n">
        <f aca="false">P27*$K27/$I27</f>
        <v>0.125249341236722</v>
      </c>
      <c r="T27" s="1" t="n">
        <f aca="false">Q27*$K27/$I27</f>
        <v>0.0651502928208239</v>
      </c>
      <c r="X27" s="1" t="n">
        <f aca="false">AVERAGE(S27:S28)/100</f>
        <v>0.00655299175870596</v>
      </c>
      <c r="Y27" s="1" t="n">
        <f aca="false">AVERAGE(T27:T28)/100</f>
        <v>0.00573605671808875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32</v>
      </c>
      <c r="C28" s="1" t="n">
        <v>4</v>
      </c>
      <c r="D28" s="1" t="n">
        <v>2.7845</v>
      </c>
      <c r="F28" s="1" t="n">
        <v>3.0029</v>
      </c>
      <c r="G28" s="2" t="n">
        <f aca="false">1000-E28</f>
        <v>1000</v>
      </c>
      <c r="H28" s="1" t="n">
        <v>3.4868</v>
      </c>
      <c r="I28" s="1" t="n">
        <f aca="false">F28-D28</f>
        <v>0.2184</v>
      </c>
      <c r="J28" s="1" t="n">
        <f aca="false">H28-F28</f>
        <v>0.4839</v>
      </c>
      <c r="K28" s="1" t="n">
        <f aca="false">J28+I28</f>
        <v>0.7023</v>
      </c>
      <c r="M28" s="1" t="n">
        <v>62.8</v>
      </c>
      <c r="N28" s="1" t="n">
        <v>57.62</v>
      </c>
      <c r="P28" s="1" t="n">
        <f aca="false">M28/$G$2</f>
        <v>0.368617718772855</v>
      </c>
      <c r="Q28" s="1" t="n">
        <f aca="false">N28/$H$2</f>
        <v>0.336497413490031</v>
      </c>
      <c r="S28" s="1" t="n">
        <f aca="false">P28*$K28/$I28</f>
        <v>1.18534901050447</v>
      </c>
      <c r="T28" s="1" t="n">
        <f aca="false">Q28*$K28/$I28</f>
        <v>1.08206105079693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selection pane="topLeft" activeCell="U27" activeCellId="0" sqref="U27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68</v>
      </c>
    </row>
    <row r="2" customFormat="false" ht="14.25" hidden="false" customHeight="true" outlineLevel="0" collapsed="false">
      <c r="E2" s="1" t="s">
        <v>2</v>
      </c>
      <c r="F2" s="1" t="n">
        <v>187.3142</v>
      </c>
      <c r="G2" s="2" t="n">
        <v>170.3662</v>
      </c>
      <c r="H2" s="4" t="n">
        <v>177.8399</v>
      </c>
    </row>
    <row r="3" customFormat="false" ht="14.25" hidden="false" customHeight="true" outlineLevel="0" collapsed="false">
      <c r="M3" s="1" t="s">
        <v>69</v>
      </c>
      <c r="N3" s="1" t="s">
        <v>47</v>
      </c>
      <c r="O3" s="5" t="s">
        <v>5</v>
      </c>
      <c r="P3" s="5"/>
      <c r="Q3" s="5"/>
      <c r="R3" s="6" t="s">
        <v>6</v>
      </c>
      <c r="S3" s="6"/>
      <c r="T3" s="6"/>
      <c r="U3" s="7" t="s">
        <v>7</v>
      </c>
      <c r="V3" s="7"/>
    </row>
    <row r="4" customFormat="false" ht="14.25" hidden="false" customHeight="true" outlineLevel="0" collapsed="false">
      <c r="A4" s="8" t="s">
        <v>8</v>
      </c>
      <c r="B4" s="8" t="s">
        <v>9</v>
      </c>
      <c r="C4" s="8" t="s">
        <v>10</v>
      </c>
      <c r="D4" s="8" t="s">
        <v>11</v>
      </c>
      <c r="E4" s="8" t="s">
        <v>12</v>
      </c>
      <c r="F4" s="8" t="s">
        <v>13</v>
      </c>
      <c r="G4" s="8" t="s">
        <v>14</v>
      </c>
      <c r="H4" s="8" t="s">
        <v>15</v>
      </c>
      <c r="I4" s="9" t="s">
        <v>16</v>
      </c>
      <c r="J4" s="9" t="s">
        <v>17</v>
      </c>
      <c r="K4" s="9" t="s">
        <v>18</v>
      </c>
      <c r="L4" s="9" t="s">
        <v>19</v>
      </c>
      <c r="M4" s="10" t="s">
        <v>40</v>
      </c>
      <c r="N4" s="11" t="s">
        <v>21</v>
      </c>
      <c r="O4" s="12" t="s">
        <v>22</v>
      </c>
      <c r="P4" s="13" t="s">
        <v>23</v>
      </c>
      <c r="Q4" s="14" t="s">
        <v>24</v>
      </c>
      <c r="R4" s="12" t="s">
        <v>22</v>
      </c>
      <c r="S4" s="13" t="s">
        <v>23</v>
      </c>
      <c r="T4" s="14" t="s">
        <v>24</v>
      </c>
      <c r="U4" s="15" t="n">
        <v>1</v>
      </c>
      <c r="V4" s="15" t="n">
        <v>2</v>
      </c>
      <c r="W4" s="16" t="s">
        <v>25</v>
      </c>
      <c r="X4" s="15" t="s">
        <v>26</v>
      </c>
      <c r="Y4" s="15" t="s">
        <v>27</v>
      </c>
      <c r="Z4" s="17" t="s">
        <v>28</v>
      </c>
    </row>
    <row r="5" customFormat="false" ht="14.25" hidden="false" customHeight="true" outlineLevel="0" collapsed="false">
      <c r="A5" s="18" t="s">
        <v>62</v>
      </c>
      <c r="B5" s="19" t="s">
        <v>31</v>
      </c>
      <c r="C5" s="20" t="n">
        <v>1</v>
      </c>
      <c r="D5" s="21" t="n">
        <v>2.8704</v>
      </c>
      <c r="E5" s="19" t="n">
        <v>300</v>
      </c>
      <c r="F5" s="20" t="n">
        <v>3.0503</v>
      </c>
      <c r="G5" s="19" t="n">
        <f aca="false">1000-E5</f>
        <v>700</v>
      </c>
      <c r="H5" s="20" t="n">
        <v>3.6857</v>
      </c>
      <c r="I5" s="22" t="n">
        <f aca="false">F5-D5</f>
        <v>0.1799</v>
      </c>
      <c r="J5" s="22" t="n">
        <f aca="false">H5-F5</f>
        <v>0.6354</v>
      </c>
      <c r="K5" s="22" t="n">
        <f aca="false">J5+I5</f>
        <v>0.8153</v>
      </c>
      <c r="L5" s="23" t="n">
        <v>151.7169</v>
      </c>
      <c r="M5" s="23" t="n">
        <v>1534.5357</v>
      </c>
      <c r="N5" s="23" t="n">
        <v>1600.5344</v>
      </c>
      <c r="O5" s="24" t="n">
        <f aca="false">L5/$F$2</f>
        <v>0.809959415783747</v>
      </c>
      <c r="P5" s="47" t="n">
        <f aca="false">M5/$G$2</f>
        <v>9.0072778520622</v>
      </c>
      <c r="Q5" s="26" t="n">
        <f aca="false">N5/$H$2</f>
        <v>8.99986111103301</v>
      </c>
      <c r="R5" s="25" t="n">
        <f aca="false">O5*$K5/$I5</f>
        <v>3.67070545685653</v>
      </c>
      <c r="S5" s="47" t="n">
        <f aca="false">P5*$K5/$I5</f>
        <v>40.8206427614581</v>
      </c>
      <c r="T5" s="26" t="n">
        <f aca="false">Q5*$K5/$I5</f>
        <v>40.7870303714576</v>
      </c>
      <c r="U5" s="27" t="n">
        <v>1.9283</v>
      </c>
      <c r="V5" s="27"/>
      <c r="W5" s="48" t="n">
        <f aca="false">AVERAGE(R5:R6)/100</f>
        <v>0.043477774430345</v>
      </c>
      <c r="X5" s="49" t="n">
        <f aca="false">AVERAGE(S5:S6)/100</f>
        <v>0.483010075603194</v>
      </c>
      <c r="Y5" s="49" t="n">
        <f aca="false">AVERAGE(T5:T6)/100</f>
        <v>0.485141388740069</v>
      </c>
      <c r="Z5" s="50" t="n">
        <f aca="false">AVERAGE(U5:V6)/100</f>
        <v>0.0189095</v>
      </c>
      <c r="AA5" s="2" t="n">
        <f aca="false">SUM(W5:Z5)</f>
        <v>1.03053873877361</v>
      </c>
      <c r="AD5" s="0" t="n">
        <v>0.042165281330209</v>
      </c>
      <c r="AE5" s="0" t="n">
        <v>0.468429122464919</v>
      </c>
      <c r="AF5" s="0" t="n">
        <v>0.470496096204872</v>
      </c>
      <c r="AG5" s="0" t="n">
        <v>0.0189095</v>
      </c>
    </row>
    <row r="6" customFormat="false" ht="14.25" hidden="false" customHeight="true" outlineLevel="0" collapsed="false">
      <c r="A6" s="18"/>
      <c r="B6" s="20" t="s">
        <v>31</v>
      </c>
      <c r="C6" s="20" t="n">
        <v>2</v>
      </c>
      <c r="D6" s="20" t="n">
        <v>2.8691</v>
      </c>
      <c r="E6" s="20" t="n">
        <v>300</v>
      </c>
      <c r="F6" s="20" t="n">
        <v>3.0579</v>
      </c>
      <c r="G6" s="19" t="n">
        <f aca="false">1000-E6</f>
        <v>700</v>
      </c>
      <c r="H6" s="20" t="n">
        <v>3.6781</v>
      </c>
      <c r="I6" s="22" t="n">
        <f aca="false">F6-D6</f>
        <v>0.1888</v>
      </c>
      <c r="J6" s="22" t="n">
        <f aca="false">H6-F6</f>
        <v>0.6202</v>
      </c>
      <c r="K6" s="22" t="n">
        <f aca="false">J6+I6</f>
        <v>0.809</v>
      </c>
      <c r="L6" s="23" t="n">
        <v>219.6581</v>
      </c>
      <c r="M6" s="23" t="n">
        <v>2217.819</v>
      </c>
      <c r="N6" s="23" t="n">
        <v>2334.1976</v>
      </c>
      <c r="O6" s="24" t="n">
        <f aca="false">L6/$F$2</f>
        <v>1.17267190634773</v>
      </c>
      <c r="P6" s="47" t="n">
        <f aca="false">M6/$G$2</f>
        <v>13.0179519176926</v>
      </c>
      <c r="Q6" s="26" t="n">
        <f aca="false">N6/$H$2</f>
        <v>13.1252750367044</v>
      </c>
      <c r="R6" s="25" t="n">
        <f aca="false">O6*$K6/$I6</f>
        <v>5.02484942921247</v>
      </c>
      <c r="S6" s="47" t="n">
        <f aca="false">P6*$K6/$I6</f>
        <v>55.7813723591807</v>
      </c>
      <c r="T6" s="26" t="n">
        <f aca="false">Q6*$K6/$I6</f>
        <v>56.2412473765563</v>
      </c>
      <c r="U6" s="27" t="n">
        <v>1.8536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32</v>
      </c>
      <c r="C7" s="34" t="n">
        <v>3</v>
      </c>
      <c r="D7" s="34" t="n">
        <v>2.8385</v>
      </c>
      <c r="E7" s="34" t="n">
        <v>100</v>
      </c>
      <c r="F7" s="34" t="n">
        <v>3.0413</v>
      </c>
      <c r="G7" s="30" t="n">
        <f aca="false">1000-E7</f>
        <v>900</v>
      </c>
      <c r="H7" s="34" t="n">
        <v>3.6485</v>
      </c>
      <c r="I7" s="35" t="n">
        <f aca="false">F7-D7</f>
        <v>0.2028</v>
      </c>
      <c r="J7" s="35" t="n">
        <f aca="false">H7-F7</f>
        <v>0.6072</v>
      </c>
      <c r="K7" s="35" t="n">
        <f aca="false">J7+I7</f>
        <v>0.81</v>
      </c>
      <c r="L7" s="1" t="n">
        <v>5.6609</v>
      </c>
      <c r="M7" s="1" t="n">
        <v>3.3472</v>
      </c>
      <c r="N7" s="36" t="n">
        <v>2.3765</v>
      </c>
      <c r="O7" s="52" t="n">
        <f aca="false">L7/$F$2</f>
        <v>0.0302214140732523</v>
      </c>
      <c r="P7" s="53" t="n">
        <f aca="false">M7/$G$2</f>
        <v>0.0196470896222373</v>
      </c>
      <c r="Q7" s="54" t="n">
        <f aca="false">N7/$H$2</f>
        <v>0.013363142916747</v>
      </c>
      <c r="R7" s="55" t="n">
        <f aca="false">O7*$K7/$I7</f>
        <v>0.120706831357664</v>
      </c>
      <c r="S7" s="53" t="n">
        <f aca="false">P7*$K7/$I7</f>
        <v>0.0784721035207701</v>
      </c>
      <c r="T7" s="54" t="n">
        <f aca="false">Q7*$K7/$I7</f>
        <v>0.0533734998154097</v>
      </c>
      <c r="U7" s="2" t="n">
        <v>98.5301</v>
      </c>
      <c r="V7" s="2"/>
      <c r="W7" s="51" t="n">
        <f aca="false">AVERAGE(R7:R8)/100</f>
        <v>0.00117810738297425</v>
      </c>
      <c r="X7" s="0" t="n">
        <f aca="false">AVERAGE(S7:S8)/100</f>
        <v>0.00132921173611812</v>
      </c>
      <c r="Y7" s="1" t="n">
        <f aca="false">AVERAGE(T7:T8)/100</f>
        <v>0.00110819066326401</v>
      </c>
      <c r="Z7" s="33" t="n">
        <f aca="false">AVERAGE(U7:V8)/100</f>
        <v>0.9913355</v>
      </c>
      <c r="AA7" s="2" t="n">
        <f aca="false">SUM(W7:Z7)</f>
        <v>0.994951009782356</v>
      </c>
      <c r="AD7" s="0" t="n">
        <v>0.00117810738297425</v>
      </c>
      <c r="AE7" s="0" t="n">
        <v>0.00132921173611812</v>
      </c>
      <c r="AF7" s="0" t="n">
        <v>0.00110819066326401</v>
      </c>
      <c r="AG7" s="0" t="n">
        <v>0.996384490217644</v>
      </c>
    </row>
    <row r="8" customFormat="false" ht="14.25" hidden="false" customHeight="true" outlineLevel="0" collapsed="false">
      <c r="A8" s="18"/>
      <c r="B8" s="34" t="s">
        <v>32</v>
      </c>
      <c r="C8" s="34" t="n">
        <v>4</v>
      </c>
      <c r="D8" s="34" t="n">
        <v>2.7677</v>
      </c>
      <c r="E8" s="34" t="n">
        <v>100</v>
      </c>
      <c r="F8" s="34" t="n">
        <v>2.9751</v>
      </c>
      <c r="G8" s="30" t="n">
        <f aca="false">1000-E8</f>
        <v>900</v>
      </c>
      <c r="H8" s="34" t="n">
        <v>3.6229</v>
      </c>
      <c r="I8" s="35" t="n">
        <f aca="false">F8-D8</f>
        <v>0.2074</v>
      </c>
      <c r="J8" s="35" t="n">
        <f aca="false">H8-F8</f>
        <v>0.6478</v>
      </c>
      <c r="K8" s="35" t="n">
        <f aca="false">J8+I8</f>
        <v>0.8552</v>
      </c>
      <c r="L8" s="36" t="n">
        <v>5.2202</v>
      </c>
      <c r="M8" s="36" t="n">
        <v>7.7415</v>
      </c>
      <c r="N8" s="36" t="n">
        <v>7.2571</v>
      </c>
      <c r="O8" s="52" t="n">
        <f aca="false">L8/$F$2</f>
        <v>0.0278686826732837</v>
      </c>
      <c r="P8" s="53" t="n">
        <f aca="false">M8/$G$2</f>
        <v>0.0454403514312111</v>
      </c>
      <c r="Q8" s="54" t="n">
        <f aca="false">N8/$H$2</f>
        <v>0.0408069280290868</v>
      </c>
      <c r="R8" s="55" t="n">
        <f aca="false">O8*$K8/$I8</f>
        <v>0.114914645237185</v>
      </c>
      <c r="S8" s="53" t="n">
        <f aca="false">P8*$K8/$I8</f>
        <v>0.187370243702853</v>
      </c>
      <c r="T8" s="54" t="n">
        <f aca="false">Q8*$K8/$I8</f>
        <v>0.168264632837392</v>
      </c>
      <c r="U8" s="2" t="n">
        <v>99.737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63</v>
      </c>
      <c r="B9" s="19" t="s">
        <v>31</v>
      </c>
      <c r="C9" s="20" t="n">
        <v>5</v>
      </c>
      <c r="D9" s="19" t="n">
        <v>2.8343</v>
      </c>
      <c r="E9" s="19" t="n">
        <v>300</v>
      </c>
      <c r="F9" s="20" t="n">
        <v>3.0339</v>
      </c>
      <c r="G9" s="19" t="n">
        <f aca="false">1000-E9</f>
        <v>700</v>
      </c>
      <c r="H9" s="20" t="n">
        <v>3.6605</v>
      </c>
      <c r="I9" s="22" t="n">
        <f aca="false">F9-D9</f>
        <v>0.1996</v>
      </c>
      <c r="J9" s="22" t="n">
        <f aca="false">H9-F9</f>
        <v>0.6266</v>
      </c>
      <c r="K9" s="22" t="n">
        <f aca="false">J9+I9</f>
        <v>0.8262</v>
      </c>
      <c r="L9" s="23" t="n">
        <v>72.5373</v>
      </c>
      <c r="M9" s="23" t="n">
        <v>0.2952</v>
      </c>
      <c r="N9" s="23" t="n">
        <v>0.2666</v>
      </c>
      <c r="O9" s="24" t="n">
        <f aca="false">L9/$F$2</f>
        <v>0.387249338277611</v>
      </c>
      <c r="P9" s="47" t="n">
        <f aca="false">M9/$G$2</f>
        <v>0.00173273806658833</v>
      </c>
      <c r="Q9" s="26" t="n">
        <f aca="false">N9/$H$2</f>
        <v>0.00149910115783916</v>
      </c>
      <c r="R9" s="25" t="n">
        <f aca="false">O9*$K9/$I9</f>
        <v>1.60293288218919</v>
      </c>
      <c r="S9" s="47" t="n">
        <f aca="false">P9*$K9/$I9</f>
        <v>0.00717228552412462</v>
      </c>
      <c r="T9" s="26" t="n">
        <f aca="false">Q9*$K9/$I9</f>
        <v>0.00620519727758873</v>
      </c>
      <c r="U9" s="27" t="n">
        <v>99.3513</v>
      </c>
      <c r="V9" s="27"/>
      <c r="W9" s="56" t="n">
        <f aca="false">AVERAGE(R9:R10)/100</f>
        <v>0.0161664582900742</v>
      </c>
      <c r="X9" s="57" t="n">
        <f aca="false">AVERAGE(S9:S10)/100</f>
        <v>5.30368267779836E-005</v>
      </c>
      <c r="Y9" s="57" t="n">
        <f aca="false">AVERAGE(T9:T10)/100</f>
        <v>3.68324804789908E-005</v>
      </c>
      <c r="Z9" s="29" t="n">
        <f aca="false">AVERAGE(U9:V10)/100</f>
        <v>0.973528666666667</v>
      </c>
      <c r="AA9" s="2" t="n">
        <f aca="false">SUM(W9:Z9)</f>
        <v>0.989784994263998</v>
      </c>
      <c r="AD9" s="0" t="n">
        <v>0.0161664582900742</v>
      </c>
      <c r="AE9" s="0" t="n">
        <v>5.30368267779836E-005</v>
      </c>
      <c r="AF9" s="0" t="n">
        <v>3.68324804789908E-005</v>
      </c>
      <c r="AG9" s="0" t="n">
        <v>0.983743672402669</v>
      </c>
    </row>
    <row r="10" customFormat="false" ht="14.25" hidden="false" customHeight="true" outlineLevel="0" collapsed="false">
      <c r="A10" s="18"/>
      <c r="B10" s="20" t="s">
        <v>31</v>
      </c>
      <c r="C10" s="20" t="n">
        <v>6</v>
      </c>
      <c r="D10" s="20" t="n">
        <v>2.7751</v>
      </c>
      <c r="E10" s="20" t="n">
        <v>300</v>
      </c>
      <c r="F10" s="20" t="n">
        <v>2.9821</v>
      </c>
      <c r="G10" s="19" t="n">
        <f aca="false">1000-E10</f>
        <v>700</v>
      </c>
      <c r="H10" s="20" t="n">
        <v>3.602</v>
      </c>
      <c r="I10" s="22" t="n">
        <f aca="false">F10-D10</f>
        <v>0.207</v>
      </c>
      <c r="J10" s="22" t="n">
        <f aca="false">H10-F10</f>
        <v>0.6199</v>
      </c>
      <c r="K10" s="22" t="n">
        <f aca="false">J10+I10</f>
        <v>0.8269</v>
      </c>
      <c r="L10" s="23" t="n">
        <v>76.4489</v>
      </c>
      <c r="M10" s="23" t="n">
        <v>0.1465</v>
      </c>
      <c r="N10" s="23" t="n">
        <v>0.0517</v>
      </c>
      <c r="O10" s="24" t="n">
        <f aca="false">L10/$F$2</f>
        <v>0.408131898168959</v>
      </c>
      <c r="P10" s="47" t="n">
        <f aca="false">M10/$G$2</f>
        <v>0.00085991235350674</v>
      </c>
      <c r="Q10" s="26" t="n">
        <f aca="false">N10/$H$2</f>
        <v>0.000290710914704743</v>
      </c>
      <c r="R10" s="25" t="n">
        <f aca="false">O10*$K10/$I10</f>
        <v>1.63035877582566</v>
      </c>
      <c r="S10" s="47" t="n">
        <f aca="false">P10*$K10/$I10</f>
        <v>0.0034350798314721</v>
      </c>
      <c r="T10" s="26" t="n">
        <f aca="false">Q10*$K10/$I10</f>
        <v>0.00116129881820943</v>
      </c>
      <c r="U10" s="27" t="n">
        <v>96.8156</v>
      </c>
      <c r="V10" s="27" t="n">
        <v>95.8917</v>
      </c>
      <c r="W10" s="51"/>
      <c r="Z10" s="33"/>
      <c r="AA10" s="2"/>
    </row>
    <row r="11" customFormat="false" ht="14.25" hidden="false" customHeight="true" outlineLevel="0" collapsed="false">
      <c r="A11" s="18"/>
      <c r="B11" s="34" t="s">
        <v>32</v>
      </c>
      <c r="C11" s="34" t="n">
        <v>7</v>
      </c>
      <c r="D11" s="34" t="n">
        <v>2.7561</v>
      </c>
      <c r="E11" s="34" t="n">
        <v>100</v>
      </c>
      <c r="F11" s="34" t="n">
        <v>2.9572</v>
      </c>
      <c r="G11" s="30" t="n">
        <f aca="false">1000-E11</f>
        <v>900</v>
      </c>
      <c r="H11" s="34" t="n">
        <v>3.5909</v>
      </c>
      <c r="I11" s="35" t="n">
        <f aca="false">F11-D11</f>
        <v>0.2011</v>
      </c>
      <c r="J11" s="35" t="n">
        <f aca="false">H11-F11</f>
        <v>0.6337</v>
      </c>
      <c r="K11" s="35" t="n">
        <f aca="false">J11+I11</f>
        <v>0.8348</v>
      </c>
      <c r="L11" s="40" t="n">
        <v>2887.249</v>
      </c>
      <c r="M11" s="40" t="n">
        <v>57.6529</v>
      </c>
      <c r="N11" s="36" t="n">
        <v>59.9801</v>
      </c>
      <c r="O11" s="52" t="n">
        <f aca="false">L11/$F$2</f>
        <v>15.4139355158338</v>
      </c>
      <c r="P11" s="53" t="n">
        <f aca="false">M11/$G$2</f>
        <v>0.338405740105725</v>
      </c>
      <c r="Q11" s="54" t="n">
        <f aca="false">N11/$H$2</f>
        <v>0.337270207641817</v>
      </c>
      <c r="R11" s="55" t="n">
        <f aca="false">O11*$K11/$I11</f>
        <v>63.9858446972555</v>
      </c>
      <c r="S11" s="53" t="n">
        <f aca="false">P11*$K11/$I11</f>
        <v>1.40477927319871</v>
      </c>
      <c r="T11" s="54" t="n">
        <f aca="false">Q11*$K11/$I11</f>
        <v>1.40006548652108</v>
      </c>
      <c r="U11" s="2" t="n">
        <v>7.9147</v>
      </c>
      <c r="V11" s="2"/>
      <c r="W11" s="51" t="n">
        <f aca="false">AVERAGE(R11:R12)/100</f>
        <v>0.703311783551768</v>
      </c>
      <c r="X11" s="0" t="n">
        <f aca="false">AVERAGE(S11:S12)/100</f>
        <v>0.0153404853097319</v>
      </c>
      <c r="Y11" s="1" t="n">
        <f aca="false">AVERAGE(T11:T12)/100</f>
        <v>0.015407647220902</v>
      </c>
      <c r="Z11" s="33" t="n">
        <f aca="false">AVERAGE(U11:V12)/100</f>
        <v>0.077277</v>
      </c>
      <c r="AA11" s="2" t="n">
        <f aca="false">SUM(W11:Z11)</f>
        <v>0.811336916082402</v>
      </c>
      <c r="AD11" s="0" t="n">
        <v>0.884072191705655</v>
      </c>
      <c r="AE11" s="0" t="n">
        <v>0.0192831924429215</v>
      </c>
      <c r="AF11" s="0" t="n">
        <v>0.0193676158514239</v>
      </c>
      <c r="AG11" s="0" t="n">
        <v>0.077277</v>
      </c>
    </row>
    <row r="12" customFormat="false" ht="14.25" hidden="false" customHeight="true" outlineLevel="0" collapsed="false">
      <c r="A12" s="18"/>
      <c r="B12" s="34" t="s">
        <v>32</v>
      </c>
      <c r="C12" s="34" t="n">
        <v>8</v>
      </c>
      <c r="D12" s="34" t="n">
        <v>2.8336</v>
      </c>
      <c r="E12" s="34" t="n">
        <v>100</v>
      </c>
      <c r="F12" s="34" t="n">
        <v>3.039</v>
      </c>
      <c r="G12" s="30" t="n">
        <f aca="false">1000-E12</f>
        <v>900</v>
      </c>
      <c r="H12" s="34" t="n">
        <v>3.6818</v>
      </c>
      <c r="I12" s="35" t="n">
        <f aca="false">F12-D12</f>
        <v>0.2054</v>
      </c>
      <c r="J12" s="35" t="n">
        <f aca="false">H12-F12</f>
        <v>0.6428</v>
      </c>
      <c r="K12" s="35" t="n">
        <f aca="false">J12+I12</f>
        <v>0.8482</v>
      </c>
      <c r="L12" s="36" t="n">
        <v>3478.0452</v>
      </c>
      <c r="M12" s="36" t="n">
        <v>68.6216</v>
      </c>
      <c r="N12" s="36" t="n">
        <v>72.4134</v>
      </c>
      <c r="O12" s="52" t="n">
        <f aca="false">L12/$F$2</f>
        <v>18.5679740243932</v>
      </c>
      <c r="P12" s="53" t="n">
        <f aca="false">M12/$G$2</f>
        <v>0.402788816091455</v>
      </c>
      <c r="Q12" s="54" t="n">
        <f aca="false">N12/$H$2</f>
        <v>0.407183089959002</v>
      </c>
      <c r="R12" s="55" t="n">
        <f aca="false">O12*$K12/$I12</f>
        <v>76.6765120130981</v>
      </c>
      <c r="S12" s="53" t="n">
        <f aca="false">P12*$K12/$I12</f>
        <v>1.66331778874767</v>
      </c>
      <c r="T12" s="54" t="n">
        <f aca="false">Q12*$K12/$I12</f>
        <v>1.68146395765933</v>
      </c>
      <c r="U12" s="2" t="n">
        <v>7.6881</v>
      </c>
      <c r="V12" s="2" t="n">
        <v>7.5803</v>
      </c>
      <c r="W12" s="51"/>
      <c r="Z12" s="33"/>
      <c r="AA12" s="2"/>
    </row>
    <row r="13" customFormat="false" ht="14.25" hidden="false" customHeight="true" outlineLevel="0" collapsed="false">
      <c r="A13" s="18" t="s">
        <v>64</v>
      </c>
      <c r="B13" s="19" t="s">
        <v>31</v>
      </c>
      <c r="C13" s="20" t="n">
        <v>9</v>
      </c>
      <c r="D13" s="19" t="n">
        <v>2.7423</v>
      </c>
      <c r="E13" s="19" t="n">
        <v>300</v>
      </c>
      <c r="F13" s="20" t="n">
        <v>2.9238</v>
      </c>
      <c r="G13" s="19" t="n">
        <f aca="false">1000-E13</f>
        <v>700</v>
      </c>
      <c r="H13" s="20" t="n">
        <v>3.5571</v>
      </c>
      <c r="I13" s="22" t="n">
        <f aca="false">F13-D13</f>
        <v>0.1815</v>
      </c>
      <c r="J13" s="22" t="n">
        <f aca="false">H13-F13</f>
        <v>0.6333</v>
      </c>
      <c r="K13" s="22" t="n">
        <f aca="false">J13+I13</f>
        <v>0.8148</v>
      </c>
      <c r="L13" s="23" t="n">
        <v>1468.2026</v>
      </c>
      <c r="M13" s="23" t="n">
        <v>745.3646</v>
      </c>
      <c r="N13" s="23" t="n">
        <v>780.6242</v>
      </c>
      <c r="O13" s="24" t="n">
        <f aca="false">L13/$F$2</f>
        <v>7.83818098147391</v>
      </c>
      <c r="P13" s="47" t="n">
        <f aca="false">M13/$G$2</f>
        <v>4.3750732246185</v>
      </c>
      <c r="Q13" s="26" t="n">
        <f aca="false">N13/$H$2</f>
        <v>4.38947727703401</v>
      </c>
      <c r="R13" s="25" t="n">
        <f aca="false">O13*$K13/$I13</f>
        <v>35.1876025548482</v>
      </c>
      <c r="S13" s="47" t="n">
        <f aca="false">P13*$K13/$I13</f>
        <v>19.6408245918411</v>
      </c>
      <c r="T13" s="26" t="n">
        <f aca="false">Q13*$K13/$I13</f>
        <v>19.7054880734287</v>
      </c>
      <c r="U13" s="27" t="n">
        <v>3.7571</v>
      </c>
      <c r="V13" s="27"/>
      <c r="W13" s="56" t="n">
        <f aca="false">AVERAGE(R13:R14)/100</f>
        <v>0.34257935021645</v>
      </c>
      <c r="X13" s="57" t="n">
        <f aca="false">AVERAGE(S13:S14)/100</f>
        <v>0.191231732488434</v>
      </c>
      <c r="Y13" s="57" t="n">
        <f aca="false">AVERAGE(T13:T14)/100</f>
        <v>0.191441005269672</v>
      </c>
      <c r="Z13" s="29" t="n">
        <f aca="false">AVERAGE(U13:V14)/100</f>
        <v>0.037473</v>
      </c>
      <c r="AA13" s="2" t="n">
        <f aca="false">SUM(W13:Z13)</f>
        <v>0.762725087974556</v>
      </c>
      <c r="AD13" s="0" t="n">
        <v>0.454658290121816</v>
      </c>
      <c r="AE13" s="0" t="n">
        <v>0.253795485499316</v>
      </c>
      <c r="AF13" s="0" t="n">
        <v>0.254073224378867</v>
      </c>
      <c r="AG13" s="0" t="n">
        <v>0.037473</v>
      </c>
    </row>
    <row r="14" customFormat="false" ht="14.25" hidden="false" customHeight="true" outlineLevel="0" collapsed="false">
      <c r="A14" s="18"/>
      <c r="B14" s="19" t="s">
        <v>31</v>
      </c>
      <c r="C14" s="20" t="n">
        <v>10</v>
      </c>
      <c r="D14" s="20" t="n">
        <v>2.7607</v>
      </c>
      <c r="E14" s="20" t="n">
        <v>300</v>
      </c>
      <c r="F14" s="20" t="n">
        <v>2.9543</v>
      </c>
      <c r="G14" s="19" t="n">
        <f aca="false">1000-E14</f>
        <v>700</v>
      </c>
      <c r="H14" s="20" t="n">
        <v>3.5735</v>
      </c>
      <c r="I14" s="22" t="n">
        <f aca="false">F14-D14</f>
        <v>0.1936</v>
      </c>
      <c r="J14" s="22" t="n">
        <f aca="false">H14-F14</f>
        <v>0.6192</v>
      </c>
      <c r="K14" s="22" t="n">
        <f aca="false">J14+I14</f>
        <v>0.8128</v>
      </c>
      <c r="L14" s="23" t="n">
        <v>1486.9799</v>
      </c>
      <c r="M14" s="23" t="n">
        <v>755</v>
      </c>
      <c r="N14" s="23" t="n">
        <v>787.1545</v>
      </c>
      <c r="O14" s="24" t="n">
        <f aca="false">L14/$F$2</f>
        <v>7.93842591752254</v>
      </c>
      <c r="P14" s="47" t="n">
        <f aca="false">M14/$G$2</f>
        <v>4.43163021773098</v>
      </c>
      <c r="Q14" s="26" t="n">
        <f aca="false">N14/$H$2</f>
        <v>4.42619738315193</v>
      </c>
      <c r="R14" s="25" t="n">
        <f aca="false">O14*$K14/$I14</f>
        <v>33.3282674884417</v>
      </c>
      <c r="S14" s="47" t="n">
        <f aca="false">P14*$K14/$I14</f>
        <v>18.6055219058458</v>
      </c>
      <c r="T14" s="26" t="n">
        <f aca="false">Q14*$K14/$I14</f>
        <v>18.5827129805056</v>
      </c>
      <c r="U14" s="27" t="n">
        <v>3.7375</v>
      </c>
      <c r="V14" s="27"/>
      <c r="W14" s="51"/>
      <c r="Z14" s="33"/>
      <c r="AA14" s="2"/>
    </row>
    <row r="15" customFormat="false" ht="14.25" hidden="false" customHeight="true" outlineLevel="0" collapsed="false">
      <c r="A15" s="18"/>
      <c r="B15" s="34" t="s">
        <v>32</v>
      </c>
      <c r="C15" s="34" t="n">
        <v>11</v>
      </c>
      <c r="D15" s="34" t="n">
        <v>2.7382</v>
      </c>
      <c r="E15" s="34" t="n">
        <v>100</v>
      </c>
      <c r="F15" s="34" t="n">
        <v>2.9305</v>
      </c>
      <c r="G15" s="30" t="n">
        <f aca="false">1000-E15</f>
        <v>900</v>
      </c>
      <c r="H15" s="34" t="n">
        <v>3.5559</v>
      </c>
      <c r="I15" s="35" t="n">
        <f aca="false">F15-D15</f>
        <v>0.1923</v>
      </c>
      <c r="J15" s="35" t="n">
        <f aca="false">H15-F15</f>
        <v>0.6254</v>
      </c>
      <c r="K15" s="35" t="n">
        <f aca="false">J15+I15</f>
        <v>0.8177</v>
      </c>
      <c r="L15" s="36" t="n">
        <v>36.2597</v>
      </c>
      <c r="M15" s="36" t="n">
        <v>1.0571</v>
      </c>
      <c r="N15" s="41" t="n">
        <v>0.3382</v>
      </c>
      <c r="O15" s="52" t="n">
        <f aca="false">L15/$F$2</f>
        <v>0.193576888458003</v>
      </c>
      <c r="P15" s="53" t="n">
        <f aca="false">M15/$G$2</f>
        <v>0.00620486927571314</v>
      </c>
      <c r="Q15" s="54" t="n">
        <f aca="false">N15/$H$2</f>
        <v>0.00190171047104727</v>
      </c>
      <c r="R15" s="55" t="n">
        <f aca="false">O15*$K15/$I15</f>
        <v>0.823129597982885</v>
      </c>
      <c r="S15" s="53" t="n">
        <f aca="false">P15*$K15/$I15</f>
        <v>0.0263844077314126</v>
      </c>
      <c r="T15" s="54" t="n">
        <f aca="false">Q15*$K15/$I15</f>
        <v>0.00808647245020986</v>
      </c>
      <c r="U15" s="2" t="n">
        <v>96.1251</v>
      </c>
      <c r="V15" s="2"/>
      <c r="W15" s="51" t="n">
        <f aca="false">AVERAGE(R15:R16)/100</f>
        <v>0.00819677046750441</v>
      </c>
      <c r="X15" s="0" t="n">
        <f aca="false">AVERAGE(S15:S16)/100</f>
        <v>0.000263477943944954</v>
      </c>
      <c r="Y15" s="1" t="n">
        <f aca="false">AVERAGE(T15:T16)/100</f>
        <v>8.05396126741402E-005</v>
      </c>
      <c r="Z15" s="33" t="n">
        <f aca="false">AVERAGE(U15:V16)/100</f>
        <v>0.961219666666667</v>
      </c>
      <c r="AA15" s="2" t="n">
        <f aca="false">SUM(W15:Z15)</f>
        <v>0.96976045469079</v>
      </c>
      <c r="AD15" s="0" t="n">
        <v>0.00819677046750441</v>
      </c>
      <c r="AE15" s="0" t="n">
        <v>0.000263477943944954</v>
      </c>
      <c r="AF15" s="0" t="n">
        <v>8.05396126741402E-005</v>
      </c>
      <c r="AG15" s="0" t="n">
        <v>0.991459211975877</v>
      </c>
    </row>
    <row r="16" customFormat="false" ht="14.25" hidden="false" customHeight="true" outlineLevel="0" collapsed="false">
      <c r="A16" s="18"/>
      <c r="B16" s="34" t="s">
        <v>32</v>
      </c>
      <c r="C16" s="34" t="n">
        <v>12</v>
      </c>
      <c r="D16" s="34" t="n">
        <v>2.7375</v>
      </c>
      <c r="E16" s="34" t="n">
        <v>100</v>
      </c>
      <c r="F16" s="34" t="n">
        <v>2.9323</v>
      </c>
      <c r="G16" s="30" t="n">
        <f aca="false">1000-E16</f>
        <v>900</v>
      </c>
      <c r="H16" s="34" t="n">
        <v>3.5715</v>
      </c>
      <c r="I16" s="35" t="n">
        <f aca="false">F16-D16</f>
        <v>0.1948</v>
      </c>
      <c r="J16" s="35" t="n">
        <f aca="false">H16-F16</f>
        <v>0.6392</v>
      </c>
      <c r="K16" s="35" t="n">
        <f aca="false">J16+I16</f>
        <v>0.834</v>
      </c>
      <c r="L16" s="36" t="n">
        <v>35.7111</v>
      </c>
      <c r="M16" s="36" t="n">
        <v>1.047</v>
      </c>
      <c r="N16" s="36" t="n">
        <v>0.3332</v>
      </c>
      <c r="O16" s="52" t="n">
        <f aca="false">L16/$F$2</f>
        <v>0.190648119576626</v>
      </c>
      <c r="P16" s="53" t="n">
        <f aca="false">M16/$G$2</f>
        <v>0.00614558521584681</v>
      </c>
      <c r="Q16" s="54" t="n">
        <f aca="false">N16/$H$2</f>
        <v>0.00187359529554391</v>
      </c>
      <c r="R16" s="55" t="n">
        <f aca="false">O16*$K16/$I16</f>
        <v>0.816224495517996</v>
      </c>
      <c r="S16" s="53" t="n">
        <f aca="false">P16*$K16/$I16</f>
        <v>0.0263111810575782</v>
      </c>
      <c r="T16" s="54" t="n">
        <f aca="false">Q16*$K16/$I16</f>
        <v>0.00802145008461818</v>
      </c>
      <c r="U16" s="2" t="n">
        <v>96.9043</v>
      </c>
      <c r="V16" s="2" t="n">
        <v>95.3365</v>
      </c>
      <c r="W16" s="51"/>
      <c r="Z16" s="33"/>
      <c r="AA16" s="2"/>
    </row>
    <row r="17" customFormat="false" ht="14.25" hidden="false" customHeight="true" outlineLevel="0" collapsed="false">
      <c r="A17" s="18" t="s">
        <v>65</v>
      </c>
      <c r="B17" s="19" t="s">
        <v>31</v>
      </c>
      <c r="C17" s="20" t="n">
        <v>13</v>
      </c>
      <c r="D17" s="19" t="n">
        <v>2.7722</v>
      </c>
      <c r="E17" s="19" t="n">
        <v>300</v>
      </c>
      <c r="F17" s="20" t="n">
        <v>2.9728</v>
      </c>
      <c r="G17" s="19" t="n">
        <f aca="false">1000-E17</f>
        <v>700</v>
      </c>
      <c r="H17" s="20" t="n">
        <v>3.5797</v>
      </c>
      <c r="I17" s="22" t="n">
        <f aca="false">F17-D17</f>
        <v>0.2006</v>
      </c>
      <c r="J17" s="22" t="n">
        <f aca="false">H17-F17</f>
        <v>0.6069</v>
      </c>
      <c r="K17" s="22" t="n">
        <f aca="false">J17+I17</f>
        <v>0.8075</v>
      </c>
      <c r="L17" s="23" t="n">
        <v>44.5326</v>
      </c>
      <c r="M17" s="23" t="n">
        <v>0.5871</v>
      </c>
      <c r="N17" s="23" t="n">
        <v>0.1766</v>
      </c>
      <c r="O17" s="24" t="n">
        <f aca="false">L17/$F$2</f>
        <v>0.237742787252648</v>
      </c>
      <c r="P17" s="47" t="n">
        <f aca="false">M17/$G$2</f>
        <v>0.00344610609381438</v>
      </c>
      <c r="Q17" s="26" t="n">
        <f aca="false">N17/$H$2</f>
        <v>0.000993027998778677</v>
      </c>
      <c r="R17" s="25" t="n">
        <f aca="false">O17*$K17/$I17</f>
        <v>0.957015457161085</v>
      </c>
      <c r="S17" s="47" t="n">
        <f aca="false">P17*$K17/$I17</f>
        <v>0.0138720372420494</v>
      </c>
      <c r="T17" s="26" t="n">
        <f aca="false">Q17*$K17/$I17</f>
        <v>0.00399735846965993</v>
      </c>
      <c r="U17" s="27" t="n">
        <v>98.1075</v>
      </c>
      <c r="V17" s="27"/>
      <c r="W17" s="56" t="n">
        <f aca="false">AVERAGE(R17:R18)/100</f>
        <v>0.00921017642949319</v>
      </c>
      <c r="X17" s="57" t="n">
        <f aca="false">AVERAGE(S17:S18)/100</f>
        <v>0.000132792251270838</v>
      </c>
      <c r="Y17" s="57" t="n">
        <f aca="false">AVERAGE(T17:T18)/100</f>
        <v>3.89156955008497E-005</v>
      </c>
      <c r="Z17" s="29" t="n">
        <f aca="false">AVERAGE(U17:V18)/100</f>
        <v>0.9842345</v>
      </c>
      <c r="AA17" s="2" t="n">
        <f aca="false">SUM(W17:Z17)</f>
        <v>0.993616384376265</v>
      </c>
      <c r="AD17" s="0" t="n">
        <v>0.00921017642949319</v>
      </c>
      <c r="AE17" s="0" t="n">
        <v>0.000132792251270839</v>
      </c>
      <c r="AF17" s="0" t="n">
        <v>3.89156955008497E-005</v>
      </c>
      <c r="AG17" s="0" t="n">
        <v>0.990618115623735</v>
      </c>
    </row>
    <row r="18" customFormat="false" ht="14.25" hidden="false" customHeight="true" outlineLevel="0" collapsed="false">
      <c r="A18" s="18"/>
      <c r="B18" s="20" t="s">
        <v>31</v>
      </c>
      <c r="C18" s="20" t="n">
        <v>14</v>
      </c>
      <c r="D18" s="20" t="n">
        <v>2.7884</v>
      </c>
      <c r="E18" s="20" t="n">
        <v>300</v>
      </c>
      <c r="F18" s="20" t="n">
        <v>2.9927</v>
      </c>
      <c r="G18" s="19" t="n">
        <f aca="false">1000-E18</f>
        <v>700</v>
      </c>
      <c r="H18" s="20" t="n">
        <v>3.617</v>
      </c>
      <c r="I18" s="22" t="n">
        <f aca="false">F18-D18</f>
        <v>0.2043</v>
      </c>
      <c r="J18" s="22" t="n">
        <f aca="false">H18-F18</f>
        <v>0.6243</v>
      </c>
      <c r="K18" s="22" t="n">
        <f aca="false">J18+I18</f>
        <v>0.8286</v>
      </c>
      <c r="L18" s="23" t="n">
        <v>40.874</v>
      </c>
      <c r="M18" s="23" t="n">
        <v>0.5329</v>
      </c>
      <c r="N18" s="23" t="n">
        <v>0.166</v>
      </c>
      <c r="O18" s="24" t="n">
        <f aca="false">L18/$F$2</f>
        <v>0.218210899120302</v>
      </c>
      <c r="P18" s="47" t="n">
        <f aca="false">M18/$G$2</f>
        <v>0.00312796787156138</v>
      </c>
      <c r="Q18" s="26" t="n">
        <f aca="false">N18/$H$2</f>
        <v>0.000933423826711554</v>
      </c>
      <c r="R18" s="25" t="n">
        <f aca="false">O18*$K18/$I18</f>
        <v>0.885019828737552</v>
      </c>
      <c r="S18" s="47" t="n">
        <f aca="false">P18*$K18/$I18</f>
        <v>0.0126864130121183</v>
      </c>
      <c r="T18" s="26" t="n">
        <f aca="false">Q18*$K18/$I18</f>
        <v>0.00378578063051</v>
      </c>
      <c r="U18" s="27" t="n">
        <v>98.7394</v>
      </c>
      <c r="V18" s="27"/>
      <c r="W18" s="51"/>
      <c r="Z18" s="33"/>
      <c r="AA18" s="2"/>
    </row>
    <row r="19" customFormat="false" ht="14.25" hidden="false" customHeight="true" outlineLevel="0" collapsed="false">
      <c r="A19" s="18"/>
      <c r="B19" s="34" t="s">
        <v>32</v>
      </c>
      <c r="C19" s="34" t="n">
        <v>15</v>
      </c>
      <c r="D19" s="34" t="n">
        <v>2.784</v>
      </c>
      <c r="E19" s="34" t="n">
        <v>100</v>
      </c>
      <c r="F19" s="34" t="n">
        <v>2.9666</v>
      </c>
      <c r="G19" s="30" t="n">
        <f aca="false">1000-E19</f>
        <v>900</v>
      </c>
      <c r="H19" s="34" t="n">
        <v>3.6048</v>
      </c>
      <c r="I19" s="35" t="n">
        <f aca="false">F19-D19</f>
        <v>0.1826</v>
      </c>
      <c r="J19" s="35" t="n">
        <f aca="false">H19-F19</f>
        <v>0.6382</v>
      </c>
      <c r="K19" s="35" t="n">
        <f aca="false">J19+I19</f>
        <v>0.8208</v>
      </c>
      <c r="L19" s="36" t="n">
        <v>1369.2996</v>
      </c>
      <c r="M19" s="36" t="n">
        <v>254.0392</v>
      </c>
      <c r="N19" s="36" t="n">
        <v>262.2779</v>
      </c>
      <c r="O19" s="52" t="n">
        <f aca="false">L19/$F$2</f>
        <v>7.3101750961753</v>
      </c>
      <c r="P19" s="53" t="n">
        <f aca="false">M19/$G$2</f>
        <v>1.49113615259365</v>
      </c>
      <c r="Q19" s="54" t="n">
        <f aca="false">N19/$H$2</f>
        <v>1.47479783783054</v>
      </c>
      <c r="R19" s="55" t="n">
        <f aca="false">O19*$K19/$I19</f>
        <v>32.8597574969369</v>
      </c>
      <c r="S19" s="53" t="n">
        <f aca="false">P19*$K19/$I19</f>
        <v>6.70276316565643</v>
      </c>
      <c r="T19" s="54" t="n">
        <f aca="false">Q19*$K19/$I19</f>
        <v>6.62932127760848</v>
      </c>
      <c r="U19" s="2" t="n">
        <v>5.2624</v>
      </c>
      <c r="V19" s="2"/>
      <c r="W19" s="51" t="n">
        <f aca="false">AVERAGE(R19:R20)/100</f>
        <v>0.34830586612557</v>
      </c>
      <c r="X19" s="0" t="n">
        <f aca="false">AVERAGE(S19:S20)/100</f>
        <v>0.0708529328217055</v>
      </c>
      <c r="Y19" s="1" t="n">
        <f aca="false">AVERAGE(T19:T20)/100</f>
        <v>0.0702909983302487</v>
      </c>
      <c r="Z19" s="33" t="n">
        <f aca="false">AVERAGE(U19:V20)/100</f>
        <v>0.053717</v>
      </c>
      <c r="AA19" s="2" t="n">
        <f aca="false">SUM(W19:Z19)</f>
        <v>0.543166797277525</v>
      </c>
      <c r="AD19" s="0" t="n">
        <v>0.673400871239952</v>
      </c>
      <c r="AE19" s="0" t="n">
        <v>0.136984275409364</v>
      </c>
      <c r="AF19" s="0" t="n">
        <v>0.135897853350683</v>
      </c>
      <c r="AG19" s="0" t="n">
        <v>0.053717</v>
      </c>
    </row>
    <row r="20" customFormat="false" ht="14.25" hidden="false" customHeight="true" outlineLevel="0" collapsed="false">
      <c r="A20" s="18"/>
      <c r="B20" s="34" t="s">
        <v>32</v>
      </c>
      <c r="C20" s="34" t="n">
        <v>16</v>
      </c>
      <c r="D20" s="34" t="n">
        <v>2.7557</v>
      </c>
      <c r="E20" s="34" t="n">
        <v>100</v>
      </c>
      <c r="F20" s="34" t="n">
        <v>2.954</v>
      </c>
      <c r="G20" s="30" t="n">
        <f aca="false">1000-E20</f>
        <v>900</v>
      </c>
      <c r="H20" s="34" t="n">
        <v>3.5726</v>
      </c>
      <c r="I20" s="35" t="n">
        <f aca="false">F20-D20</f>
        <v>0.1983</v>
      </c>
      <c r="J20" s="35" t="n">
        <f aca="false">H20-F20</f>
        <v>0.6186</v>
      </c>
      <c r="K20" s="35" t="n">
        <f aca="false">J20+I20</f>
        <v>0.8169</v>
      </c>
      <c r="L20" s="36" t="n">
        <v>1673.3587</v>
      </c>
      <c r="M20" s="36" t="n">
        <v>308.8384</v>
      </c>
      <c r="N20" s="36" t="n">
        <v>320.7054</v>
      </c>
      <c r="O20" s="52" t="n">
        <f aca="false">L20/$F$2</f>
        <v>8.93343216905072</v>
      </c>
      <c r="P20" s="53" t="n">
        <f aca="false">M20/$G$2</f>
        <v>1.81279150441813</v>
      </c>
      <c r="Q20" s="54" t="n">
        <f aca="false">N20/$H$2</f>
        <v>1.80333772117506</v>
      </c>
      <c r="R20" s="55" t="n">
        <f aca="false">O20*$K20/$I20</f>
        <v>36.8014157281771</v>
      </c>
      <c r="S20" s="53" t="n">
        <f aca="false">P20*$K20/$I20</f>
        <v>7.46782339868467</v>
      </c>
      <c r="T20" s="54" t="n">
        <f aca="false">Q20*$K20/$I20</f>
        <v>7.42887838844127</v>
      </c>
      <c r="U20" s="2" t="n">
        <v>5.481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66</v>
      </c>
      <c r="B21" s="19" t="s">
        <v>31</v>
      </c>
      <c r="C21" s="20" t="n">
        <v>17</v>
      </c>
      <c r="D21" s="19" t="n">
        <v>2.7849</v>
      </c>
      <c r="E21" s="19" t="n">
        <v>300</v>
      </c>
      <c r="F21" s="20" t="n">
        <v>2.9665</v>
      </c>
      <c r="G21" s="19" t="n">
        <f aca="false">1000-E21</f>
        <v>700</v>
      </c>
      <c r="H21" s="20" t="n">
        <v>3.6076</v>
      </c>
      <c r="I21" s="22" t="n">
        <f aca="false">F21-D21</f>
        <v>0.1816</v>
      </c>
      <c r="J21" s="22" t="n">
        <f aca="false">H21-F21</f>
        <v>0.6411</v>
      </c>
      <c r="K21" s="22" t="n">
        <f aca="false">J21+I21</f>
        <v>0.8227</v>
      </c>
      <c r="L21" s="23" t="n">
        <v>797.3173</v>
      </c>
      <c r="M21" s="23" t="n">
        <v>1021.0289</v>
      </c>
      <c r="N21" s="23" t="n">
        <v>1084.3597</v>
      </c>
      <c r="O21" s="24" t="n">
        <f aca="false">L21/$F$2</f>
        <v>4.25657691728657</v>
      </c>
      <c r="P21" s="47" t="n">
        <f aca="false">M21/$G$2</f>
        <v>5.99314241909487</v>
      </c>
      <c r="Q21" s="26" t="n">
        <f aca="false">N21/$H$2</f>
        <v>6.09739265485417</v>
      </c>
      <c r="R21" s="25" t="n">
        <f aca="false">O21*$K21/$I21</f>
        <v>19.2835122789188</v>
      </c>
      <c r="S21" s="47" t="n">
        <f aca="false">P21*$K21/$I21</f>
        <v>27.1506512565493</v>
      </c>
      <c r="T21" s="26" t="n">
        <f aca="false">Q21*$K21/$I21</f>
        <v>27.622934675928</v>
      </c>
      <c r="U21" s="27" t="n">
        <v>2.7174</v>
      </c>
      <c r="V21" s="27"/>
      <c r="W21" s="56" t="n">
        <f aca="false">AVERAGE(R21:R22)/100</f>
        <v>0.192573863959715</v>
      </c>
      <c r="X21" s="57" t="n">
        <f aca="false">AVERAGE(S21:S22)/100</f>
        <v>0.271082237052959</v>
      </c>
      <c r="Y21" s="57" t="n">
        <f aca="false">AVERAGE(T21:T22)/100</f>
        <v>0.273880480773329</v>
      </c>
      <c r="Z21" s="29" t="n">
        <f aca="false">AVERAGE(U21:V22)/100</f>
        <v>0.0271005</v>
      </c>
      <c r="AA21" s="2" t="n">
        <f aca="false">SUM(W21:Z21)</f>
        <v>0.764637081786004</v>
      </c>
      <c r="AD21" s="0" t="n">
        <v>0.254028099197168</v>
      </c>
      <c r="AE21" s="0" t="n">
        <v>0.357590090309891</v>
      </c>
      <c r="AF21" s="0" t="n">
        <v>0.361281310492941</v>
      </c>
      <c r="AG21" s="0" t="n">
        <v>0.0271005</v>
      </c>
    </row>
    <row r="22" customFormat="false" ht="14.25" hidden="false" customHeight="true" outlineLevel="0" collapsed="false">
      <c r="A22" s="18"/>
      <c r="B22" s="20" t="s">
        <v>31</v>
      </c>
      <c r="C22" s="20" t="n">
        <v>18</v>
      </c>
      <c r="D22" s="20" t="n">
        <v>2.7619</v>
      </c>
      <c r="E22" s="20" t="n">
        <v>300</v>
      </c>
      <c r="F22" s="20" t="n">
        <v>2.9568</v>
      </c>
      <c r="G22" s="19" t="n">
        <f aca="false">1000-E22</f>
        <v>700</v>
      </c>
      <c r="H22" s="20" t="n">
        <v>3.5838</v>
      </c>
      <c r="I22" s="22" t="n">
        <f aca="false">F22-D22</f>
        <v>0.1949</v>
      </c>
      <c r="J22" s="22" t="n">
        <f aca="false">H22-F22</f>
        <v>0.627</v>
      </c>
      <c r="K22" s="22" t="n">
        <f aca="false">J22+I22</f>
        <v>0.8219</v>
      </c>
      <c r="L22" s="23" t="n">
        <v>854.2231</v>
      </c>
      <c r="M22" s="23" t="n">
        <v>1093.4454</v>
      </c>
      <c r="N22" s="23" t="n">
        <v>1145.0975</v>
      </c>
      <c r="O22" s="24" t="n">
        <f aca="false">L22/$F$2</f>
        <v>4.56037556148973</v>
      </c>
      <c r="P22" s="47" t="n">
        <f aca="false">M22/$G$2</f>
        <v>6.41820619348204</v>
      </c>
      <c r="Q22" s="26" t="n">
        <f aca="false">N22/$H$2</f>
        <v>6.43892343619177</v>
      </c>
      <c r="R22" s="25" t="n">
        <f aca="false">O22*$K22/$I22</f>
        <v>19.2312605130242</v>
      </c>
      <c r="S22" s="47" t="n">
        <f aca="false">P22*$K22/$I22</f>
        <v>27.0657961540425</v>
      </c>
      <c r="T22" s="26" t="n">
        <f aca="false">Q22*$K22/$I22</f>
        <v>27.1531614787379</v>
      </c>
      <c r="U22" s="27" t="n">
        <v>2.7027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32</v>
      </c>
      <c r="C23" s="34" t="n">
        <v>19</v>
      </c>
      <c r="D23" s="34" t="n">
        <v>2.7414</v>
      </c>
      <c r="E23" s="34" t="n">
        <v>100</v>
      </c>
      <c r="F23" s="34" t="n">
        <v>2.9428</v>
      </c>
      <c r="G23" s="30" t="n">
        <f aca="false">1000-E23</f>
        <v>900</v>
      </c>
      <c r="H23" s="34" t="n">
        <v>3.5649</v>
      </c>
      <c r="I23" s="35" t="n">
        <f aca="false">F23-D23</f>
        <v>0.2014</v>
      </c>
      <c r="J23" s="35" t="n">
        <f aca="false">H23-F23</f>
        <v>0.6221</v>
      </c>
      <c r="K23" s="35" t="n">
        <f aca="false">J23+I23</f>
        <v>0.8235</v>
      </c>
      <c r="L23" s="36" t="n">
        <v>23.7952</v>
      </c>
      <c r="M23" s="36" t="n">
        <v>1.4497</v>
      </c>
      <c r="N23" s="36" t="n">
        <v>0.5646</v>
      </c>
      <c r="O23" s="52" t="n">
        <f aca="false">L23/$F$2</f>
        <v>0.127033615177066</v>
      </c>
      <c r="P23" s="53" t="n">
        <f aca="false">M23/$G$2</f>
        <v>0.00850931698893325</v>
      </c>
      <c r="Q23" s="54" t="n">
        <f aca="false">N23/$H$2</f>
        <v>0.00317476561783942</v>
      </c>
      <c r="R23" s="55" t="n">
        <f aca="false">O23*$K23/$I23</f>
        <v>0.51942493593999</v>
      </c>
      <c r="S23" s="53" t="n">
        <f aca="false">P23*$K23/$I23</f>
        <v>0.0347935577973512</v>
      </c>
      <c r="T23" s="54" t="n">
        <f aca="false">Q23*$K23/$I23</f>
        <v>0.0129812288296463</v>
      </c>
      <c r="U23" s="2" t="n">
        <v>98.712</v>
      </c>
      <c r="V23" s="2"/>
      <c r="W23" s="51" t="n">
        <f aca="false">AVERAGE(R23:R24)/100</f>
        <v>0.00449657992300044</v>
      </c>
      <c r="X23" s="0" t="n">
        <f aca="false">AVERAGE(S23:S24)/100</f>
        <v>0.00029859629700593</v>
      </c>
      <c r="Y23" s="1" t="n">
        <f aca="false">AVERAGE(T23:T24)/100</f>
        <v>0.00010863449640531</v>
      </c>
      <c r="Z23" s="33" t="n">
        <f aca="false">AVERAGE(U23:V24)/100</f>
        <v>0.982924</v>
      </c>
      <c r="AA23" s="2" t="n">
        <f aca="false">SUM(W23:Z23)</f>
        <v>0.987827810716412</v>
      </c>
      <c r="AD23" s="0" t="n">
        <v>0.00449657992300045</v>
      </c>
      <c r="AE23" s="0" t="n">
        <v>0.00029859629700593</v>
      </c>
      <c r="AF23" s="0" t="n">
        <v>0.00010863449640531</v>
      </c>
      <c r="AG23" s="0" t="n">
        <v>0.995096189283588</v>
      </c>
    </row>
    <row r="24" customFormat="false" ht="14.25" hidden="false" customHeight="true" outlineLevel="0" collapsed="false">
      <c r="A24" s="18"/>
      <c r="B24" s="34" t="s">
        <v>32</v>
      </c>
      <c r="C24" s="34" t="n">
        <v>20</v>
      </c>
      <c r="D24" s="34" t="n">
        <v>2.7529</v>
      </c>
      <c r="E24" s="34" t="n">
        <v>100</v>
      </c>
      <c r="F24" s="34" t="n">
        <v>2.9573</v>
      </c>
      <c r="G24" s="30" t="n">
        <f aca="false">1000-E24</f>
        <v>900</v>
      </c>
      <c r="H24" s="34" t="n">
        <v>3.5641</v>
      </c>
      <c r="I24" s="35" t="n">
        <f aca="false">F24-D24</f>
        <v>0.2044</v>
      </c>
      <c r="J24" s="35" t="n">
        <f aca="false">H24-F24</f>
        <v>0.6068</v>
      </c>
      <c r="K24" s="35" t="n">
        <f aca="false">J24+I24</f>
        <v>0.8112</v>
      </c>
      <c r="L24" s="36" t="n">
        <v>17.9301</v>
      </c>
      <c r="M24" s="36" t="n">
        <v>1.07</v>
      </c>
      <c r="N24" s="36" t="n">
        <v>0.3919</v>
      </c>
      <c r="O24" s="58" t="n">
        <f aca="false">L24/$F$2</f>
        <v>0.0957220541742164</v>
      </c>
      <c r="P24" s="59" t="n">
        <f aca="false">M24/$G$2</f>
        <v>0.00628058852049292</v>
      </c>
      <c r="Q24" s="60" t="n">
        <f aca="false">N24/$H$2</f>
        <v>0.00220366745595336</v>
      </c>
      <c r="R24" s="55" t="n">
        <f aca="false">O24*$K24/$I24</f>
        <v>0.379891048660099</v>
      </c>
      <c r="S24" s="53" t="n">
        <f aca="false">P24*$K24/$I24</f>
        <v>0.0249257016038349</v>
      </c>
      <c r="T24" s="54" t="n">
        <f aca="false">Q24*$K24/$I24</f>
        <v>0.00874567045141568</v>
      </c>
      <c r="U24" s="42" t="n">
        <v>97.8728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37</v>
      </c>
      <c r="B25" s="1" t="s">
        <v>31</v>
      </c>
      <c r="C25" s="1" t="n">
        <v>1</v>
      </c>
      <c r="D25" s="1" t="n">
        <v>2.7345</v>
      </c>
      <c r="F25" s="1" t="n">
        <v>3.0102</v>
      </c>
      <c r="G25" s="2" t="n">
        <f aca="false">1000-E25</f>
        <v>1000</v>
      </c>
      <c r="H25" s="1" t="n">
        <v>3.4933</v>
      </c>
      <c r="I25" s="1" t="n">
        <f aca="false">H25-F25</f>
        <v>0.4831</v>
      </c>
      <c r="J25" s="1" t="n">
        <f aca="false">H25-H25</f>
        <v>0</v>
      </c>
      <c r="K25" s="1" t="n">
        <f aca="false">J25+I25</f>
        <v>0.4831</v>
      </c>
      <c r="M25" s="1" t="n">
        <v>2933.79</v>
      </c>
      <c r="N25" s="1" t="n">
        <v>2886.68</v>
      </c>
      <c r="P25" s="1" t="n">
        <f aca="false">M25/$G$2</f>
        <v>17.2204932668569</v>
      </c>
      <c r="Q25" s="1" t="n">
        <f aca="false">N25/$H$2</f>
        <v>16.2319029644079</v>
      </c>
      <c r="S25" s="1" t="n">
        <f aca="false">P25*$K25/$I25</f>
        <v>17.2204932668569</v>
      </c>
      <c r="T25" s="1" t="n">
        <f aca="false">Q25*$K25/$I25</f>
        <v>16.2319029644079</v>
      </c>
      <c r="U25" s="1" t="n">
        <v>1.6402</v>
      </c>
      <c r="X25" s="1" t="n">
        <f aca="false">AVERAGE(S25:S26)/100</f>
        <v>0.172761381072067</v>
      </c>
      <c r="Y25" s="1" t="n">
        <f aca="false">AVERAGE(T25:T26)/100</f>
        <v>0.162929972407767</v>
      </c>
      <c r="Z25" s="1" t="n">
        <f aca="false">AVERAGE(U25:V26)/100</f>
        <v>0.016598</v>
      </c>
      <c r="AA25" s="1" t="n">
        <f aca="false">SUM(W25:Z25)</f>
        <v>0.352289353479834</v>
      </c>
      <c r="AE25" s="1" t="n">
        <f aca="false">IFERROR(X25/$AA25,"")</f>
        <v>0.490396259113622</v>
      </c>
      <c r="AF25" s="1" t="n">
        <f aca="false">IFERROR(Y25/$AA25,"")</f>
        <v>0.462489061330925</v>
      </c>
      <c r="AG25" s="1" t="n">
        <f aca="false">IFERROR(Z25/$AA25,"")</f>
        <v>0.0471146795554528</v>
      </c>
    </row>
    <row r="26" customFormat="false" ht="14.25" hidden="false" customHeight="true" outlineLevel="0" collapsed="false">
      <c r="A26" s="45"/>
      <c r="B26" s="1" t="s">
        <v>31</v>
      </c>
      <c r="C26" s="1" t="n">
        <v>2</v>
      </c>
      <c r="D26" s="1" t="n">
        <v>2.744</v>
      </c>
      <c r="F26" s="1" t="n">
        <v>3.0258</v>
      </c>
      <c r="G26" s="2" t="n">
        <f aca="false">1000-E26</f>
        <v>1000</v>
      </c>
      <c r="H26" s="1" t="n">
        <v>3.5156</v>
      </c>
      <c r="I26" s="1" t="n">
        <f aca="false">H26-F26</f>
        <v>0.4898</v>
      </c>
      <c r="J26" s="1" t="n">
        <f aca="false">H26-H26</f>
        <v>0</v>
      </c>
      <c r="K26" s="1" t="n">
        <f aca="false">J26+I26</f>
        <v>0.4898</v>
      </c>
      <c r="M26" s="1" t="n">
        <v>2952.75</v>
      </c>
      <c r="N26" s="1" t="n">
        <v>2908.41</v>
      </c>
      <c r="P26" s="1" t="n">
        <f aca="false">M26/$G$2</f>
        <v>17.3317829475565</v>
      </c>
      <c r="Q26" s="1" t="n">
        <f aca="false">N26/$H$2</f>
        <v>16.3540915171455</v>
      </c>
      <c r="S26" s="1" t="n">
        <f aca="false">P26*$K26/$I26</f>
        <v>17.3317829475565</v>
      </c>
      <c r="T26" s="1" t="n">
        <f aca="false">Q26*$K26/$I26</f>
        <v>16.3540915171455</v>
      </c>
      <c r="U26" s="1" t="n">
        <v>1.6794</v>
      </c>
    </row>
    <row r="27" customFormat="false" ht="14.25" hidden="false" customHeight="true" outlineLevel="0" collapsed="false">
      <c r="A27" s="45"/>
      <c r="B27" s="1" t="s">
        <v>32</v>
      </c>
      <c r="C27" s="1" t="n">
        <v>3</v>
      </c>
      <c r="D27" s="1" t="n">
        <v>2.7481</v>
      </c>
      <c r="F27" s="1" t="n">
        <v>3.008</v>
      </c>
      <c r="G27" s="2" t="n">
        <f aca="false">1000-E27</f>
        <v>1000</v>
      </c>
      <c r="H27" s="1" t="n">
        <v>3.4765</v>
      </c>
      <c r="I27" s="1" t="n">
        <f aca="false">H27-F27</f>
        <v>0.4685</v>
      </c>
      <c r="J27" s="1" t="n">
        <f aca="false">H27-H27</f>
        <v>0</v>
      </c>
      <c r="K27" s="1" t="n">
        <f aca="false">J27+I27</f>
        <v>0.4685</v>
      </c>
      <c r="M27" s="1" t="n">
        <v>31.5</v>
      </c>
      <c r="N27" s="1" t="n">
        <v>31.98</v>
      </c>
      <c r="P27" s="1" t="n">
        <f aca="false">M27/$G$2</f>
        <v>0.184895830276193</v>
      </c>
      <c r="Q27" s="1" t="n">
        <f aca="false">N27/$H$2</f>
        <v>0.179824662519491</v>
      </c>
      <c r="S27" s="1" t="n">
        <f aca="false">P27*$K27/$I27</f>
        <v>0.184895830276193</v>
      </c>
      <c r="T27" s="1" t="n">
        <f aca="false">Q27*$K27/$I27</f>
        <v>0.179824662519491</v>
      </c>
      <c r="X27" s="1" t="n">
        <f aca="false">AVERAGE(S27:S28)/100</f>
        <v>0.00100489416327887</v>
      </c>
      <c r="Y27" s="1" t="n">
        <f aca="false">AVERAGE(T27:T28)/100</f>
        <v>0.00093314267495652</v>
      </c>
      <c r="Z27" s="1" t="e">
        <f aca="false">AVERAGE(U27:V28)/100</f>
        <v>#DIV/0!</v>
      </c>
      <c r="AA27" s="1" t="e">
        <f aca="false">SUM(W27:Z27)</f>
        <v>#DIV/0!</v>
      </c>
      <c r="AE27" s="1" t="str">
        <f aca="false">IFERROR(X27/$AA27,"")</f>
        <v/>
      </c>
      <c r="AF27" s="1" t="str">
        <f aca="false">IFERROR(Y27/$AA27,"")</f>
        <v/>
      </c>
      <c r="AG27" s="1" t="str">
        <f aca="false">IFERROR(Z27/$AA27,"")</f>
        <v/>
      </c>
    </row>
    <row r="28" customFormat="false" ht="14.25" hidden="false" customHeight="true" outlineLevel="0" collapsed="false">
      <c r="A28" s="45"/>
      <c r="B28" s="1" t="s">
        <v>32</v>
      </c>
      <c r="C28" s="1" t="n">
        <v>4</v>
      </c>
      <c r="D28" s="1" t="n">
        <v>2.7282</v>
      </c>
      <c r="F28" s="1" t="n">
        <v>3.0039</v>
      </c>
      <c r="G28" s="2" t="n">
        <f aca="false">1000-E28</f>
        <v>1000</v>
      </c>
      <c r="H28" s="1" t="n">
        <v>3.4945</v>
      </c>
      <c r="I28" s="1" t="n">
        <f aca="false">H28-F28</f>
        <v>0.4906</v>
      </c>
      <c r="J28" s="1" t="n">
        <f aca="false">H28-H28</f>
        <v>0</v>
      </c>
      <c r="K28" s="1" t="n">
        <f aca="false">J28+I28</f>
        <v>0.4906</v>
      </c>
      <c r="M28" s="1" t="n">
        <v>2.74</v>
      </c>
      <c r="N28" s="1" t="n">
        <v>1.21</v>
      </c>
      <c r="P28" s="1" t="n">
        <f aca="false">M28/$G$2</f>
        <v>0.01608300237958</v>
      </c>
      <c r="Q28" s="1" t="n">
        <f aca="false">N28/$H$2</f>
        <v>0.00680387247181313</v>
      </c>
      <c r="S28" s="1" t="n">
        <f aca="false">P28*$K28/$I28</f>
        <v>0.01608300237958</v>
      </c>
      <c r="T28" s="1" t="n">
        <f aca="false">Q28*$K28/$I28</f>
        <v>0.00680387247181313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G28"/>
  <sheetViews>
    <sheetView showFormulas="false" showGridLines="true" showRowColHeaders="true" showZeros="true" rightToLeft="false" tabSelected="true" showOutlineSymbols="true" defaultGridColor="true" view="normal" topLeftCell="H1" colorId="64" zoomScale="100" zoomScaleNormal="100" zoomScalePageLayoutView="100" workbookViewId="0">
      <selection pane="topLeft" activeCell="U29" activeCellId="0" sqref="U29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1" width="8.34"/>
    <col collapsed="false" customWidth="true" hidden="false" outlineLevel="0" max="5" min="5" style="1" width="10.53"/>
    <col collapsed="false" customWidth="true" hidden="false" outlineLevel="0" max="6" min="6" style="1" width="13.6"/>
    <col collapsed="false" customWidth="true" hidden="false" outlineLevel="0" max="7" min="7" style="2" width="10.66"/>
    <col collapsed="false" customWidth="true" hidden="false" outlineLevel="0" max="8" min="8" style="1" width="12.73"/>
    <col collapsed="false" customWidth="true" hidden="false" outlineLevel="0" max="13" min="12" style="1" width="10.47"/>
    <col collapsed="false" customWidth="true" hidden="false" outlineLevel="0" max="14" min="14" style="1" width="12.61"/>
    <col collapsed="false" customWidth="true" hidden="false" outlineLevel="0" max="16" min="15" style="1" width="11.12"/>
    <col collapsed="false" customWidth="true" hidden="false" outlineLevel="0" max="17" min="17" style="1" width="13.67"/>
    <col collapsed="false" customWidth="true" hidden="false" outlineLevel="0" max="19" min="18" style="1" width="11.12"/>
    <col collapsed="false" customWidth="true" hidden="false" outlineLevel="0" max="20" min="20" style="1" width="13.67"/>
    <col collapsed="false" customWidth="true" hidden="false" outlineLevel="0" max="22" min="21" style="1" width="9.53"/>
  </cols>
  <sheetData>
    <row r="1" customFormat="false" ht="26.25" hidden="false" customHeight="true" outlineLevel="0" collapsed="false">
      <c r="F1" s="3" t="s">
        <v>0</v>
      </c>
      <c r="G1" s="3" t="s">
        <v>70</v>
      </c>
    </row>
    <row r="2" customFormat="false" ht="14.25" hidden="false" customHeight="true" outlineLevel="0" collapsed="false">
      <c r="E2" s="1" t="s">
        <v>2</v>
      </c>
      <c r="F2" s="1" t="n">
        <v>187.3142</v>
      </c>
      <c r="G2" s="2" t="n">
        <v>170.3662</v>
      </c>
      <c r="H2" s="4" t="n">
        <v>142.6282</v>
      </c>
    </row>
    <row r="3" customFormat="false" ht="14.25" hidden="false" customHeight="true" outlineLevel="0" collapsed="false">
      <c r="M3" s="1" t="s">
        <v>69</v>
      </c>
      <c r="N3" s="1" t="s">
        <v>54</v>
      </c>
      <c r="O3" s="5" t="s">
        <v>5</v>
      </c>
      <c r="P3" s="5"/>
      <c r="Q3" s="5"/>
      <c r="R3" s="6" t="s">
        <v>6</v>
      </c>
      <c r="S3" s="6"/>
      <c r="T3" s="6"/>
      <c r="U3" s="7" t="s">
        <v>7</v>
      </c>
      <c r="V3" s="7"/>
    </row>
    <row r="4" customFormat="false" ht="14.25" hidden="false" customHeight="true" outlineLevel="0" collapsed="false">
      <c r="A4" s="8" t="s">
        <v>8</v>
      </c>
      <c r="B4" s="8" t="s">
        <v>9</v>
      </c>
      <c r="C4" s="8" t="s">
        <v>10</v>
      </c>
      <c r="D4" s="8" t="s">
        <v>11</v>
      </c>
      <c r="E4" s="8" t="s">
        <v>12</v>
      </c>
      <c r="F4" s="8" t="s">
        <v>13</v>
      </c>
      <c r="G4" s="8" t="s">
        <v>14</v>
      </c>
      <c r="H4" s="8" t="s">
        <v>15</v>
      </c>
      <c r="I4" s="9" t="s">
        <v>16</v>
      </c>
      <c r="J4" s="9" t="s">
        <v>17</v>
      </c>
      <c r="K4" s="9" t="s">
        <v>18</v>
      </c>
      <c r="L4" s="9" t="s">
        <v>19</v>
      </c>
      <c r="M4" s="10" t="s">
        <v>40</v>
      </c>
      <c r="N4" s="11" t="s">
        <v>21</v>
      </c>
      <c r="O4" s="12" t="s">
        <v>22</v>
      </c>
      <c r="P4" s="13" t="s">
        <v>23</v>
      </c>
      <c r="Q4" s="14" t="s">
        <v>24</v>
      </c>
      <c r="R4" s="12" t="s">
        <v>22</v>
      </c>
      <c r="S4" s="13" t="s">
        <v>23</v>
      </c>
      <c r="T4" s="14" t="s">
        <v>24</v>
      </c>
      <c r="U4" s="15" t="n">
        <v>1</v>
      </c>
      <c r="V4" s="15" t="n">
        <v>2</v>
      </c>
      <c r="W4" s="16" t="s">
        <v>25</v>
      </c>
      <c r="X4" s="15" t="s">
        <v>26</v>
      </c>
      <c r="Y4" s="15" t="s">
        <v>27</v>
      </c>
      <c r="Z4" s="17" t="s">
        <v>28</v>
      </c>
    </row>
    <row r="5" customFormat="false" ht="14.25" hidden="false" customHeight="true" outlineLevel="0" collapsed="false">
      <c r="A5" s="18" t="s">
        <v>62</v>
      </c>
      <c r="B5" s="19" t="s">
        <v>31</v>
      </c>
      <c r="C5" s="20" t="n">
        <v>1</v>
      </c>
      <c r="D5" s="21" t="n">
        <v>2.7983</v>
      </c>
      <c r="E5" s="19" t="n">
        <v>300</v>
      </c>
      <c r="F5" s="20" t="n">
        <v>2.9941</v>
      </c>
      <c r="G5" s="19" t="n">
        <f aca="false">1000-E5</f>
        <v>700</v>
      </c>
      <c r="H5" s="20" t="n">
        <v>3.6143</v>
      </c>
      <c r="I5" s="22" t="n">
        <f aca="false">F5-D5</f>
        <v>0.1958</v>
      </c>
      <c r="J5" s="22" t="n">
        <f aca="false">H5-F5</f>
        <v>0.6202</v>
      </c>
      <c r="K5" s="22" t="n">
        <f aca="false">J5+I5</f>
        <v>0.816</v>
      </c>
      <c r="L5" s="23" t="n">
        <v>6.6913</v>
      </c>
      <c r="M5" s="23" t="n">
        <v>0.0163</v>
      </c>
      <c r="N5" s="23" t="n">
        <v>0.0138</v>
      </c>
      <c r="O5" s="24" t="n">
        <f aca="false">L5/$F$2</f>
        <v>0.0357223317826411</v>
      </c>
      <c r="P5" s="47" t="n">
        <f aca="false">M5/$G$2</f>
        <v>9.5676255031808E-005</v>
      </c>
      <c r="Q5" s="26" t="n">
        <f aca="false">N5/$H$2</f>
        <v>9.67550596586089E-005</v>
      </c>
      <c r="R5" s="25" t="n">
        <f aca="false">O5*$K5/$I5</f>
        <v>0.148873456254521</v>
      </c>
      <c r="S5" s="47" t="n">
        <f aca="false">P5*$K5/$I5</f>
        <v>0.000398732503094766</v>
      </c>
      <c r="T5" s="26" t="n">
        <f aca="false">Q5*$K5/$I5</f>
        <v>0.000403228440661005</v>
      </c>
      <c r="U5" s="27" t="n">
        <v>97.8647</v>
      </c>
      <c r="V5" s="27"/>
      <c r="W5" s="48" t="n">
        <f aca="false">AVERAGE(R5:R6)/100</f>
        <v>0.00122289119841102</v>
      </c>
      <c r="X5" s="49" t="n">
        <f aca="false">AVERAGE(S5:S6)/100</f>
        <v>3.81381603030065E-006</v>
      </c>
      <c r="Y5" s="49" t="n">
        <f aca="false">AVERAGE(T5:T6)/100</f>
        <v>2.69983174081313E-006</v>
      </c>
      <c r="Z5" s="50" t="n">
        <f aca="false">AVERAGE(U5:V6)/100</f>
        <v>0.9718735</v>
      </c>
      <c r="AA5" s="2" t="n">
        <f aca="false">SUM(W5:Z5)</f>
        <v>0.973102904846182</v>
      </c>
      <c r="AD5" s="0" t="n">
        <v>0.00122289119841102</v>
      </c>
      <c r="AE5" s="0" t="n">
        <v>3.81381603030065E-006</v>
      </c>
      <c r="AF5" s="0" t="n">
        <v>2.69983174081313E-006</v>
      </c>
      <c r="AG5" s="0" t="n">
        <v>0.998770595153818</v>
      </c>
    </row>
    <row r="6" customFormat="false" ht="14.25" hidden="false" customHeight="true" outlineLevel="0" collapsed="false">
      <c r="A6" s="18"/>
      <c r="B6" s="20" t="s">
        <v>31</v>
      </c>
      <c r="C6" s="20" t="n">
        <v>2</v>
      </c>
      <c r="D6" s="20" t="n">
        <v>2.8261</v>
      </c>
      <c r="E6" s="20" t="n">
        <v>300</v>
      </c>
      <c r="F6" s="20" t="n">
        <v>3.0312</v>
      </c>
      <c r="G6" s="19" t="n">
        <f aca="false">1000-E6</f>
        <v>700</v>
      </c>
      <c r="H6" s="20" t="n">
        <v>3.6261</v>
      </c>
      <c r="I6" s="22" t="n">
        <f aca="false">F6-D6</f>
        <v>0.2051</v>
      </c>
      <c r="J6" s="22" t="n">
        <f aca="false">H6-F6</f>
        <v>0.5949</v>
      </c>
      <c r="K6" s="22" t="n">
        <f aca="false">J6+I6</f>
        <v>0.8</v>
      </c>
      <c r="L6" s="23" t="n">
        <v>4.596</v>
      </c>
      <c r="M6" s="23" t="n">
        <v>0.0159</v>
      </c>
      <c r="N6" s="23" t="n">
        <v>0.005</v>
      </c>
      <c r="O6" s="24" t="n">
        <f aca="false">L6/$F$2</f>
        <v>0.0245363138512724</v>
      </c>
      <c r="P6" s="47" t="n">
        <f aca="false">M6/$G$2</f>
        <v>9.33283714727452E-005</v>
      </c>
      <c r="Q6" s="26" t="n">
        <f aca="false">N6/$H$2</f>
        <v>3.50561810357279E-005</v>
      </c>
      <c r="R6" s="25" t="n">
        <f aca="false">O6*$K6/$I6</f>
        <v>0.0957047834276834</v>
      </c>
      <c r="S6" s="47" t="n">
        <f aca="false">P6*$K6/$I6</f>
        <v>0.000364030702965364</v>
      </c>
      <c r="T6" s="26" t="n">
        <f aca="false">Q6*$K6/$I6</f>
        <v>0.00013673790750162</v>
      </c>
      <c r="U6" s="27" t="n">
        <v>96.51</v>
      </c>
      <c r="V6" s="27"/>
      <c r="W6" s="51"/>
      <c r="Z6" s="33"/>
      <c r="AA6" s="2"/>
    </row>
    <row r="7" customFormat="false" ht="14.25" hidden="false" customHeight="true" outlineLevel="0" collapsed="false">
      <c r="A7" s="18"/>
      <c r="B7" s="34" t="s">
        <v>32</v>
      </c>
      <c r="C7" s="34" t="n">
        <v>3</v>
      </c>
      <c r="D7" s="34" t="n">
        <v>2.8035</v>
      </c>
      <c r="E7" s="34" t="n">
        <v>100</v>
      </c>
      <c r="F7" s="34" t="n">
        <v>2.9952</v>
      </c>
      <c r="G7" s="30" t="n">
        <f aca="false">1000-E7</f>
        <v>900</v>
      </c>
      <c r="H7" s="34" t="n">
        <v>3.5673</v>
      </c>
      <c r="I7" s="35" t="n">
        <f aca="false">F7-D7</f>
        <v>0.1917</v>
      </c>
      <c r="J7" s="35" t="n">
        <f aca="false">H7-F7</f>
        <v>0.5721</v>
      </c>
      <c r="K7" s="35" t="n">
        <f aca="false">J7+I7</f>
        <v>0.7638</v>
      </c>
      <c r="L7" s="1" t="n">
        <v>210.0123</v>
      </c>
      <c r="M7" s="1" t="n">
        <v>3.3435</v>
      </c>
      <c r="N7" s="36" t="n">
        <v>2.8868</v>
      </c>
      <c r="O7" s="52" t="n">
        <f aca="false">L7/$F$2</f>
        <v>1.12117661127667</v>
      </c>
      <c r="P7" s="53" t="n">
        <f aca="false">M7/$G$2</f>
        <v>0.0196253716993159</v>
      </c>
      <c r="Q7" s="54" t="n">
        <f aca="false">N7/$H$2</f>
        <v>0.0202400366827878</v>
      </c>
      <c r="R7" s="55" t="n">
        <f aca="false">O7*$K7/$I7</f>
        <v>4.46716064524319</v>
      </c>
      <c r="S7" s="53" t="n">
        <f aca="false">P7*$K7/$I7</f>
        <v>0.0781943604795906</v>
      </c>
      <c r="T7" s="54" t="n">
        <f aca="false">Q7*$K7/$I7</f>
        <v>0.0806434012431578</v>
      </c>
      <c r="U7" s="2" t="n">
        <v>7.505</v>
      </c>
      <c r="V7" s="2"/>
      <c r="W7" s="51" t="n">
        <f aca="false">AVERAGE(R7:R8)/100</f>
        <v>0.204105734893232</v>
      </c>
      <c r="X7" s="0" t="n">
        <f aca="false">AVERAGE(S7:S8)/100</f>
        <v>0.00397062104945704</v>
      </c>
      <c r="Y7" s="1" t="n">
        <f aca="false">AVERAGE(T7:T8)/100</f>
        <v>0.00418093370703394</v>
      </c>
      <c r="Z7" s="33" t="n">
        <f aca="false">AVERAGE(U7:V8)/100</f>
        <v>0.0759605</v>
      </c>
      <c r="AA7" s="2" t="n">
        <f aca="false">SUM(W7:Z7)</f>
        <v>0.288217789649723</v>
      </c>
      <c r="AD7" s="0" t="n">
        <v>0.888552574703626</v>
      </c>
      <c r="AE7" s="0" t="n">
        <v>0.0172856757724765</v>
      </c>
      <c r="AF7" s="0" t="n">
        <v>0.0182012495238975</v>
      </c>
      <c r="AG7" s="0" t="n">
        <v>0.0759605</v>
      </c>
    </row>
    <row r="8" customFormat="false" ht="14.25" hidden="false" customHeight="true" outlineLevel="0" collapsed="false">
      <c r="A8" s="18"/>
      <c r="B8" s="34" t="s">
        <v>32</v>
      </c>
      <c r="C8" s="34" t="n">
        <v>4</v>
      </c>
      <c r="D8" s="34" t="n">
        <v>2.8293</v>
      </c>
      <c r="E8" s="34" t="n">
        <v>100</v>
      </c>
      <c r="F8" s="34" t="n">
        <v>3.0447</v>
      </c>
      <c r="G8" s="30" t="n">
        <f aca="false">1000-E8</f>
        <v>900</v>
      </c>
      <c r="H8" s="34" t="n">
        <v>3.6537</v>
      </c>
      <c r="I8" s="35" t="n">
        <f aca="false">F8-D8</f>
        <v>0.2154</v>
      </c>
      <c r="J8" s="35" t="n">
        <f aca="false">H8-F8</f>
        <v>0.609</v>
      </c>
      <c r="K8" s="35" t="n">
        <f aca="false">J8+I8</f>
        <v>0.8244</v>
      </c>
      <c r="L8" s="36" t="n">
        <v>1779.2233</v>
      </c>
      <c r="M8" s="36" t="n">
        <v>31.8685</v>
      </c>
      <c r="N8" s="36" t="n">
        <v>28.1561</v>
      </c>
      <c r="O8" s="52" t="n">
        <f aca="false">L8/$F$2</f>
        <v>9.49860341607844</v>
      </c>
      <c r="P8" s="53" t="n">
        <f aca="false">M8/$G$2</f>
        <v>0.18705881800498</v>
      </c>
      <c r="Q8" s="54" t="n">
        <f aca="false">N8/$H$2</f>
        <v>0.197409067772011</v>
      </c>
      <c r="R8" s="55" t="n">
        <f aca="false">O8*$K8/$I8</f>
        <v>36.3539863334032</v>
      </c>
      <c r="S8" s="53" t="n">
        <f aca="false">P8*$K8/$I8</f>
        <v>0.715929849411817</v>
      </c>
      <c r="T8" s="54" t="n">
        <f aca="false">Q8*$K8/$I8</f>
        <v>0.755543340163631</v>
      </c>
      <c r="U8" s="2" t="n">
        <v>7.6871</v>
      </c>
      <c r="V8" s="2"/>
      <c r="W8" s="51"/>
      <c r="Z8" s="33"/>
      <c r="AA8" s="2"/>
    </row>
    <row r="9" customFormat="false" ht="14.25" hidden="false" customHeight="true" outlineLevel="0" collapsed="false">
      <c r="A9" s="18" t="s">
        <v>63</v>
      </c>
      <c r="B9" s="19" t="s">
        <v>31</v>
      </c>
      <c r="C9" s="20" t="n">
        <v>5</v>
      </c>
      <c r="D9" s="19" t="n">
        <v>2.863</v>
      </c>
      <c r="E9" s="19" t="n">
        <v>300</v>
      </c>
      <c r="F9" s="20" t="n">
        <v>3.0669</v>
      </c>
      <c r="G9" s="19" t="n">
        <f aca="false">1000-E9</f>
        <v>700</v>
      </c>
      <c r="H9" s="20" t="n">
        <v>3.6895</v>
      </c>
      <c r="I9" s="22" t="n">
        <f aca="false">F9-D9</f>
        <v>0.2039</v>
      </c>
      <c r="J9" s="22" t="n">
        <f aca="false">H9-F9</f>
        <v>0.6226</v>
      </c>
      <c r="K9" s="22" t="n">
        <f aca="false">J9+I9</f>
        <v>0.8265</v>
      </c>
      <c r="L9" s="23" t="n">
        <v>4.8568</v>
      </c>
      <c r="M9" s="23" t="n">
        <v>17.796</v>
      </c>
      <c r="N9" s="23" t="n">
        <v>16.107</v>
      </c>
      <c r="O9" s="24" t="n">
        <f aca="false">L9/$F$2</f>
        <v>0.0259286268739903</v>
      </c>
      <c r="P9" s="47" t="n">
        <f aca="false">M9/$G$2</f>
        <v>0.104457339542703</v>
      </c>
      <c r="Q9" s="26" t="n">
        <f aca="false">N9/$H$2</f>
        <v>0.112929981588494</v>
      </c>
      <c r="R9" s="25" t="n">
        <f aca="false">O9*$K9/$I9</f>
        <v>0.105100589069902</v>
      </c>
      <c r="S9" s="47" t="n">
        <f aca="false">P9*$K9/$I9</f>
        <v>0.423413394468091</v>
      </c>
      <c r="T9" s="26" t="n">
        <f aca="false">Q9*$K9/$I9</f>
        <v>0.457756889567877</v>
      </c>
      <c r="U9" s="27"/>
      <c r="V9" s="27" t="n">
        <v>98.8751</v>
      </c>
      <c r="W9" s="56" t="n">
        <f aca="false">AVERAGE(R9:R10)/100</f>
        <v>0.000837183649694846</v>
      </c>
      <c r="X9" s="57" t="n">
        <f aca="false">AVERAGE(S9:S10)/100</f>
        <v>0.0025074574284368</v>
      </c>
      <c r="Y9" s="57" t="n">
        <f aca="false">AVERAGE(T9:T10)/100</f>
        <v>0.0026575126713012</v>
      </c>
      <c r="Z9" s="29" t="n">
        <f aca="false">AVERAGE(U9:V10)/100</f>
        <v>0.988751</v>
      </c>
      <c r="AA9" s="2" t="n">
        <f aca="false">SUM(W9:Z9)</f>
        <v>0.994753153749433</v>
      </c>
      <c r="AD9" s="0" t="n">
        <v>0.000623361408690674</v>
      </c>
      <c r="AE9" s="0" t="n">
        <v>0.000780780912192686</v>
      </c>
      <c r="AF9" s="0" t="n">
        <v>0.00073745644692363</v>
      </c>
      <c r="AG9" s="0" t="n">
        <v>0.997858401232193</v>
      </c>
    </row>
    <row r="10" customFormat="false" ht="14.25" hidden="false" customHeight="true" outlineLevel="0" collapsed="false">
      <c r="A10" s="18"/>
      <c r="B10" s="20" t="s">
        <v>31</v>
      </c>
      <c r="C10" s="20" t="n">
        <v>6</v>
      </c>
      <c r="D10" s="20" t="n">
        <v>2.8033</v>
      </c>
      <c r="E10" s="20" t="n">
        <v>300</v>
      </c>
      <c r="F10" s="20" t="n">
        <v>3.0089</v>
      </c>
      <c r="G10" s="19" t="n">
        <f aca="false">1000-E10</f>
        <v>700</v>
      </c>
      <c r="H10" s="20" t="n">
        <v>3.6371</v>
      </c>
      <c r="I10" s="22" t="n">
        <f aca="false">F10-D10</f>
        <v>0.2056</v>
      </c>
      <c r="J10" s="22" t="n">
        <f aca="false">H10-F10</f>
        <v>0.6282</v>
      </c>
      <c r="K10" s="22" t="n">
        <f aca="false">J10+I10</f>
        <v>0.8338</v>
      </c>
      <c r="L10" s="23" t="n">
        <v>2.8792</v>
      </c>
      <c r="M10" s="23" t="n">
        <v>3.28</v>
      </c>
      <c r="N10" s="23" t="n">
        <v>2.5936</v>
      </c>
      <c r="O10" s="24" t="n">
        <f aca="false">L10/$F$2</f>
        <v>0.0153709649348528</v>
      </c>
      <c r="P10" s="47" t="n">
        <f aca="false">M10/$G$2</f>
        <v>0.0192526451843147</v>
      </c>
      <c r="Q10" s="26" t="n">
        <f aca="false">N10/$H$2</f>
        <v>0.0181843422268528</v>
      </c>
      <c r="R10" s="25" t="n">
        <f aca="false">O10*$K10/$I10</f>
        <v>0.0623361408690673</v>
      </c>
      <c r="S10" s="47" t="n">
        <f aca="false">P10*$K10/$I10</f>
        <v>0.0780780912192686</v>
      </c>
      <c r="T10" s="26" t="n">
        <f aca="false">Q10*$K10/$I10</f>
        <v>0.073745644692363</v>
      </c>
      <c r="U10" s="27"/>
      <c r="V10" s="27"/>
      <c r="W10" s="51"/>
      <c r="Z10" s="33"/>
      <c r="AA10" s="2"/>
    </row>
    <row r="11" customFormat="false" ht="14.25" hidden="false" customHeight="true" outlineLevel="0" collapsed="false">
      <c r="A11" s="18"/>
      <c r="B11" s="34" t="s">
        <v>32</v>
      </c>
      <c r="C11" s="34" t="n">
        <v>7</v>
      </c>
      <c r="D11" s="34" t="n">
        <v>2.7772</v>
      </c>
      <c r="E11" s="34" t="n">
        <v>100</v>
      </c>
      <c r="F11" s="34" t="n">
        <v>2.98</v>
      </c>
      <c r="G11" s="30" t="n">
        <f aca="false">1000-E11</f>
        <v>900</v>
      </c>
      <c r="H11" s="34" t="n">
        <v>3.6018</v>
      </c>
      <c r="I11" s="35" t="n">
        <f aca="false">F11-D11</f>
        <v>0.2028</v>
      </c>
      <c r="J11" s="35" t="n">
        <f aca="false">H11-F11</f>
        <v>0.6218</v>
      </c>
      <c r="K11" s="35" t="n">
        <f aca="false">J11+I11</f>
        <v>0.8246</v>
      </c>
      <c r="L11" s="40" t="n">
        <v>71.0435</v>
      </c>
      <c r="M11" s="40" t="n">
        <v>797.268</v>
      </c>
      <c r="N11" s="36" t="n">
        <v>733.5436</v>
      </c>
      <c r="O11" s="52" t="n">
        <f aca="false">L11/$F$2</f>
        <v>0.379274502413592</v>
      </c>
      <c r="P11" s="53" t="n">
        <f aca="false">M11/$G$2</f>
        <v>4.67973107341715</v>
      </c>
      <c r="Q11" s="54" t="n">
        <f aca="false">N11/$H$2</f>
        <v>5.14304744783991</v>
      </c>
      <c r="R11" s="55" t="n">
        <f aca="false">O11*$K11/$I11</f>
        <v>1.54215855369945</v>
      </c>
      <c r="S11" s="53" t="n">
        <f aca="false">P11*$K11/$I11</f>
        <v>19.0281372935887</v>
      </c>
      <c r="T11" s="54" t="n">
        <f aca="false">Q11*$K11/$I11</f>
        <v>20.9120163978737</v>
      </c>
      <c r="U11" s="2" t="n">
        <v>1.9451</v>
      </c>
      <c r="V11" s="2"/>
      <c r="W11" s="51" t="n">
        <f aca="false">AVERAGE(R11:R12)/100</f>
        <v>0.0214794731881838</v>
      </c>
      <c r="X11" s="0" t="n">
        <f aca="false">AVERAGE(S11:S12)/100</f>
        <v>0.265816386354622</v>
      </c>
      <c r="Y11" s="1" t="n">
        <f aca="false">AVERAGE(T11:T12)/100</f>
        <v>0.289015964510426</v>
      </c>
      <c r="Z11" s="33" t="n">
        <f aca="false">AVERAGE(U11:V12)/100</f>
        <v>0.0192655</v>
      </c>
      <c r="AA11" s="2" t="n">
        <f aca="false">SUM(W11:Z11)</f>
        <v>0.595577324053232</v>
      </c>
      <c r="AD11" s="0" t="n">
        <v>0.0365525389524736</v>
      </c>
      <c r="AE11" s="0" t="n">
        <v>0.452351122921309</v>
      </c>
      <c r="AF11" s="0" t="n">
        <v>0.491830838126218</v>
      </c>
      <c r="AG11" s="0" t="n">
        <v>0.0192655</v>
      </c>
    </row>
    <row r="12" customFormat="false" ht="14.25" hidden="false" customHeight="true" outlineLevel="0" collapsed="false">
      <c r="A12" s="18"/>
      <c r="B12" s="34" t="s">
        <v>32</v>
      </c>
      <c r="C12" s="34" t="n">
        <v>8</v>
      </c>
      <c r="D12" s="34" t="n">
        <v>2.8318</v>
      </c>
      <c r="E12" s="34" t="n">
        <v>100</v>
      </c>
      <c r="F12" s="34" t="n">
        <v>3.0383</v>
      </c>
      <c r="G12" s="30" t="n">
        <f aca="false">1000-E12</f>
        <v>900</v>
      </c>
      <c r="H12" s="34" t="n">
        <v>3.6495</v>
      </c>
      <c r="I12" s="35" t="n">
        <f aca="false">F12-D12</f>
        <v>0.2065</v>
      </c>
      <c r="J12" s="35" t="n">
        <f aca="false">H12-F12</f>
        <v>0.6112</v>
      </c>
      <c r="K12" s="35" t="n">
        <f aca="false">J12+I12</f>
        <v>0.8177</v>
      </c>
      <c r="L12" s="36" t="n">
        <v>130.2624</v>
      </c>
      <c r="M12" s="36" t="n">
        <v>1468.6259</v>
      </c>
      <c r="N12" s="36" t="n">
        <v>1328.7827</v>
      </c>
      <c r="O12" s="52" t="n">
        <f aca="false">L12/$F$2</f>
        <v>0.695421916758046</v>
      </c>
      <c r="P12" s="53" t="n">
        <f aca="false">M12/$G$2</f>
        <v>8.62040651255942</v>
      </c>
      <c r="Q12" s="54" t="n">
        <f aca="false">N12/$H$2</f>
        <v>9.31640937766865</v>
      </c>
      <c r="R12" s="55" t="n">
        <f aca="false">O12*$K12/$I12</f>
        <v>2.75373608393731</v>
      </c>
      <c r="S12" s="53" t="n">
        <f aca="false">P12*$K12/$I12</f>
        <v>34.1351399773358</v>
      </c>
      <c r="T12" s="54" t="n">
        <f aca="false">Q12*$K12/$I12</f>
        <v>36.8911765042114</v>
      </c>
      <c r="U12" s="2" t="n">
        <v>1.908</v>
      </c>
      <c r="V12" s="2"/>
      <c r="W12" s="51"/>
      <c r="Z12" s="33"/>
      <c r="AA12" s="2"/>
    </row>
    <row r="13" customFormat="false" ht="14.25" hidden="false" customHeight="true" outlineLevel="0" collapsed="false">
      <c r="A13" s="18" t="s">
        <v>64</v>
      </c>
      <c r="B13" s="19" t="s">
        <v>31</v>
      </c>
      <c r="C13" s="20" t="n">
        <v>9</v>
      </c>
      <c r="D13" s="19" t="n">
        <v>2.7839</v>
      </c>
      <c r="E13" s="19" t="n">
        <v>300</v>
      </c>
      <c r="F13" s="20" t="n">
        <v>2.9841</v>
      </c>
      <c r="G13" s="19" t="n">
        <f aca="false">1000-E13</f>
        <v>700</v>
      </c>
      <c r="H13" s="20" t="n">
        <v>3.594</v>
      </c>
      <c r="I13" s="22" t="n">
        <f aca="false">F13-D13</f>
        <v>0.2002</v>
      </c>
      <c r="J13" s="22" t="n">
        <f aca="false">H13-F13</f>
        <v>0.6099</v>
      </c>
      <c r="K13" s="22" t="n">
        <f aca="false">J13+I13</f>
        <v>0.8101</v>
      </c>
      <c r="L13" s="23" t="n">
        <v>41.2488</v>
      </c>
      <c r="M13" s="23" t="n">
        <v>1.6185</v>
      </c>
      <c r="N13" s="23" t="n">
        <v>1.087</v>
      </c>
      <c r="O13" s="24" t="n">
        <f aca="false">L13/$F$2</f>
        <v>0.220211815228103</v>
      </c>
      <c r="P13" s="47" t="n">
        <f aca="false">M13/$G$2</f>
        <v>0.00950012385085774</v>
      </c>
      <c r="Q13" s="26" t="n">
        <f aca="false">N13/$H$2</f>
        <v>0.00762121375716724</v>
      </c>
      <c r="R13" s="25" t="n">
        <f aca="false">O13*$K13/$I13</f>
        <v>0.891076880700731</v>
      </c>
      <c r="S13" s="47" t="n">
        <f aca="false">P13*$K13/$I13</f>
        <v>0.0384418098480512</v>
      </c>
      <c r="T13" s="26" t="n">
        <f aca="false">Q13*$K13/$I13</f>
        <v>0.0308388874359699</v>
      </c>
      <c r="U13" s="27" t="n">
        <v>94.9485</v>
      </c>
      <c r="V13" s="27"/>
      <c r="W13" s="56" t="n">
        <f aca="false">AVERAGE(R13:R14)/100</f>
        <v>0.00861862023521598</v>
      </c>
      <c r="X13" s="57" t="n">
        <f aca="false">AVERAGE(S13:S14)/100</f>
        <v>0.000370843702900782</v>
      </c>
      <c r="Y13" s="57" t="n">
        <f aca="false">AVERAGE(T13:T14)/100</f>
        <v>0.000296592664958144</v>
      </c>
      <c r="Z13" s="29" t="n">
        <f aca="false">AVERAGE(U13:V14)/100</f>
        <v>0.968553</v>
      </c>
      <c r="AA13" s="2" t="n">
        <f aca="false">SUM(W13:Z13)</f>
        <v>0.977839056603075</v>
      </c>
      <c r="AD13" s="0" t="n">
        <v>0.00861862023521598</v>
      </c>
      <c r="AE13" s="0" t="n">
        <v>0.000370843702900782</v>
      </c>
      <c r="AF13" s="0" t="n">
        <v>0.000296592664958144</v>
      </c>
      <c r="AG13" s="0" t="n">
        <v>0.990713943396925</v>
      </c>
    </row>
    <row r="14" customFormat="false" ht="14.25" hidden="false" customHeight="true" outlineLevel="0" collapsed="false">
      <c r="A14" s="18"/>
      <c r="B14" s="19" t="s">
        <v>31</v>
      </c>
      <c r="C14" s="20" t="n">
        <v>10</v>
      </c>
      <c r="D14" s="20" t="n">
        <v>2.8205</v>
      </c>
      <c r="E14" s="20" t="n">
        <v>300</v>
      </c>
      <c r="F14" s="20" t="n">
        <v>3.0266</v>
      </c>
      <c r="G14" s="19" t="n">
        <f aca="false">1000-E14</f>
        <v>700</v>
      </c>
      <c r="H14" s="20" t="n">
        <v>3.6371</v>
      </c>
      <c r="I14" s="22" t="n">
        <f aca="false">F14-D14</f>
        <v>0.2061</v>
      </c>
      <c r="J14" s="22" t="n">
        <f aca="false">H14-F14</f>
        <v>0.6105</v>
      </c>
      <c r="K14" s="22" t="n">
        <f aca="false">J14+I14</f>
        <v>0.8166</v>
      </c>
      <c r="L14" s="23" t="n">
        <v>39.3641</v>
      </c>
      <c r="M14" s="23" t="n">
        <v>1.5362</v>
      </c>
      <c r="N14" s="23" t="n">
        <v>1.0252</v>
      </c>
      <c r="O14" s="24" t="n">
        <f aca="false">L14/$F$2</f>
        <v>0.210150111417074</v>
      </c>
      <c r="P14" s="47" t="n">
        <f aca="false">M14/$G$2</f>
        <v>0.00901704680858058</v>
      </c>
      <c r="Q14" s="26" t="n">
        <f aca="false">N14/$H$2</f>
        <v>0.00718791935956564</v>
      </c>
      <c r="R14" s="25" t="n">
        <f aca="false">O14*$K14/$I14</f>
        <v>0.832647166342466</v>
      </c>
      <c r="S14" s="47" t="n">
        <f aca="false">P14*$K14/$I14</f>
        <v>0.0357269307321053</v>
      </c>
      <c r="T14" s="26" t="n">
        <f aca="false">Q14*$K14/$I14</f>
        <v>0.0284796455556589</v>
      </c>
      <c r="U14" s="27" t="n">
        <v>99.0665</v>
      </c>
      <c r="V14" s="27" t="n">
        <v>96.5509</v>
      </c>
      <c r="W14" s="51"/>
      <c r="Z14" s="33"/>
      <c r="AA14" s="2"/>
    </row>
    <row r="15" customFormat="false" ht="14.25" hidden="false" customHeight="true" outlineLevel="0" collapsed="false">
      <c r="A15" s="18"/>
      <c r="B15" s="34" t="s">
        <v>32</v>
      </c>
      <c r="C15" s="34" t="n">
        <v>11</v>
      </c>
      <c r="D15" s="34" t="n">
        <v>2.803</v>
      </c>
      <c r="E15" s="34" t="n">
        <v>100</v>
      </c>
      <c r="F15" s="34" t="n">
        <v>2.999</v>
      </c>
      <c r="G15" s="30" t="n">
        <f aca="false">1000-E15</f>
        <v>900</v>
      </c>
      <c r="H15" s="34" t="n">
        <v>3.6274</v>
      </c>
      <c r="I15" s="35" t="n">
        <f aca="false">F15-D15</f>
        <v>0.196</v>
      </c>
      <c r="J15" s="35" t="n">
        <f aca="false">H15-F15</f>
        <v>0.6284</v>
      </c>
      <c r="K15" s="35" t="n">
        <f aca="false">J15+I15</f>
        <v>0.8244</v>
      </c>
      <c r="L15" s="36" t="n">
        <v>1570.6322</v>
      </c>
      <c r="M15" s="36" t="n">
        <v>759.7819</v>
      </c>
      <c r="N15" s="41" t="n">
        <v>694.9843</v>
      </c>
      <c r="O15" s="52" t="n">
        <f aca="false">L15/$F$2</f>
        <v>8.38501405659582</v>
      </c>
      <c r="P15" s="53" t="n">
        <f aca="false">M15/$G$2</f>
        <v>4.45969857870869</v>
      </c>
      <c r="Q15" s="54" t="n">
        <f aca="false">N15/$H$2</f>
        <v>4.87269908755772</v>
      </c>
      <c r="R15" s="55" t="n">
        <f aca="false">O15*$K15/$I15</f>
        <v>35.2683958584571</v>
      </c>
      <c r="S15" s="53" t="n">
        <f aca="false">P15*$K15/$I15</f>
        <v>18.758038307589</v>
      </c>
      <c r="T15" s="54" t="n">
        <f aca="false">Q15*$K15/$I15</f>
        <v>20.4951690192989</v>
      </c>
      <c r="U15" s="2" t="n">
        <v>5.1862</v>
      </c>
      <c r="V15" s="2"/>
      <c r="W15" s="51" t="n">
        <f aca="false">AVERAGE(R15:R16)/100</f>
        <v>0.350499447246118</v>
      </c>
      <c r="X15" s="0" t="n">
        <f aca="false">AVERAGE(S15:S16)/100</f>
        <v>0.186719111714107</v>
      </c>
      <c r="Y15" s="1" t="n">
        <f aca="false">AVERAGE(T15:T16)/100</f>
        <v>0.203340564378847</v>
      </c>
      <c r="Z15" s="33" t="n">
        <f aca="false">AVERAGE(U15:V16)/100</f>
        <v>0.047845</v>
      </c>
      <c r="AA15" s="2" t="n">
        <f aca="false">SUM(W15:Z15)</f>
        <v>0.788404123339071</v>
      </c>
      <c r="AD15" s="0" t="n">
        <v>0.450645722502059</v>
      </c>
      <c r="AE15" s="0" t="n">
        <v>0.240069334386884</v>
      </c>
      <c r="AF15" s="0" t="n">
        <v>0.261439943111057</v>
      </c>
      <c r="AG15" s="0" t="n">
        <v>0.047845</v>
      </c>
    </row>
    <row r="16" customFormat="false" ht="14.25" hidden="false" customHeight="true" outlineLevel="0" collapsed="false">
      <c r="A16" s="18"/>
      <c r="B16" s="34" t="s">
        <v>32</v>
      </c>
      <c r="C16" s="34" t="n">
        <v>12</v>
      </c>
      <c r="D16" s="34" t="n">
        <v>2.8581</v>
      </c>
      <c r="E16" s="34" t="n">
        <v>100</v>
      </c>
      <c r="F16" s="34" t="n">
        <v>3.0519</v>
      </c>
      <c r="G16" s="30" t="n">
        <f aca="false">1000-E16</f>
        <v>900</v>
      </c>
      <c r="H16" s="34" t="n">
        <v>3.673</v>
      </c>
      <c r="I16" s="35" t="n">
        <f aca="false">F16-D16</f>
        <v>0.1938</v>
      </c>
      <c r="J16" s="35" t="n">
        <f aca="false">H16-F16</f>
        <v>0.6211</v>
      </c>
      <c r="K16" s="35" t="n">
        <f aca="false">J16+I16</f>
        <v>0.8149</v>
      </c>
      <c r="L16" s="36" t="n">
        <v>1551.6446</v>
      </c>
      <c r="M16" s="36" t="n">
        <v>753.0326</v>
      </c>
      <c r="N16" s="36" t="n">
        <v>684.2647</v>
      </c>
      <c r="O16" s="52" t="n">
        <f aca="false">L16/$F$2</f>
        <v>8.28364640801392</v>
      </c>
      <c r="P16" s="53" t="n">
        <f aca="false">M16/$G$2</f>
        <v>4.42008215244573</v>
      </c>
      <c r="Q16" s="54" t="n">
        <f aca="false">N16/$H$2</f>
        <v>4.7975414399116</v>
      </c>
      <c r="R16" s="55" t="n">
        <f aca="false">O16*$K16/$I16</f>
        <v>34.8314935907665</v>
      </c>
      <c r="S16" s="53" t="n">
        <f aca="false">P16*$K16/$I16</f>
        <v>18.5857840352323</v>
      </c>
      <c r="T16" s="54" t="n">
        <f aca="false">Q16*$K16/$I16</f>
        <v>20.1729438564704</v>
      </c>
      <c r="U16" s="2" t="n">
        <v>4.5975</v>
      </c>
      <c r="V16" s="2" t="n">
        <v>4.5698</v>
      </c>
      <c r="W16" s="51"/>
      <c r="Z16" s="33"/>
      <c r="AA16" s="2"/>
    </row>
    <row r="17" customFormat="false" ht="14.25" hidden="false" customHeight="true" outlineLevel="0" collapsed="false">
      <c r="A17" s="18" t="s">
        <v>65</v>
      </c>
      <c r="B17" s="19" t="s">
        <v>31</v>
      </c>
      <c r="C17" s="20" t="n">
        <v>13</v>
      </c>
      <c r="D17" s="19" t="n">
        <v>2.7894</v>
      </c>
      <c r="E17" s="19" t="n">
        <v>300</v>
      </c>
      <c r="F17" s="20" t="n">
        <v>2.9903</v>
      </c>
      <c r="G17" s="19" t="n">
        <f aca="false">1000-E17</f>
        <v>700</v>
      </c>
      <c r="H17" s="20" t="n">
        <v>3.5685</v>
      </c>
      <c r="I17" s="22" t="n">
        <f aca="false">F17-D17</f>
        <v>0.2009</v>
      </c>
      <c r="J17" s="22" t="n">
        <f aca="false">H17-F17</f>
        <v>0.5782</v>
      </c>
      <c r="K17" s="22" t="n">
        <f aca="false">J17+I17</f>
        <v>0.7791</v>
      </c>
      <c r="L17" s="23" t="n">
        <v>60.8063</v>
      </c>
      <c r="M17" s="23" t="n">
        <v>0.9138</v>
      </c>
      <c r="N17" s="23" t="n">
        <v>0.6404</v>
      </c>
      <c r="O17" s="24" t="n">
        <f aca="false">L17/$F$2</f>
        <v>0.324621945373068</v>
      </c>
      <c r="P17" s="47" t="n">
        <f aca="false">M17/$G$2</f>
        <v>0.0053637399906789</v>
      </c>
      <c r="Q17" s="26" t="n">
        <f aca="false">N17/$H$2</f>
        <v>0.00448999566705602</v>
      </c>
      <c r="R17" s="25" t="n">
        <f aca="false">O17*$K17/$I17</f>
        <v>1.25889973937361</v>
      </c>
      <c r="S17" s="47" t="n">
        <f aca="false">P17*$K17/$I17</f>
        <v>0.020800845329706</v>
      </c>
      <c r="T17" s="26" t="n">
        <f aca="false">Q17*$K17/$I17</f>
        <v>0.0174124222210222</v>
      </c>
      <c r="U17" s="27" t="n">
        <v>97.0684</v>
      </c>
      <c r="V17" s="27"/>
      <c r="W17" s="56" t="n">
        <f aca="false">AVERAGE(R17:R18)/100</f>
        <v>0.0102778809209477</v>
      </c>
      <c r="X17" s="57" t="n">
        <f aca="false">AVERAGE(S17:S18)/100</f>
        <v>0.000170581217350152</v>
      </c>
      <c r="Y17" s="57" t="n">
        <f aca="false">AVERAGE(T17:T18)/100</f>
        <v>0.000141962384643986</v>
      </c>
      <c r="Z17" s="29" t="n">
        <f aca="false">AVERAGE(U17:V18)/100</f>
        <v>0.988856</v>
      </c>
      <c r="AA17" s="2" t="n">
        <f aca="false">SUM(W17:Z17)</f>
        <v>0.999446424522942</v>
      </c>
      <c r="AD17" s="0" t="n">
        <v>0.0102778809209477</v>
      </c>
      <c r="AE17" s="0" t="n">
        <v>0.000170581217350152</v>
      </c>
      <c r="AF17" s="0" t="n">
        <v>0.000141962384643986</v>
      </c>
      <c r="AG17" s="0" t="n">
        <v>0.989409575477058</v>
      </c>
    </row>
    <row r="18" customFormat="false" ht="14.25" hidden="false" customHeight="true" outlineLevel="0" collapsed="false">
      <c r="A18" s="18"/>
      <c r="B18" s="20" t="s">
        <v>31</v>
      </c>
      <c r="C18" s="20" t="n">
        <v>14</v>
      </c>
      <c r="D18" s="20" t="n">
        <v>2.694</v>
      </c>
      <c r="E18" s="20" t="n">
        <v>300</v>
      </c>
      <c r="F18" s="20" t="n">
        <v>3.0768</v>
      </c>
      <c r="G18" s="19" t="n">
        <f aca="false">1000-E18</f>
        <v>700</v>
      </c>
      <c r="H18" s="20" t="n">
        <v>3.7007</v>
      </c>
      <c r="I18" s="22" t="n">
        <f aca="false">F18-D18</f>
        <v>0.3828</v>
      </c>
      <c r="J18" s="22" t="n">
        <f aca="false">H18-F18</f>
        <v>0.6239</v>
      </c>
      <c r="K18" s="22" t="n">
        <f aca="false">J18+I18</f>
        <v>1.0067</v>
      </c>
      <c r="L18" s="23" t="n">
        <v>56.7446</v>
      </c>
      <c r="M18" s="23" t="n">
        <v>0.8626</v>
      </c>
      <c r="N18" s="23" t="n">
        <v>0.5955</v>
      </c>
      <c r="O18" s="24" t="n">
        <f aca="false">L18/$F$2</f>
        <v>0.30293805808636</v>
      </c>
      <c r="P18" s="47" t="n">
        <f aca="false">M18/$G$2</f>
        <v>0.00506321089511887</v>
      </c>
      <c r="Q18" s="26" t="n">
        <f aca="false">N18/$H$2</f>
        <v>0.00417519116135519</v>
      </c>
      <c r="R18" s="25" t="n">
        <f aca="false">O18*$K18/$I18</f>
        <v>0.796676444815931</v>
      </c>
      <c r="S18" s="47" t="n">
        <f aca="false">P18*$K18/$I18</f>
        <v>0.0133153981403244</v>
      </c>
      <c r="T18" s="26" t="n">
        <f aca="false">Q18*$K18/$I18</f>
        <v>0.010980054707775</v>
      </c>
      <c r="U18" s="27" t="n">
        <v>100.5119</v>
      </c>
      <c r="V18" s="27" t="n">
        <v>99.0765</v>
      </c>
      <c r="W18" s="51"/>
      <c r="Z18" s="33"/>
      <c r="AA18" s="2"/>
    </row>
    <row r="19" customFormat="false" ht="14.25" hidden="false" customHeight="true" outlineLevel="0" collapsed="false">
      <c r="A19" s="18"/>
      <c r="B19" s="34" t="s">
        <v>32</v>
      </c>
      <c r="C19" s="34" t="n">
        <v>15</v>
      </c>
      <c r="D19" s="34" t="n">
        <v>2.8448</v>
      </c>
      <c r="E19" s="34" t="n">
        <v>100</v>
      </c>
      <c r="F19" s="34" t="n">
        <v>3.076</v>
      </c>
      <c r="G19" s="30" t="n">
        <f aca="false">1000-E19</f>
        <v>900</v>
      </c>
      <c r="H19" s="34" t="n">
        <v>3.6777</v>
      </c>
      <c r="I19" s="35" t="n">
        <f aca="false">F19-D19</f>
        <v>0.2312</v>
      </c>
      <c r="J19" s="35" t="n">
        <f aca="false">H19-F19</f>
        <v>0.6017</v>
      </c>
      <c r="K19" s="35" t="n">
        <f aca="false">J19+I19</f>
        <v>0.8329</v>
      </c>
      <c r="L19" s="36" t="n">
        <v>2587.7175</v>
      </c>
      <c r="M19" s="36" t="n">
        <v>456.0498</v>
      </c>
      <c r="N19" s="36" t="n">
        <v>416.8024</v>
      </c>
      <c r="O19" s="52" t="n">
        <f aca="false">L19/$F$2</f>
        <v>13.8148495949586</v>
      </c>
      <c r="P19" s="53" t="n">
        <f aca="false">M19/$G$2</f>
        <v>2.67687956883466</v>
      </c>
      <c r="Q19" s="54" t="n">
        <f aca="false">N19/$H$2</f>
        <v>2.92230007810517</v>
      </c>
      <c r="R19" s="55" t="n">
        <f aca="false">O19*$K19/$I19</f>
        <v>49.7681151714578</v>
      </c>
      <c r="S19" s="53" t="n">
        <f aca="false">P19*$K19/$I19</f>
        <v>9.64348180312454</v>
      </c>
      <c r="T19" s="54" t="n">
        <f aca="false">Q19*$K19/$I19</f>
        <v>10.5276113107863</v>
      </c>
      <c r="U19" s="2" t="n">
        <v>6.2745</v>
      </c>
      <c r="V19" s="2"/>
      <c r="W19" s="51" t="n">
        <f aca="false">AVERAGE(R19:R20)/100</f>
        <v>0.513849931451516</v>
      </c>
      <c r="X19" s="0" t="n">
        <f aca="false">AVERAGE(S19:S20)/100</f>
        <v>0.099543577784993</v>
      </c>
      <c r="Y19" s="1" t="n">
        <f aca="false">AVERAGE(T19:T20)/100</f>
        <v>0.108625038486547</v>
      </c>
      <c r="Z19" s="33" t="n">
        <f aca="false">AVERAGE(U19:V20)/100</f>
        <v>0.064449</v>
      </c>
      <c r="AA19" s="2" t="n">
        <f aca="false">SUM(W19:Z19)</f>
        <v>0.786467547723056</v>
      </c>
      <c r="AD19" s="0" t="n">
        <v>0.6658178224582</v>
      </c>
      <c r="AE19" s="0" t="n">
        <v>0.128982965927974</v>
      </c>
      <c r="AF19" s="0" t="n">
        <v>0.140750211613826</v>
      </c>
      <c r="AG19" s="0" t="n">
        <v>0.064449</v>
      </c>
    </row>
    <row r="20" customFormat="false" ht="14.25" hidden="false" customHeight="true" outlineLevel="0" collapsed="false">
      <c r="A20" s="18"/>
      <c r="B20" s="34" t="s">
        <v>32</v>
      </c>
      <c r="C20" s="34" t="n">
        <v>16</v>
      </c>
      <c r="D20" s="34" t="n">
        <v>2.8036</v>
      </c>
      <c r="E20" s="34" t="n">
        <v>100</v>
      </c>
      <c r="F20" s="34" t="n">
        <v>3.0196</v>
      </c>
      <c r="G20" s="30" t="n">
        <f aca="false">1000-E20</f>
        <v>900</v>
      </c>
      <c r="H20" s="34" t="n">
        <v>3.6117</v>
      </c>
      <c r="I20" s="35" t="n">
        <f aca="false">F20-D20</f>
        <v>0.216</v>
      </c>
      <c r="J20" s="35" t="n">
        <f aca="false">H20-F20</f>
        <v>0.5921</v>
      </c>
      <c r="K20" s="35" t="n">
        <f aca="false">J20+I20</f>
        <v>0.8081</v>
      </c>
      <c r="L20" s="36" t="n">
        <v>2653.6922</v>
      </c>
      <c r="M20" s="36" t="n">
        <v>467.4562</v>
      </c>
      <c r="N20" s="36" t="n">
        <v>426.8852</v>
      </c>
      <c r="O20" s="52" t="n">
        <f aca="false">L20/$F$2</f>
        <v>14.1670636823049</v>
      </c>
      <c r="P20" s="53" t="n">
        <f aca="false">M20/$G$2</f>
        <v>2.7438318164049</v>
      </c>
      <c r="Q20" s="54" t="n">
        <f aca="false">N20/$H$2</f>
        <v>2.99299297053458</v>
      </c>
      <c r="R20" s="55" t="n">
        <f aca="false">O20*$K20/$I20</f>
        <v>53.0018711188454</v>
      </c>
      <c r="S20" s="53" t="n">
        <f aca="false">P20*$K20/$I20</f>
        <v>10.2652337538741</v>
      </c>
      <c r="T20" s="54" t="n">
        <f aca="false">Q20*$K20/$I20</f>
        <v>11.1973963865231</v>
      </c>
      <c r="U20" s="2" t="n">
        <v>6.6153</v>
      </c>
      <c r="V20" s="2"/>
      <c r="W20" s="51"/>
      <c r="Z20" s="33"/>
      <c r="AA20" s="2"/>
    </row>
    <row r="21" customFormat="false" ht="14.25" hidden="false" customHeight="true" outlineLevel="0" collapsed="false">
      <c r="A21" s="18" t="s">
        <v>66</v>
      </c>
      <c r="B21" s="19" t="s">
        <v>31</v>
      </c>
      <c r="C21" s="20" t="n">
        <v>17</v>
      </c>
      <c r="D21" s="19" t="n">
        <v>2.8602</v>
      </c>
      <c r="E21" s="19" t="n">
        <v>300</v>
      </c>
      <c r="F21" s="20" t="n">
        <v>3.0624</v>
      </c>
      <c r="G21" s="19" t="n">
        <f aca="false">1000-E21</f>
        <v>700</v>
      </c>
      <c r="H21" s="20" t="n">
        <v>3.6719</v>
      </c>
      <c r="I21" s="22" t="n">
        <f aca="false">F21-D21</f>
        <v>0.2022</v>
      </c>
      <c r="J21" s="22" t="n">
        <f aca="false">H21-F21</f>
        <v>0.6095</v>
      </c>
      <c r="K21" s="22" t="n">
        <f aca="false">J21+I21</f>
        <v>0.8117</v>
      </c>
      <c r="L21" s="23" t="n">
        <v>34.9706</v>
      </c>
      <c r="M21" s="23" t="n">
        <v>1.8906</v>
      </c>
      <c r="N21" s="23" t="n">
        <v>1.189</v>
      </c>
      <c r="O21" s="24" t="n">
        <f aca="false">L21/$F$2</f>
        <v>0.186694868835358</v>
      </c>
      <c r="P21" s="47" t="n">
        <f aca="false">M21/$G$2</f>
        <v>0.0110972716419102</v>
      </c>
      <c r="Q21" s="26" t="n">
        <f aca="false">N21/$H$2</f>
        <v>0.00833635985029609</v>
      </c>
      <c r="R21" s="25" t="n">
        <f aca="false">O21*$K21/$I21</f>
        <v>0.749457097100198</v>
      </c>
      <c r="S21" s="47" t="n">
        <f aca="false">P21*$K21/$I21</f>
        <v>0.0445482462499432</v>
      </c>
      <c r="T21" s="26" t="n">
        <f aca="false">Q21*$K21/$I21</f>
        <v>0.0334650014366238</v>
      </c>
      <c r="U21" s="27" t="n">
        <v>99.6909</v>
      </c>
      <c r="V21" s="27"/>
      <c r="W21" s="56" t="n">
        <f aca="false">AVERAGE(R21:R22)/100</f>
        <v>0.00727297009849924</v>
      </c>
      <c r="X21" s="57" t="n">
        <f aca="false">AVERAGE(S21:S22)/100</f>
        <v>0.000424620676223573</v>
      </c>
      <c r="Y21" s="57" t="n">
        <f aca="false">AVERAGE(T21:T22)/100</f>
        <v>0.000324281102648831</v>
      </c>
      <c r="Z21" s="29" t="n">
        <f aca="false">AVERAGE(U21:V22)/100</f>
        <v>0.9964865</v>
      </c>
      <c r="AA21" s="2" t="n">
        <f aca="false">SUM(W21:Z21)</f>
        <v>1.00450837187737</v>
      </c>
      <c r="AD21" s="0" t="n">
        <v>0.00727297009849924</v>
      </c>
      <c r="AE21" s="0" t="n">
        <v>0.000424620676223573</v>
      </c>
      <c r="AF21" s="0" t="n">
        <v>0.000324281102648831</v>
      </c>
      <c r="AG21" s="0" t="n">
        <v>0.991978128122628</v>
      </c>
    </row>
    <row r="22" customFormat="false" ht="14.25" hidden="false" customHeight="true" outlineLevel="0" collapsed="false">
      <c r="A22" s="18"/>
      <c r="B22" s="20" t="s">
        <v>31</v>
      </c>
      <c r="C22" s="20" t="n">
        <v>18</v>
      </c>
      <c r="D22" s="20" t="n">
        <v>2.7962</v>
      </c>
      <c r="E22" s="20" t="n">
        <v>300</v>
      </c>
      <c r="F22" s="20" t="n">
        <v>3.0027</v>
      </c>
      <c r="G22" s="19" t="n">
        <f aca="false">1000-E22</f>
        <v>700</v>
      </c>
      <c r="H22" s="20" t="n">
        <v>3.6231</v>
      </c>
      <c r="I22" s="22" t="n">
        <f aca="false">F22-D22</f>
        <v>0.2065</v>
      </c>
      <c r="J22" s="22" t="n">
        <f aca="false">H22-F22</f>
        <v>0.6204</v>
      </c>
      <c r="K22" s="22" t="n">
        <f aca="false">J22+I22</f>
        <v>0.8269</v>
      </c>
      <c r="L22" s="23" t="n">
        <v>32.9846</v>
      </c>
      <c r="M22" s="23" t="n">
        <v>1.7178</v>
      </c>
      <c r="N22" s="23" t="n">
        <v>1.1181</v>
      </c>
      <c r="O22" s="24" t="n">
        <f aca="false">L22/$F$2</f>
        <v>0.176092362458372</v>
      </c>
      <c r="P22" s="47" t="n">
        <f aca="false">M22/$G$2</f>
        <v>0.0100829859443951</v>
      </c>
      <c r="Q22" s="26" t="n">
        <f aca="false">N22/$H$2</f>
        <v>0.00783926320320946</v>
      </c>
      <c r="R22" s="25" t="n">
        <f aca="false">O22*$K22/$I22</f>
        <v>0.70513692259965</v>
      </c>
      <c r="S22" s="47" t="n">
        <f aca="false">P22*$K22/$I22</f>
        <v>0.0403758889947714</v>
      </c>
      <c r="T22" s="26" t="n">
        <f aca="false">Q22*$K22/$I22</f>
        <v>0.0313912190931424</v>
      </c>
      <c r="U22" s="27" t="n">
        <v>99.6064</v>
      </c>
      <c r="V22" s="27"/>
      <c r="W22" s="51"/>
      <c r="Z22" s="33"/>
      <c r="AA22" s="2"/>
    </row>
    <row r="23" customFormat="false" ht="14.25" hidden="false" customHeight="true" outlineLevel="0" collapsed="false">
      <c r="A23" s="18"/>
      <c r="B23" s="34" t="s">
        <v>32</v>
      </c>
      <c r="C23" s="34" t="n">
        <v>19</v>
      </c>
      <c r="D23" s="34" t="n">
        <v>2.8642</v>
      </c>
      <c r="E23" s="34" t="n">
        <v>100</v>
      </c>
      <c r="F23" s="34" t="n">
        <v>3.0524</v>
      </c>
      <c r="G23" s="30" t="n">
        <f aca="false">1000-E23</f>
        <v>900</v>
      </c>
      <c r="H23" s="34" t="n">
        <v>3.652</v>
      </c>
      <c r="I23" s="35" t="n">
        <f aca="false">F23-D23</f>
        <v>0.1882</v>
      </c>
      <c r="J23" s="35" t="n">
        <f aca="false">H23-F23</f>
        <v>0.5996</v>
      </c>
      <c r="K23" s="35" t="n">
        <f aca="false">J23+I23</f>
        <v>0.7878</v>
      </c>
      <c r="L23" s="36" t="n">
        <v>1231.0217</v>
      </c>
      <c r="M23" s="36" t="n">
        <v>841.3084</v>
      </c>
      <c r="N23" s="36" t="n">
        <v>762.9919</v>
      </c>
      <c r="O23" s="52" t="n">
        <f aca="false">L23/$F$2</f>
        <v>6.57196144232525</v>
      </c>
      <c r="P23" s="53" t="n">
        <f aca="false">M23/$G$2</f>
        <v>4.93823540115352</v>
      </c>
      <c r="Q23" s="54" t="n">
        <f aca="false">N23/$H$2</f>
        <v>5.34951643503879</v>
      </c>
      <c r="R23" s="55" t="n">
        <f aca="false">O23*$K23/$I23</f>
        <v>27.5100490130915</v>
      </c>
      <c r="S23" s="53" t="n">
        <f aca="false">P23*$K23/$I23</f>
        <v>20.6713169448923</v>
      </c>
      <c r="T23" s="54" t="n">
        <f aca="false">Q23*$K23/$I23</f>
        <v>22.3929279889668</v>
      </c>
      <c r="U23" s="2" t="n">
        <v>4.3433</v>
      </c>
      <c r="V23" s="2"/>
      <c r="W23" s="51" t="n">
        <f aca="false">AVERAGE(R23:R24)/100</f>
        <v>0.288818859607614</v>
      </c>
      <c r="X23" s="0" t="n">
        <f aca="false">AVERAGE(S23:S24)/100</f>
        <v>0.216042040040267</v>
      </c>
      <c r="Y23" s="1" t="n">
        <f aca="false">AVERAGE(T23:T24)/100</f>
        <v>0.236740262094612</v>
      </c>
      <c r="Z23" s="33" t="n">
        <f aca="false">AVERAGE(U23:V24)/100</f>
        <v>0.0426285</v>
      </c>
      <c r="AA23" s="2" t="n">
        <f aca="false">SUM(W23:Z23)</f>
        <v>0.784229661742492</v>
      </c>
      <c r="AD23" s="0" t="n">
        <v>0.372851283297804</v>
      </c>
      <c r="AE23" s="0" t="n">
        <v>0.278899902813568</v>
      </c>
      <c r="AF23" s="0" t="n">
        <v>0.305620313888628</v>
      </c>
      <c r="AG23" s="0" t="n">
        <v>0.0426285</v>
      </c>
    </row>
    <row r="24" customFormat="false" ht="14.25" hidden="false" customHeight="true" outlineLevel="0" collapsed="false">
      <c r="A24" s="18"/>
      <c r="B24" s="34" t="s">
        <v>32</v>
      </c>
      <c r="C24" s="34" t="n">
        <v>20</v>
      </c>
      <c r="D24" s="34" t="n">
        <v>2.7888</v>
      </c>
      <c r="E24" s="34" t="n">
        <v>100</v>
      </c>
      <c r="F24" s="34" t="n">
        <v>3.0046</v>
      </c>
      <c r="G24" s="30" t="n">
        <f aca="false">1000-E24</f>
        <v>900</v>
      </c>
      <c r="H24" s="34" t="n">
        <v>3.6248</v>
      </c>
      <c r="I24" s="35" t="n">
        <f aca="false">F24-D24</f>
        <v>0.2158</v>
      </c>
      <c r="J24" s="35" t="n">
        <f aca="false">H24-F24</f>
        <v>0.6202</v>
      </c>
      <c r="K24" s="35" t="n">
        <f aca="false">J24+I24</f>
        <v>0.836</v>
      </c>
      <c r="L24" s="36" t="n">
        <v>1462.8328</v>
      </c>
      <c r="M24" s="36" t="n">
        <v>991.1205</v>
      </c>
      <c r="N24" s="36" t="n">
        <v>918.7774</v>
      </c>
      <c r="O24" s="58" t="n">
        <f aca="false">L24/$F$2</f>
        <v>7.80951364071704</v>
      </c>
      <c r="P24" s="59" t="n">
        <f aca="false">M24/$G$2</f>
        <v>5.81758881750019</v>
      </c>
      <c r="Q24" s="60" t="n">
        <f aca="false">N24/$H$2</f>
        <v>6.44176537318707</v>
      </c>
      <c r="R24" s="55" t="n">
        <f aca="false">O24*$K24/$I24</f>
        <v>30.2537229084312</v>
      </c>
      <c r="S24" s="53" t="n">
        <f aca="false">P24*$K24/$I24</f>
        <v>22.5370910631611</v>
      </c>
      <c r="T24" s="54" t="n">
        <f aca="false">Q24*$K24/$I24</f>
        <v>24.9551244299555</v>
      </c>
      <c r="U24" s="42" t="n">
        <v>4.1824</v>
      </c>
      <c r="V24" s="42"/>
      <c r="W24" s="61"/>
      <c r="X24" s="62"/>
      <c r="Y24" s="62"/>
      <c r="Z24" s="44"/>
      <c r="AA24" s="2"/>
    </row>
    <row r="25" customFormat="false" ht="14.25" hidden="false" customHeight="true" outlineLevel="0" collapsed="false">
      <c r="A25" s="45" t="s">
        <v>37</v>
      </c>
      <c r="B25" s="1" t="s">
        <v>31</v>
      </c>
      <c r="C25" s="1" t="n">
        <v>1</v>
      </c>
      <c r="D25" s="1" t="n">
        <v>2.7597</v>
      </c>
      <c r="F25" s="1" t="n">
        <v>3.0728</v>
      </c>
      <c r="G25" s="2" t="n">
        <f aca="false">1000-E25</f>
        <v>1000</v>
      </c>
      <c r="H25" s="1" t="n">
        <v>3.5535</v>
      </c>
      <c r="I25" s="1" t="n">
        <f aca="false">F25-D25</f>
        <v>0.3131</v>
      </c>
      <c r="J25" s="1" t="n">
        <f aca="false">H25-F25</f>
        <v>0.4807</v>
      </c>
      <c r="K25" s="1" t="n">
        <f aca="false">J25+I25</f>
        <v>0.7938</v>
      </c>
      <c r="M25" s="1" t="n">
        <v>4.34</v>
      </c>
      <c r="N25" s="1" t="n">
        <v>2.7</v>
      </c>
      <c r="P25" s="1" t="n">
        <f aca="false">M25/$G$2</f>
        <v>0.0254745366158311</v>
      </c>
      <c r="Q25" s="1" t="n">
        <f aca="false">N25/$H$2</f>
        <v>0.018930337759293</v>
      </c>
      <c r="S25" s="1" t="n">
        <f aca="false">P25*$K25/$I25</f>
        <v>0.0645853949717238</v>
      </c>
      <c r="T25" s="1" t="n">
        <f aca="false">Q25*$K25/$I25</f>
        <v>0.0479939384009161</v>
      </c>
      <c r="X25" s="1" t="n">
        <f aca="false">AVERAGE(S25:S26)/100</f>
        <v>0.000639913559482433</v>
      </c>
      <c r="Y25" s="1" t="n">
        <f aca="false">AVERAGE(T25:T26)/100</f>
        <v>0.000480012395841369</v>
      </c>
      <c r="Z25" s="1" t="e">
        <f aca="false">AVERAGE(U25:V26)/100</f>
        <v>#DIV/0!</v>
      </c>
      <c r="AA25" s="1" t="e">
        <f aca="false">SUM(W25:Z25)</f>
        <v>#DIV/0!</v>
      </c>
      <c r="AE25" s="1" t="str">
        <f aca="false">IFERROR(X25/$AA25,"")</f>
        <v/>
      </c>
      <c r="AF25" s="1" t="str">
        <f aca="false">IFERROR(Y25/$AA25,"")</f>
        <v/>
      </c>
      <c r="AG25" s="1" t="str">
        <f aca="false">IFERROR(Z25/$AA25,"")</f>
        <v/>
      </c>
    </row>
    <row r="26" customFormat="false" ht="14.25" hidden="false" customHeight="true" outlineLevel="0" collapsed="false">
      <c r="A26" s="45"/>
      <c r="B26" s="1" t="s">
        <v>31</v>
      </c>
      <c r="C26" s="1" t="n">
        <v>2</v>
      </c>
      <c r="D26" s="1" t="n">
        <v>2.7827</v>
      </c>
      <c r="F26" s="1" t="n">
        <v>3.0985</v>
      </c>
      <c r="G26" s="2" t="n">
        <f aca="false">1000-E26</f>
        <v>1000</v>
      </c>
      <c r="H26" s="1" t="n">
        <v>3.5987</v>
      </c>
      <c r="I26" s="1" t="n">
        <f aca="false">F26-D26</f>
        <v>0.3158</v>
      </c>
      <c r="J26" s="1" t="n">
        <f aca="false">H26-F26</f>
        <v>0.5002</v>
      </c>
      <c r="K26" s="1" t="n">
        <f aca="false">J26+I26</f>
        <v>0.816</v>
      </c>
      <c r="M26" s="1" t="n">
        <v>4.18</v>
      </c>
      <c r="N26" s="1" t="n">
        <v>2.65</v>
      </c>
      <c r="P26" s="1" t="n">
        <f aca="false">M26/$G$2</f>
        <v>0.024535383192206</v>
      </c>
      <c r="Q26" s="1" t="n">
        <f aca="false">N26/$H$2</f>
        <v>0.0185797759489358</v>
      </c>
      <c r="S26" s="1" t="n">
        <f aca="false">P26*$K26/$I26</f>
        <v>0.0633973169247627</v>
      </c>
      <c r="T26" s="1" t="n">
        <f aca="false">Q26*$K26/$I26</f>
        <v>0.0480085407673578</v>
      </c>
    </row>
    <row r="27" customFormat="false" ht="14.25" hidden="false" customHeight="true" outlineLevel="0" collapsed="false">
      <c r="A27" s="45"/>
      <c r="B27" s="1" t="s">
        <v>32</v>
      </c>
      <c r="C27" s="1" t="n">
        <v>3</v>
      </c>
      <c r="D27" s="1" t="n">
        <v>2.7811</v>
      </c>
      <c r="F27" s="1" t="n">
        <v>3.0656</v>
      </c>
      <c r="G27" s="2" t="n">
        <f aca="false">1000-E27</f>
        <v>1000</v>
      </c>
      <c r="H27" s="1" t="n">
        <v>3.55</v>
      </c>
      <c r="I27" s="1" t="n">
        <f aca="false">F27-D27</f>
        <v>0.2845</v>
      </c>
      <c r="J27" s="1" t="n">
        <f aca="false">H27-F27</f>
        <v>0.4844</v>
      </c>
      <c r="K27" s="1" t="n">
        <f aca="false">J27+I27</f>
        <v>0.7689</v>
      </c>
      <c r="M27" s="1" t="n">
        <v>2796.21</v>
      </c>
      <c r="N27" s="1" t="n">
        <v>2506.32</v>
      </c>
      <c r="P27" s="1" t="n">
        <f aca="false">M27/$G$2</f>
        <v>16.4129387167173</v>
      </c>
      <c r="Q27" s="1" t="n">
        <f aca="false">N27/$H$2</f>
        <v>17.5724015306931</v>
      </c>
      <c r="S27" s="1" t="n">
        <f aca="false">P27*$K27/$I27</f>
        <v>44.3582023876412</v>
      </c>
      <c r="T27" s="1" t="n">
        <f aca="false">Q27*$K27/$I27</f>
        <v>47.4918085657291</v>
      </c>
      <c r="U27" s="1" t="n">
        <v>1.6475</v>
      </c>
      <c r="X27" s="1" t="n">
        <f aca="false">AVERAGE(S27:S28)/100</f>
        <v>0.446025099457547</v>
      </c>
      <c r="Y27" s="1" t="n">
        <f aca="false">AVERAGE(T27:T28)/100</f>
        <v>0.478035579076034</v>
      </c>
      <c r="Z27" s="1" t="n">
        <f aca="false">AVERAGE(U27:V28)/100</f>
        <v>0.0164795</v>
      </c>
      <c r="AA27" s="1" t="n">
        <f aca="false">SUM(W27:Z27)</f>
        <v>0.940540178533581</v>
      </c>
      <c r="AE27" s="1" t="n">
        <f aca="false">IFERROR(X27/$AA27,"")</f>
        <v>0.474222271028289</v>
      </c>
      <c r="AF27" s="1" t="n">
        <f aca="false">IFERROR(Y27/$AA27,"")</f>
        <v>0.508256414756625</v>
      </c>
      <c r="AG27" s="1" t="n">
        <f aca="false">IFERROR(Z27/$AA27,"")</f>
        <v>0.0175213142150861</v>
      </c>
    </row>
    <row r="28" customFormat="false" ht="14.25" hidden="false" customHeight="true" outlineLevel="0" collapsed="false">
      <c r="A28" s="45"/>
      <c r="B28" s="1" t="s">
        <v>32</v>
      </c>
      <c r="C28" s="1" t="n">
        <v>4</v>
      </c>
      <c r="D28" s="1" t="n">
        <v>2.7433</v>
      </c>
      <c r="F28" s="1" t="n">
        <v>3.0422</v>
      </c>
      <c r="G28" s="2" t="n">
        <f aca="false">1000-E28</f>
        <v>1000</v>
      </c>
      <c r="H28" s="1" t="n">
        <v>3.5249</v>
      </c>
      <c r="I28" s="1" t="n">
        <f aca="false">F28-D28</f>
        <v>0.2989</v>
      </c>
      <c r="J28" s="1" t="n">
        <f aca="false">H28-F28</f>
        <v>0.4827</v>
      </c>
      <c r="K28" s="1" t="n">
        <f aca="false">J28+I28</f>
        <v>0.7816</v>
      </c>
      <c r="M28" s="1" t="n">
        <v>2921.84</v>
      </c>
      <c r="N28" s="1" t="n">
        <v>2624.4</v>
      </c>
      <c r="P28" s="1" t="n">
        <f aca="false">M28/$G$2</f>
        <v>17.1503502455299</v>
      </c>
      <c r="Q28" s="1" t="n">
        <f aca="false">N28/$H$2</f>
        <v>18.4002883020328</v>
      </c>
      <c r="S28" s="1" t="n">
        <f aca="false">P28*$K28/$I28</f>
        <v>44.8468175038682</v>
      </c>
      <c r="T28" s="1" t="n">
        <f aca="false">Q28*$K28/$I28</f>
        <v>48.1153072494777</v>
      </c>
      <c r="U28" s="1" t="n">
        <v>1.6484</v>
      </c>
    </row>
  </sheetData>
  <mergeCells count="9">
    <mergeCell ref="O3:Q3"/>
    <mergeCell ref="R3:T3"/>
    <mergeCell ref="U3:V3"/>
    <mergeCell ref="A5:A8"/>
    <mergeCell ref="A9:A12"/>
    <mergeCell ref="A13:A16"/>
    <mergeCell ref="A17:A20"/>
    <mergeCell ref="A21:A24"/>
    <mergeCell ref="A25:A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LibreOffice/26.8.0.3$MacOSX_AARCH64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Sebastian Ormazabal</dc:creator>
  <dc:description/>
  <dc:language>en-GB</dc:language>
  <cp:lastModifiedBy/>
  <dcterms:modified xsi:type="dcterms:W3CDTF">2026-09-08T18:07:04Z</dcterms:modified>
  <cp:revision>57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