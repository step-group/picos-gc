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make_entry_workbook</author>
  </authors>
  <commentList>
    <comment ref="M9" authorId="0" shapeId="0">
      <text>
        <t>Campaign 1: 5.883 %</t>
      </text>
    </comment>
    <comment ref="M10" authorId="0" shapeId="0">
      <text>
        <t>Campaign 1: 5.737 %</t>
      </text>
    </comment>
    <comment ref="M13" authorId="0" shapeId="0">
      <text>
        <t>Campaign 1: 2.1978 %</t>
      </text>
    </comment>
    <comment ref="M14" authorId="0" shapeId="0">
      <text>
        <t>Campaign 1: 2.2258 %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B5</t>
        </is>
      </c>
      <c r="B9" s="11" t="inlineStr">
        <is>
          <t>B5-T1</t>
        </is>
      </c>
      <c r="C9" s="11" t="inlineStr">
        <is>
          <t>Superior</t>
        </is>
      </c>
      <c r="D9" s="11" t="inlineStr">
        <is>
          <t>organic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3" t="n"/>
      <c r="N9" s="13" t="n"/>
      <c r="O9" s="11" t="inlineStr">
        <is>
          <t>fresh: type the new KF</t>
        </is>
      </c>
      <c r="P9" s="13" t="n"/>
    </row>
    <row r="10">
      <c r="A10" s="3" t="inlineStr">
        <is>
          <t>B5</t>
        </is>
      </c>
      <c r="B10" s="3" t="inlineStr">
        <is>
          <t>B5-T2</t>
        </is>
      </c>
      <c r="C10" s="3" t="inlineStr">
        <is>
          <t>Superior</t>
        </is>
      </c>
      <c r="D10" s="3" t="inlineStr">
        <is>
          <t>organic</t>
        </is>
      </c>
      <c r="E10" s="16" t="n"/>
      <c r="F10" s="17" t="n">
        <v>300</v>
      </c>
      <c r="G10" s="16" t="n"/>
      <c r="H10" s="3">
        <f>1000-F10</f>
        <v/>
      </c>
      <c r="I10" s="16" t="n"/>
      <c r="J10" s="18">
        <f>IF(AND(ISNUMBER(E10),ISNUMBER(G10)),G10-E10,"")</f>
        <v/>
      </c>
      <c r="K10" s="18">
        <f>IF(AND(ISNUMBER(G10),ISNUMBER(I10)),I10-G10,"")</f>
        <v/>
      </c>
      <c r="L10" s="19">
        <f>IF(AND(ISNUMBER(J10),ISNUMBER(K10)),IF(J10&gt;0,(J10+K10)/J10,""),"")</f>
        <v/>
      </c>
      <c r="M10" s="17" t="n"/>
      <c r="N10" s="17" t="n"/>
      <c r="O10" s="3" t="inlineStr">
        <is>
          <t>fresh: type the new KF</t>
        </is>
      </c>
      <c r="P10" s="17" t="n"/>
    </row>
    <row r="11">
      <c r="A11" s="3" t="inlineStr">
        <is>
          <t>B5</t>
        </is>
      </c>
      <c r="B11" s="3" t="inlineStr">
        <is>
          <t>B5-B1</t>
        </is>
      </c>
      <c r="C11" s="3" t="inlineStr">
        <is>
          <t>Inferior</t>
        </is>
      </c>
      <c r="D11" s="3" t="inlineStr">
        <is>
          <t>aqueous</t>
        </is>
      </c>
      <c r="E11" s="16" t="n"/>
      <c r="F11" s="17" t="n">
        <v>300</v>
      </c>
      <c r="G11" s="16" t="n"/>
      <c r="H11" s="3">
        <f>1000-F11</f>
        <v/>
      </c>
      <c r="I11" s="16" t="n"/>
      <c r="J11" s="18">
        <f>IF(AND(ISNUMBER(E11),ISNUMBER(G11)),G11-E11,"")</f>
        <v/>
      </c>
      <c r="K11" s="18">
        <f>IF(AND(ISNUMBER(G11),ISNUMBER(I11)),I11-G11,"")</f>
        <v/>
      </c>
      <c r="L11" s="19">
        <f>IF(AND(ISNUMBER(J11),ISNUMBER(K11)),IF(J11&gt;0,(J11+K11)/J11,""),"")</f>
        <v/>
      </c>
      <c r="M11" s="5" t="n"/>
      <c r="N11" s="5" t="n"/>
      <c r="O11" s="3" t="inlineStr">
        <is>
          <t>n/a: by difference</t>
        </is>
      </c>
      <c r="P11" s="17" t="n"/>
    </row>
    <row r="12">
      <c r="A12" s="3" t="inlineStr">
        <is>
          <t>B5</t>
        </is>
      </c>
      <c r="B12" s="3" t="inlineStr">
        <is>
          <t>B5-B2</t>
        </is>
      </c>
      <c r="C12" s="3" t="inlineStr">
        <is>
          <t>Inferior</t>
        </is>
      </c>
      <c r="D12" s="3" t="inlineStr">
        <is>
          <t>aqueous</t>
        </is>
      </c>
      <c r="E12" s="16" t="n"/>
      <c r="F12" s="17" t="n">
        <v>300</v>
      </c>
      <c r="G12" s="16" t="n"/>
      <c r="H12" s="3">
        <f>1000-F12</f>
        <v/>
      </c>
      <c r="I12" s="16" t="n"/>
      <c r="J12" s="18">
        <f>IF(AND(ISNUMBER(E12),ISNUMBER(G12)),G12-E12,"")</f>
        <v/>
      </c>
      <c r="K12" s="18">
        <f>IF(AND(ISNUMBER(G12),ISNUMBER(I12)),I12-G12,"")</f>
        <v/>
      </c>
      <c r="L12" s="19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7" t="n"/>
    </row>
    <row r="13">
      <c r="A13" s="11" t="inlineStr">
        <is>
          <t>BIN2</t>
        </is>
      </c>
      <c r="B13" s="11" t="inlineStr">
        <is>
          <t>BIN2-T1</t>
        </is>
      </c>
      <c r="C13" s="11" t="inlineStr">
        <is>
          <t>Superior</t>
        </is>
      </c>
      <c r="D13" s="11" t="inlineStr">
        <is>
          <t>organic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3" t="n"/>
      <c r="N13" s="13" t="n"/>
      <c r="O13" s="11" t="inlineStr">
        <is>
          <t>fresh: type the new KF</t>
        </is>
      </c>
      <c r="P13" s="13" t="n"/>
    </row>
    <row r="14">
      <c r="A14" s="3" t="inlineStr">
        <is>
          <t>BIN2</t>
        </is>
      </c>
      <c r="B14" s="3" t="inlineStr">
        <is>
          <t>BIN2-T2</t>
        </is>
      </c>
      <c r="C14" s="3" t="inlineStr">
        <is>
          <t>Superior</t>
        </is>
      </c>
      <c r="D14" s="3" t="inlineStr">
        <is>
          <t>organic</t>
        </is>
      </c>
      <c r="E14" s="16" t="n"/>
      <c r="F14" s="17" t="n">
        <v>300</v>
      </c>
      <c r="G14" s="16" t="n"/>
      <c r="H14" s="3">
        <f>1000-F14</f>
        <v/>
      </c>
      <c r="I14" s="16" t="n"/>
      <c r="J14" s="18">
        <f>IF(AND(ISNUMBER(E14),ISNUMBER(G14)),G14-E14,"")</f>
        <v/>
      </c>
      <c r="K14" s="18">
        <f>IF(AND(ISNUMBER(G14),ISNUMBER(I14)),I14-G14,"")</f>
        <v/>
      </c>
      <c r="L14" s="19">
        <f>IF(AND(ISNUMBER(J14),ISNUMBER(K14)),IF(J14&gt;0,(J14+K14)/J14,""),"")</f>
        <v/>
      </c>
      <c r="M14" s="17" t="n"/>
      <c r="N14" s="17" t="n"/>
      <c r="O14" s="3" t="inlineStr">
        <is>
          <t>fresh: type the new KF</t>
        </is>
      </c>
      <c r="P14" s="17" t="n"/>
    </row>
    <row r="15">
      <c r="A15" s="3" t="inlineStr">
        <is>
          <t>BIN2</t>
        </is>
      </c>
      <c r="B15" s="3" t="inlineStr">
        <is>
          <t>BIN2-B1</t>
        </is>
      </c>
      <c r="C15" s="3" t="inlineStr">
        <is>
          <t>Inferior</t>
        </is>
      </c>
      <c r="D15" s="3" t="inlineStr">
        <is>
          <t>aqueous</t>
        </is>
      </c>
      <c r="E15" s="16" t="n"/>
      <c r="F15" s="17" t="n">
        <v>300</v>
      </c>
      <c r="G15" s="16" t="n"/>
      <c r="H15" s="3">
        <f>1000-F15</f>
        <v/>
      </c>
      <c r="I15" s="16" t="n"/>
      <c r="J15" s="18">
        <f>IF(AND(ISNUMBER(E15),ISNUMBER(G15)),G15-E15,"")</f>
        <v/>
      </c>
      <c r="K15" s="18">
        <f>IF(AND(ISNUMBER(G15),ISNUMBER(I15)),I15-G15,"")</f>
        <v/>
      </c>
      <c r="L15" s="19">
        <f>IF(AND(ISNUMBER(J15),ISNUMBER(K15)),IF(J15&gt;0,(J15+K15)/J15,""),"")</f>
        <v/>
      </c>
      <c r="M15" s="5" t="n"/>
      <c r="N15" s="5" t="n"/>
      <c r="O15" s="3" t="inlineStr">
        <is>
          <t>n/a: by difference</t>
        </is>
      </c>
      <c r="P15" s="17" t="n"/>
    </row>
    <row r="16">
      <c r="A16" s="3" t="inlineStr">
        <is>
          <t>BIN2</t>
        </is>
      </c>
      <c r="B16" s="3" t="inlineStr">
        <is>
          <t>BIN2-B2</t>
        </is>
      </c>
      <c r="C16" s="3" t="inlineStr">
        <is>
          <t>Inferior</t>
        </is>
      </c>
      <c r="D16" s="3" t="inlineStr">
        <is>
          <t>aqueous</t>
        </is>
      </c>
      <c r="E16" s="16" t="n"/>
      <c r="F16" s="17" t="n">
        <v>300</v>
      </c>
      <c r="G16" s="16" t="n"/>
      <c r="H16" s="3">
        <f>1000-F16</f>
        <v/>
      </c>
      <c r="I16" s="16" t="n"/>
      <c r="J16" s="18">
        <f>IF(AND(ISNUMBER(E16),ISNUMBER(G16)),G16-E16,"")</f>
        <v/>
      </c>
      <c r="K16" s="18">
        <f>IF(AND(ISNUMBER(G16),ISNUMBER(I16)),I16-G16,"")</f>
        <v/>
      </c>
      <c r="L16" s="19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7" t="n"/>
    </row>
    <row r="17">
      <c r="A17" s="11" t="inlineStr">
        <is>
          <t>2PE</t>
        </is>
      </c>
      <c r="B17" s="11" t="inlineStr">
        <is>
          <t>2PE-T1</t>
        </is>
      </c>
      <c r="C17" s="11" t="inlineStr">
        <is>
          <t>Superior</t>
        </is>
      </c>
      <c r="D17" s="11" t="inlineStr">
        <is>
          <t>aqueous</t>
        </is>
      </c>
      <c r="E17" s="12" t="n"/>
      <c r="F17" s="13" t="n">
        <v>300</v>
      </c>
      <c r="G17" s="12" t="n"/>
      <c r="H17" s="11">
        <f>1000-F17</f>
        <v/>
      </c>
      <c r="I17" s="12" t="n"/>
      <c r="J17" s="14">
        <f>IF(AND(ISNUMBER(E17),ISNUMBER(G17)),G17-E17,"")</f>
        <v/>
      </c>
      <c r="K17" s="14">
        <f>IF(AND(ISNUMBER(G17),ISNUMBER(I17)),I17-G17,"")</f>
        <v/>
      </c>
      <c r="L17" s="15">
        <f>IF(AND(ISNUMBER(J17),ISNUMBER(K17)),IF(J17&gt;0,(J17+K17)/J17,""),"")</f>
        <v/>
      </c>
      <c r="M17" s="20" t="n"/>
      <c r="N17" s="20" t="n"/>
      <c r="O17" s="11" t="inlineStr">
        <is>
          <t>n/a: by difference</t>
        </is>
      </c>
      <c r="P17" s="13" t="n"/>
    </row>
    <row r="18">
      <c r="A18" s="3" t="inlineStr">
        <is>
          <t>2PE</t>
        </is>
      </c>
      <c r="B18" s="3" t="inlineStr">
        <is>
          <t>2PE-T2</t>
        </is>
      </c>
      <c r="C18" s="3" t="inlineStr">
        <is>
          <t>Superior</t>
        </is>
      </c>
      <c r="D18" s="3" t="inlineStr">
        <is>
          <t>aqueous</t>
        </is>
      </c>
      <c r="E18" s="16" t="n"/>
      <c r="F18" s="17" t="n">
        <v>300</v>
      </c>
      <c r="G18" s="16" t="n"/>
      <c r="H18" s="3">
        <f>1000-F18</f>
        <v/>
      </c>
      <c r="I18" s="16" t="n"/>
      <c r="J18" s="18">
        <f>IF(AND(ISNUMBER(E18),ISNUMBER(G18)),G18-E18,"")</f>
        <v/>
      </c>
      <c r="K18" s="18">
        <f>IF(AND(ISNUMBER(G18),ISNUMBER(I18)),I18-G18,"")</f>
        <v/>
      </c>
      <c r="L18" s="19">
        <f>IF(AND(ISNUMBER(J18),ISNUMBER(K18)),IF(J18&gt;0,(J18+K18)/J18,""),"")</f>
        <v/>
      </c>
      <c r="M18" s="5" t="n"/>
      <c r="N18" s="5" t="n"/>
      <c r="O18" s="3" t="inlineStr">
        <is>
          <t>n/a: by difference</t>
        </is>
      </c>
      <c r="P18" s="17" t="n"/>
    </row>
    <row r="19">
      <c r="A19" s="3" t="inlineStr">
        <is>
          <t>2PE</t>
        </is>
      </c>
      <c r="B19" s="3" t="inlineStr">
        <is>
          <t>2PE-B1</t>
        </is>
      </c>
      <c r="C19" s="3" t="inlineStr">
        <is>
          <t>Inferior</t>
        </is>
      </c>
      <c r="D19" s="3" t="inlineStr">
        <is>
          <t>organic</t>
        </is>
      </c>
      <c r="E19" s="16" t="n"/>
      <c r="F19" s="17" t="n">
        <v>300</v>
      </c>
      <c r="G19" s="16" t="n"/>
      <c r="H19" s="3">
        <f>1000-F19</f>
        <v/>
      </c>
      <c r="I19" s="16" t="n"/>
      <c r="J19" s="18">
        <f>IF(AND(ISNUMBER(E19),ISNUMBER(G19)),G19-E19,"")</f>
        <v/>
      </c>
      <c r="K19" s="18">
        <f>IF(AND(ISNUMBER(G19),ISNUMBER(I19)),I19-G19,"")</f>
        <v/>
      </c>
      <c r="L19" s="19">
        <f>IF(AND(ISNUMBER(J19),ISNUMBER(K19)),IF(J19&gt;0,(J19+K19)/J19,""),"")</f>
        <v/>
      </c>
      <c r="M19" s="17" t="n"/>
      <c r="N19" s="17" t="n"/>
      <c r="O19" s="3" t="inlineStr">
        <is>
          <t>fresh: type the new KF</t>
        </is>
      </c>
      <c r="P19" s="17" t="n"/>
    </row>
    <row r="20">
      <c r="A20" s="3" t="inlineStr">
        <is>
          <t>2PE</t>
        </is>
      </c>
      <c r="B20" s="3" t="inlineStr">
        <is>
          <t>2PE-B2</t>
        </is>
      </c>
      <c r="C20" s="3" t="inlineStr">
        <is>
          <t>Inferior</t>
        </is>
      </c>
      <c r="D20" s="3" t="inlineStr">
        <is>
          <t>organic</t>
        </is>
      </c>
      <c r="E20" s="16" t="n"/>
      <c r="F20" s="17" t="n">
        <v>300</v>
      </c>
      <c r="G20" s="16" t="n"/>
      <c r="H20" s="3">
        <f>1000-F20</f>
        <v/>
      </c>
      <c r="I20" s="16" t="n"/>
      <c r="J20" s="18">
        <f>IF(AND(ISNUMBER(E20),ISNUMBER(G20)),G20-E20,"")</f>
        <v/>
      </c>
      <c r="K20" s="18">
        <f>IF(AND(ISNUMBER(G20),ISNUMBER(I20)),I20-G20,"")</f>
        <v/>
      </c>
      <c r="L20" s="19">
        <f>IF(AND(ISNUMBER(J20),ISNUMBER(K20)),IF(J20&gt;0,(J20+K20)/J20,""),"")</f>
        <v/>
      </c>
      <c r="M20" s="17" t="n"/>
      <c r="N20" s="17" t="n"/>
      <c r="O20" s="3" t="inlineStr">
        <is>
          <t>fresh: type the new KF</t>
        </is>
      </c>
      <c r="P20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E9:G9 E10:G10 E11:G11 E12:G12 E13:G13 E14:G14 E15:G15 E16:G16 E17:G17 E18:G18 E19:G19 E20:G20 I9 I10 I11 I12 I13 I14 I15 I16 I17 I18 I19 I20" showDropDown="0" showInputMessage="0" showErrorMessage="1" allowBlank="0" error="A number between 0 and 100" type="decimal">
      <formula1>0</formula1>
      <formula2>100</formula2>
    </dataValidation>
    <dataValidation sqref="M9:N9 M10:N10 M13:N13 M14:N14 M19:N19 M20:N20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2026-09-28T17:52:07Z</dcterms:created>
  <dcterms:modified xsi:type="dcterms:W3CDTF">2026-09-28T17:52:07Z</dcterms:modified>
</cp:coreProperties>
</file>