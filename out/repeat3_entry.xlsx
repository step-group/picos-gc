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ntry" sheetId="1" state="visible" r:id="rId1"/>
  </sheets>
  <definedNames>
    <definedName name="_xlnm.Print_Titles" localSheetId="0">'Entry'!$6:$7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164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164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164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164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4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164" fontId="5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E9" activeCellId="0" sqref="E9"/>
    </sheetView>
  </sheetViews>
  <sheetFormatPr baseColWidth="8" defaultColWidth="8.515625" defaultRowHeight="15" customHeight="0" zeroHeight="0" outlineLevelRow="0"/>
  <cols>
    <col width="7" customWidth="1" style="20" min="1" max="1"/>
    <col width="11" customWidth="1" style="20" min="2" max="2"/>
    <col hidden="1" width="10" customWidth="1" style="20" min="3" max="3"/>
    <col hidden="1" width="9" customWidth="1" style="20" min="4" max="4"/>
    <col width="9" customWidth="1" style="20" min="5" max="5"/>
    <col hidden="1" width="9" customWidth="1" style="20" min="6" max="6"/>
    <col width="12" customWidth="1" style="20" min="7" max="7"/>
    <col hidden="1" width="8" customWidth="1" style="20" min="8" max="8"/>
    <col width="13" customWidth="1" style="20" min="9" max="9"/>
    <col hidden="1" width="9" customWidth="1" style="20" min="10" max="12"/>
    <col hidden="1" width="10" customWidth="1" style="20" min="13" max="14"/>
    <col hidden="1" width="22" customWidth="1" style="20" min="15" max="15"/>
    <col hidden="1" width="28" customWidth="1" style="20" min="16" max="16"/>
  </cols>
  <sheetData>
    <row r="1" ht="15" customHeight="1" s="21">
      <c r="A1" s="22" t="inlineStr">
        <is>
          <t>Repeat campaign: vial gravimetry and preliminary Karl-Fischer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</row>
    <row r="2" ht="15" customHeight="1" s="21">
      <c r="A2" s="23" t="n"/>
      <c r="B2" s="24" t="inlineStr">
        <is>
          <t>Type here (the only editable cells)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" customHeight="1" s="21">
      <c r="A3" s="25" t="n"/>
      <c r="B3" s="24" t="inlineStr">
        <is>
          <t>Campaign-1 KF reused, locked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</row>
    <row r="4" ht="15" customHeight="1" s="21">
      <c r="A4" s="26" t="n"/>
      <c r="B4" s="24" t="inlineStr">
        <is>
          <t>Aqueous phase: water by difference, no KF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</row>
    <row r="5" ht="15" customHeight="1" s="21">
      <c r="A5" s="24" t="n"/>
      <c r="B5" s="24" t="inlineStr">
        <is>
          <t>Sheet protected without password (Review &gt; Unprotect sheet). Row 7 names the column of Sistemas ternarios_MF.xlsx each value goes to.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</row>
    <row r="6" ht="39.75" customHeight="1" s="21">
      <c r="A6" s="27" t="inlineStr">
        <is>
          <t>Tube</t>
        </is>
      </c>
      <c r="B6" s="27" t="inlineStr">
        <is>
          <t>Vial code</t>
        </is>
      </c>
      <c r="C6" s="27" t="inlineStr">
        <is>
          <t>Phase</t>
        </is>
      </c>
      <c r="D6" s="27" t="inlineStr">
        <is>
          <t>Role</t>
        </is>
      </c>
      <c r="E6" s="27" t="inlineStr">
        <is>
          <t>Vial, g</t>
        </is>
      </c>
      <c r="F6" s="27" t="inlineStr">
        <is>
          <t>Sample, µL</t>
        </is>
      </c>
      <c r="G6" s="27" t="inlineStr">
        <is>
          <t>Vial + sample, g</t>
        </is>
      </c>
      <c r="H6" s="27" t="inlineStr">
        <is>
          <t>IPA, µL</t>
        </is>
      </c>
      <c r="I6" s="27" t="inlineStr">
        <is>
          <t>Vial + sample + IPA, g</t>
        </is>
      </c>
      <c r="J6" s="27" t="inlineStr">
        <is>
          <t>Sample, g</t>
        </is>
      </c>
      <c r="K6" s="27" t="inlineStr">
        <is>
          <t>IPA, g</t>
        </is>
      </c>
      <c r="L6" s="27" t="inlineStr">
        <is>
          <t>Dilution factor</t>
        </is>
      </c>
      <c r="M6" s="27" t="inlineStr">
        <is>
          <t>KF 1, % m/m</t>
        </is>
      </c>
      <c r="N6" s="27" t="inlineStr">
        <is>
          <t>KF 2, % m/m</t>
        </is>
      </c>
      <c r="O6" s="27" t="inlineStr">
        <is>
          <t>KF status</t>
        </is>
      </c>
      <c r="P6" s="27" t="inlineStr">
        <is>
          <t>Notes</t>
        </is>
      </c>
    </row>
    <row r="7" ht="15" customHeight="1" s="21">
      <c r="A7" s="28" t="n"/>
      <c r="B7" s="28" t="n"/>
      <c r="C7" s="28" t="n"/>
      <c r="D7" s="28" t="n"/>
      <c r="E7" s="28" t="inlineStr">
        <is>
          <t>D</t>
        </is>
      </c>
      <c r="F7" s="28" t="inlineStr">
        <is>
          <t>E</t>
        </is>
      </c>
      <c r="G7" s="28" t="inlineStr">
        <is>
          <t>F</t>
        </is>
      </c>
      <c r="H7" s="28" t="inlineStr">
        <is>
          <t>G</t>
        </is>
      </c>
      <c r="I7" s="28" t="inlineStr">
        <is>
          <t>H</t>
        </is>
      </c>
      <c r="J7" s="28" t="inlineStr">
        <is>
          <t>I</t>
        </is>
      </c>
      <c r="K7" s="28" t="inlineStr">
        <is>
          <t>J</t>
        </is>
      </c>
      <c r="L7" s="28" t="n"/>
      <c r="M7" s="28" t="inlineStr">
        <is>
          <t>U</t>
        </is>
      </c>
      <c r="N7" s="28" t="inlineStr">
        <is>
          <t>V</t>
        </is>
      </c>
      <c r="O7" s="28" t="n"/>
      <c r="P7" s="28" t="n"/>
    </row>
    <row r="8" ht="15" customHeight="1" s="21">
      <c r="A8" s="29" t="inlineStr">
        <is>
          <t>example</t>
        </is>
      </c>
      <c r="B8" s="29" t="inlineStr">
        <is>
          <t>A1-T1</t>
        </is>
      </c>
      <c r="C8" s="29" t="inlineStr">
        <is>
          <t>Superior</t>
        </is>
      </c>
      <c r="D8" s="29" t="inlineStr">
        <is>
          <t>organic</t>
        </is>
      </c>
      <c r="E8" s="30" t="n">
        <v>2.7385</v>
      </c>
      <c r="F8" s="29" t="n">
        <v>300</v>
      </c>
      <c r="G8" s="30" t="n">
        <v>2.9211</v>
      </c>
      <c r="H8" s="29">
        <f>1000-F8</f>
        <v/>
      </c>
      <c r="I8" s="30" t="n">
        <v>3.4876</v>
      </c>
      <c r="J8" s="30">
        <f>IF(AND(ISNUMBER(E8),ISNUMBER(G8)),G8-E8,"")</f>
        <v/>
      </c>
      <c r="K8" s="30">
        <f>IF(AND(ISNUMBER(G8),ISNUMBER(I8)),I8-G8,"")</f>
        <v/>
      </c>
      <c r="L8" s="31">
        <f>IF(AND(ISNUMBER(J8),ISNUMBER(K8)),IF(J8&gt;0,(J8+K8)/J8,""),"")</f>
        <v/>
      </c>
      <c r="M8" s="29" t="n">
        <v>1.93</v>
      </c>
      <c r="N8" s="29" t="n"/>
      <c r="O8" s="29" t="inlineStr">
        <is>
          <t>fresh (example)</t>
        </is>
      </c>
      <c r="P8" s="29" t="n"/>
    </row>
    <row r="9" ht="15" customHeight="1" s="21">
      <c r="A9" s="32" t="inlineStr">
        <is>
          <t>B5</t>
        </is>
      </c>
      <c r="B9" s="32" t="inlineStr">
        <is>
          <t>B5-T1</t>
        </is>
      </c>
      <c r="C9" s="32" t="inlineStr">
        <is>
          <t>Superior</t>
        </is>
      </c>
      <c r="D9" s="32" t="inlineStr">
        <is>
          <t>organic</t>
        </is>
      </c>
      <c r="E9" s="33" t="n">
        <v>2.6415</v>
      </c>
      <c r="F9" s="34" t="n">
        <v>300</v>
      </c>
      <c r="G9" s="33" t="n">
        <v>2.9071</v>
      </c>
      <c r="H9" s="32">
        <f>1000-F9</f>
        <v/>
      </c>
      <c r="I9" s="33" t="n">
        <v>3.3837</v>
      </c>
      <c r="J9" s="35">
        <f>IF(AND(ISNUMBER(E9),ISNUMBER(G9)),G9-E9,"")</f>
        <v/>
      </c>
      <c r="K9" s="35">
        <f>IF(AND(ISNUMBER(G9),ISNUMBER(I9)),I9-G9,"")</f>
        <v/>
      </c>
      <c r="L9" s="36">
        <f>IF(AND(ISNUMBER(J9),ISNUMBER(K9)),IF(J9&gt;0,(J9+K9)/J9,""),"")</f>
        <v/>
      </c>
      <c r="M9" s="37" t="n">
        <v>5.883</v>
      </c>
      <c r="N9" s="37" t="n"/>
      <c r="O9" s="32" t="inlineStr">
        <is>
          <t>reused: campaign 1</t>
        </is>
      </c>
      <c r="P9" s="34" t="n"/>
    </row>
    <row r="10" ht="15" customHeight="1" s="21">
      <c r="A10" s="24" t="inlineStr">
        <is>
          <t>B5</t>
        </is>
      </c>
      <c r="B10" s="24" t="inlineStr">
        <is>
          <t>B5-T2</t>
        </is>
      </c>
      <c r="C10" s="24" t="inlineStr">
        <is>
          <t>Superior</t>
        </is>
      </c>
      <c r="D10" s="24" t="inlineStr">
        <is>
          <t>organic</t>
        </is>
      </c>
      <c r="E10" s="38" t="n">
        <v>2.7692</v>
      </c>
      <c r="F10" s="39" t="n">
        <v>300</v>
      </c>
      <c r="G10" s="38" t="n">
        <v>3.0181</v>
      </c>
      <c r="H10" s="24">
        <f>1000-F10</f>
        <v/>
      </c>
      <c r="I10" s="38" t="n">
        <v>3.4892</v>
      </c>
      <c r="J10" s="40">
        <f>IF(AND(ISNUMBER(E10),ISNUMBER(G10)),G10-E10,"")</f>
        <v/>
      </c>
      <c r="K10" s="40">
        <f>IF(AND(ISNUMBER(G10),ISNUMBER(I10)),I10-G10,"")</f>
        <v/>
      </c>
      <c r="L10" s="41">
        <f>IF(AND(ISNUMBER(J10),ISNUMBER(K10)),IF(J10&gt;0,(J10+K10)/J10,""),"")</f>
        <v/>
      </c>
      <c r="M10" s="42" t="n">
        <v>5.737</v>
      </c>
      <c r="N10" s="42" t="n"/>
      <c r="O10" s="24" t="inlineStr">
        <is>
          <t>reused: campaign 1</t>
        </is>
      </c>
      <c r="P10" s="39" t="n"/>
    </row>
    <row r="11" ht="15" customHeight="1" s="21">
      <c r="A11" s="24" t="inlineStr">
        <is>
          <t>B5</t>
        </is>
      </c>
      <c r="B11" s="24" t="inlineStr">
        <is>
          <t>B5-B1</t>
        </is>
      </c>
      <c r="C11" s="24" t="inlineStr">
        <is>
          <t>Inferior</t>
        </is>
      </c>
      <c r="D11" s="24" t="inlineStr">
        <is>
          <t>aqueous</t>
        </is>
      </c>
      <c r="E11" s="38" t="n">
        <v>2.7274</v>
      </c>
      <c r="F11" s="39" t="n">
        <v>300</v>
      </c>
      <c r="G11" s="38" t="n">
        <v>2.9979</v>
      </c>
      <c r="H11" s="24">
        <f>1000-F11</f>
        <v/>
      </c>
      <c r="I11" s="38" t="n">
        <v>3.4388</v>
      </c>
      <c r="J11" s="40">
        <f>IF(AND(ISNUMBER(E11),ISNUMBER(G11)),G11-E11,"")</f>
        <v/>
      </c>
      <c r="K11" s="40">
        <f>IF(AND(ISNUMBER(G11),ISNUMBER(I11)),I11-G11,"")</f>
        <v/>
      </c>
      <c r="L11" s="41">
        <f>IF(AND(ISNUMBER(J11),ISNUMBER(K11)),IF(J11&gt;0,(J11+K11)/J11,""),"")</f>
        <v/>
      </c>
      <c r="M11" s="26" t="n"/>
      <c r="N11" s="26" t="n"/>
      <c r="O11" s="24" t="inlineStr">
        <is>
          <t>n/a: by difference</t>
        </is>
      </c>
      <c r="P11" s="39" t="n"/>
    </row>
    <row r="12" ht="15" customHeight="1" s="21">
      <c r="A12" s="24" t="inlineStr">
        <is>
          <t>B5</t>
        </is>
      </c>
      <c r="B12" s="24" t="inlineStr">
        <is>
          <t>B5-B2</t>
        </is>
      </c>
      <c r="C12" s="24" t="inlineStr">
        <is>
          <t>Inferior</t>
        </is>
      </c>
      <c r="D12" s="24" t="inlineStr">
        <is>
          <t>aqueous</t>
        </is>
      </c>
      <c r="E12" s="38" t="n">
        <v>2.8109</v>
      </c>
      <c r="F12" s="39" t="n">
        <v>300</v>
      </c>
      <c r="G12" s="38" t="n">
        <v>3.1185</v>
      </c>
      <c r="H12" s="24">
        <f>1000-F12</f>
        <v/>
      </c>
      <c r="I12" s="38" t="n">
        <v>3.5919</v>
      </c>
      <c r="J12" s="40">
        <f>IF(AND(ISNUMBER(E12),ISNUMBER(G12)),G12-E12,"")</f>
        <v/>
      </c>
      <c r="K12" s="40">
        <f>IF(AND(ISNUMBER(G12),ISNUMBER(I12)),I12-G12,"")</f>
        <v/>
      </c>
      <c r="L12" s="41">
        <f>IF(AND(ISNUMBER(J12),ISNUMBER(K12)),IF(J12&gt;0,(J12+K12)/J12,""),"")</f>
        <v/>
      </c>
      <c r="M12" s="26" t="n"/>
      <c r="N12" s="26" t="n"/>
      <c r="O12" s="24" t="inlineStr">
        <is>
          <t>n/a: by difference</t>
        </is>
      </c>
      <c r="P12" s="39" t="n"/>
    </row>
    <row r="13" ht="15" customHeight="1" s="21">
      <c r="A13" s="32" t="inlineStr">
        <is>
          <t>BIN2</t>
        </is>
      </c>
      <c r="B13" s="32" t="inlineStr">
        <is>
          <t>BIN2-T1</t>
        </is>
      </c>
      <c r="C13" s="32" t="inlineStr">
        <is>
          <t>Superior</t>
        </is>
      </c>
      <c r="D13" s="32" t="inlineStr">
        <is>
          <t>organic</t>
        </is>
      </c>
      <c r="E13" s="33" t="n">
        <v>2.7063</v>
      </c>
      <c r="F13" s="34" t="n">
        <v>300</v>
      </c>
      <c r="G13" s="33" t="n">
        <v>2.9483</v>
      </c>
      <c r="H13" s="32">
        <f>1000-F13</f>
        <v/>
      </c>
      <c r="I13" s="33" t="n">
        <v>3.4051</v>
      </c>
      <c r="J13" s="35">
        <f>IF(AND(ISNUMBER(E13),ISNUMBER(G13)),G13-E13,"")</f>
        <v/>
      </c>
      <c r="K13" s="35">
        <f>IF(AND(ISNUMBER(G13),ISNUMBER(I13)),I13-G13,"")</f>
        <v/>
      </c>
      <c r="L13" s="36">
        <f>IF(AND(ISNUMBER(J13),ISNUMBER(K13)),IF(J13&gt;0,(J13+K13)/J13,""),"")</f>
        <v/>
      </c>
      <c r="M13" s="37" t="n">
        <v>2.1978</v>
      </c>
      <c r="N13" s="37" t="n"/>
      <c r="O13" s="32" t="inlineStr">
        <is>
          <t>reused: campaign 1</t>
        </is>
      </c>
      <c r="P13" s="34" t="n"/>
    </row>
    <row r="14" ht="15" customHeight="1" s="21">
      <c r="A14" s="24" t="inlineStr">
        <is>
          <t>BIN2</t>
        </is>
      </c>
      <c r="B14" s="24" t="inlineStr">
        <is>
          <t>BIN2-T2</t>
        </is>
      </c>
      <c r="C14" s="24" t="inlineStr">
        <is>
          <t>Superior</t>
        </is>
      </c>
      <c r="D14" s="24" t="inlineStr">
        <is>
          <t>organic</t>
        </is>
      </c>
      <c r="E14" s="38" t="n">
        <v>2.7749</v>
      </c>
      <c r="F14" s="39" t="n">
        <v>300</v>
      </c>
      <c r="G14" s="38" t="n">
        <v>3.0249</v>
      </c>
      <c r="H14" s="24">
        <f>1000-F14</f>
        <v/>
      </c>
      <c r="I14" s="38" t="n">
        <v>3.4942</v>
      </c>
      <c r="J14" s="40">
        <f>IF(AND(ISNUMBER(E14),ISNUMBER(G14)),G14-E14,"")</f>
        <v/>
      </c>
      <c r="K14" s="40">
        <f>IF(AND(ISNUMBER(G14),ISNUMBER(I14)),I14-G14,"")</f>
        <v/>
      </c>
      <c r="L14" s="41">
        <f>IF(AND(ISNUMBER(J14),ISNUMBER(K14)),IF(J14&gt;0,(J14+K14)/J14,""),"")</f>
        <v/>
      </c>
      <c r="M14" s="42" t="n">
        <v>2.2258</v>
      </c>
      <c r="N14" s="42" t="n"/>
      <c r="O14" s="24" t="inlineStr">
        <is>
          <t>reused: campaign 1</t>
        </is>
      </c>
      <c r="P14" s="39" t="n"/>
    </row>
    <row r="15" ht="15" customHeight="1" s="21">
      <c r="A15" s="24" t="inlineStr">
        <is>
          <t>BIN2</t>
        </is>
      </c>
      <c r="B15" s="24" t="inlineStr">
        <is>
          <t>BIN2-B1</t>
        </is>
      </c>
      <c r="C15" s="24" t="inlineStr">
        <is>
          <t>Inferior</t>
        </is>
      </c>
      <c r="D15" s="24" t="inlineStr">
        <is>
          <t>aqueous</t>
        </is>
      </c>
      <c r="E15" s="38" t="n">
        <v>2.7928</v>
      </c>
      <c r="F15" s="39" t="n">
        <v>300</v>
      </c>
      <c r="G15" s="38" t="n">
        <v>3.0611</v>
      </c>
      <c r="H15" s="24">
        <f>1000-F15</f>
        <v/>
      </c>
      <c r="I15" s="38" t="n">
        <v>3.5279</v>
      </c>
      <c r="J15" s="40">
        <f>IF(AND(ISNUMBER(E15),ISNUMBER(G15)),G15-E15,"")</f>
        <v/>
      </c>
      <c r="K15" s="40">
        <f>IF(AND(ISNUMBER(G15),ISNUMBER(I15)),I15-G15,"")</f>
        <v/>
      </c>
      <c r="L15" s="41">
        <f>IF(AND(ISNUMBER(J15),ISNUMBER(K15)),IF(J15&gt;0,(J15+K15)/J15,""),"")</f>
        <v/>
      </c>
      <c r="M15" s="26" t="n"/>
      <c r="N15" s="26" t="n"/>
      <c r="O15" s="24" t="inlineStr">
        <is>
          <t>n/a: by difference</t>
        </is>
      </c>
      <c r="P15" s="39" t="n"/>
    </row>
    <row r="16" ht="15" customHeight="1" s="21">
      <c r="A16" s="24" t="inlineStr">
        <is>
          <t>BIN2</t>
        </is>
      </c>
      <c r="B16" s="24" t="inlineStr">
        <is>
          <t>BIN2-B2</t>
        </is>
      </c>
      <c r="C16" s="24" t="inlineStr">
        <is>
          <t>Inferior</t>
        </is>
      </c>
      <c r="D16" s="24" t="inlineStr">
        <is>
          <t>aqueous</t>
        </is>
      </c>
      <c r="E16" s="38" t="n">
        <v>2.781</v>
      </c>
      <c r="F16" s="39" t="n">
        <v>300</v>
      </c>
      <c r="G16" s="38" t="n">
        <v>3.0423</v>
      </c>
      <c r="H16" s="24">
        <f>1000-F16</f>
        <v/>
      </c>
      <c r="I16" s="38" t="n">
        <v>3.4973</v>
      </c>
      <c r="J16" s="40">
        <f>IF(AND(ISNUMBER(E16),ISNUMBER(G16)),G16-E16,"")</f>
        <v/>
      </c>
      <c r="K16" s="40">
        <f>IF(AND(ISNUMBER(G16),ISNUMBER(I16)),I16-G16,"")</f>
        <v/>
      </c>
      <c r="L16" s="41">
        <f>IF(AND(ISNUMBER(J16),ISNUMBER(K16)),IF(J16&gt;0,(J16+K16)/J16,""),"")</f>
        <v/>
      </c>
      <c r="M16" s="26" t="n"/>
      <c r="N16" s="26" t="n"/>
      <c r="O16" s="24" t="inlineStr">
        <is>
          <t>n/a: by difference</t>
        </is>
      </c>
      <c r="P16" s="3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9:G16 I9:I16" showDropDown="0" showInputMessage="0" showErrorMessage="1" allowBlank="0" error="A number between 0 and 100" type="decimal" errorStyle="stop" operator="between">
      <formula1>0</formula1>
      <formula2>100</formula2>
    </dataValidation>
    <dataValidation sqref="M9:N10 M13:N14" showDropDown="0" showInputMessage="0" showErrorMessage="1" allowBlank="0" error="A number between 0 and 100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es-CL</dc:language>
  <dcterms:created xsi:type="dcterms:W3CDTF">2026-09-29T20:34:56Z</dcterms:created>
  <dcterms:modified xsi:type="dcterms:W3CDTF">2026-10-12T16:14:19Z</dcterms:modified>
  <cp:revision>1</cp:revision>
</cp:coreProperties>
</file>