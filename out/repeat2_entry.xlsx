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y" sheetId="1" state="visible" r:id="rId3"/>
  </sheets>
  <definedNames>
    <definedName function="false" hidden="false" localSheetId="0" name="_xlnm.Print_Titles" vbProcedure="false">Entry!$6:$7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<sst xmlns="http://schemas.openxmlformats.org/spreadsheetml/2006/main" count="125" uniqueCount="65">
  <si>
    <t xml:space="preserve">Repeat campaign: vial gravimetry and preliminary Karl-Fischer</t>
  </si>
  <si>
    <t xml:space="preserve">Type here (the only editable cells)</t>
  </si>
  <si>
    <t xml:space="preserve">Campaign-1 KF reused, locked</t>
  </si>
  <si>
    <t xml:space="preserve">Aqueous phase: water by difference, no KF</t>
  </si>
  <si>
    <t xml:space="preserve">Sheet protected without password (Review &gt; Unprotect sheet). Row 7 names the column of Sistemas ternarios_MF.xlsx each value goes to.</t>
  </si>
  <si>
    <t xml:space="preserve">Tube</t>
  </si>
  <si>
    <t xml:space="preserve">Vial code</t>
  </si>
  <si>
    <t xml:space="preserve">Phase</t>
  </si>
  <si>
    <t xml:space="preserve">Role</t>
  </si>
  <si>
    <t xml:space="preserve">Vial, g</t>
  </si>
  <si>
    <t xml:space="preserve">Sample, µL</t>
  </si>
  <si>
    <t xml:space="preserve">Vial + sample, g</t>
  </si>
  <si>
    <t xml:space="preserve">IPA, µL</t>
  </si>
  <si>
    <t xml:space="preserve">Vial + sample + IPA, g</t>
  </si>
  <si>
    <t xml:space="preserve">Sample, g</t>
  </si>
  <si>
    <t xml:space="preserve">IPA, g</t>
  </si>
  <si>
    <t xml:space="preserve">Dilution factor</t>
  </si>
  <si>
    <t xml:space="preserve">KF 1, % m/m</t>
  </si>
  <si>
    <t xml:space="preserve">KF 2, % m/m</t>
  </si>
  <si>
    <t xml:space="preserve">KF status</t>
  </si>
  <si>
    <t xml:space="preserve">Notes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</si>
  <si>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</si>
  <si>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</si>
  <si>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</si>
  <si>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</si>
  <si>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</si>
  <si>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</si>
  <si>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</si>
  <si>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U</t>
  </si>
  <si>
    <t xml:space="preserve">V</t>
  </si>
  <si>
    <t xml:space="preserve">example</t>
  </si>
  <si>
    <t xml:space="preserve">A1-T1</t>
  </si>
  <si>
    <t xml:space="preserve">Superior</t>
  </si>
  <si>
    <t xml:space="preserve">organic</t>
  </si>
  <si>
    <t xml:space="preserve">fresh (example)</t>
  </si>
  <si>
    <t xml:space="preserve">A1</t>
  </si>
  <si>
    <t xml:space="preserve">A1-B1</t>
  </si>
  <si>
    <t xml:space="preserve">Inferior</t>
  </si>
  <si>
    <t xml:space="preserve">aqueous</t>
  </si>
  <si>
    <t xml:space="preserve">n/a: by difference</t>
  </si>
  <si>
    <t xml:space="preserve">A1-B2</t>
  </si>
  <si>
    <t xml:space="preserve">A4</t>
  </si>
  <si>
    <t xml:space="preserve">A4-B1</t>
  </si>
  <si>
    <t xml:space="preserve">A4-B2</t>
  </si>
  <si>
    <t xml:space="preserve">A5</t>
  </si>
  <si>
    <t xml:space="preserve">A5-T1</t>
  </si>
  <si>
    <t xml:space="preserve">A5-T2</t>
  </si>
  <si>
    <t xml:space="preserve">B2</t>
  </si>
  <si>
    <t xml:space="preserve">B2-B1</t>
  </si>
  <si>
    <t xml:space="preserve">B2-B2</t>
  </si>
  <si>
    <t xml:space="preserve">B3</t>
  </si>
  <si>
    <t xml:space="preserve">B3-B1</t>
  </si>
  <si>
    <t xml:space="preserve">B3-B2</t>
  </si>
  <si>
    <t xml:space="preserve">B4</t>
  </si>
  <si>
    <t xml:space="preserve">B4-B1</t>
  </si>
  <si>
    <t xml:space="preserve">B4-B2</t>
  </si>
  <si>
    <t xml:space="preserve">F5</t>
  </si>
  <si>
    <t xml:space="preserve">F5-B1</t>
  </si>
  <si>
    <t xml:space="preserve">F5-B2</t>
  </si>
  <si>
    <t xml:space="preserve">BIN6</t>
  </si>
  <si>
    <t xml:space="preserve">BIN6-B1</t>
  </si>
  <si>
    <t xml:space="preserve">BIN6-B2</t>
  </si>
  <si>
    <t xml:space="preserve">I2</t>
  </si>
  <si>
    <t xml:space="preserve">I2-T1</t>
  </si>
  <si>
    <t xml:space="preserve">I2-T2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</si>
</sst>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P9" activeCellId="0" sqref="P9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9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2" min="10" style="0" width="9"/>
    <col collapsed="false" customWidth="true" hidden="false" outlineLevel="0" max="14" min="13" style="0" width="10"/>
    <col collapsed="false" customWidth="true" hidden="false" outlineLevel="0" max="15" min="15" style="0" width="22"/>
    <col collapsed="false" customWidth="true" hidden="false" outlineLevel="0" max="16" min="16" style="0" width="2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4"/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5"/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3"/>
      <c r="B5" s="3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39.75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</row>
    <row r="7" customFormat="false" ht="15" hidden="false" customHeight="false" outlineLevel="0" collapsed="false">
      <c r="A7" s="7"/>
      <c r="B7" s="7"/>
      <c r="C7" s="7"/>
      <c r="D7" s="7"/>
      <c r="E7" s="7" t="s">
        <v>21</v>
      </c>
      <c r="F7" s="7" t="s">
        <v>22</v>
      </c>
      <c r="G7" s="7" t="s">
        <v>23</v>
      </c>
      <c r="H7" s="7" t="s">
        <v>24</v>
      </c>
      <c r="I7" s="7" t="s">
        <v>25</v>
      </c>
      <c r="J7" s="7" t="s">
        <v>26</v>
      </c>
      <c r="K7" s="7" t="s">
        <v>27</v>
      </c>
      <c r="L7" s="7"/>
      <c r="M7" s="7" t="s">
        <v>28</v>
      </c>
      <c r="N7" s="7" t="s">
        <v>29</v>
      </c>
      <c r="O7" s="7"/>
      <c r="P7" s="7"/>
    </row>
    <row r="8" customFormat="false" ht="15" hidden="false" customHeight="false" outlineLevel="0" collapsed="false">
      <c r="A8" s="8" t="s">
        <v>30</v>
      </c>
      <c r="B8" s="8" t="s">
        <v>31</v>
      </c>
      <c r="C8" s="8" t="s">
        <v>32</v>
      </c>
      <c r="D8" s="8" t="s">
        <v>33</v>
      </c>
      <c r="E8" s="9" t="n">
        <v>2.7385</v>
      </c>
      <c r="F8" s="8" t="n">
        <v>300</v>
      </c>
      <c r="G8" s="9" t="n">
        <v>2.9211</v>
      </c>
      <c r="H8" s="8" t="n">
        <f aca="false">1000-F8</f>
        <v>700</v>
      </c>
      <c r="I8" s="9" t="n">
        <v>3.4876</v>
      </c>
      <c r="J8" s="9" t="n">
        <f aca="false">IF(AND(ISNUMBER(E8),ISNUMBER(G8)),G8-E8,"")</f>
        <v>0.1826</v>
      </c>
      <c r="K8" s="9" t="n">
        <f aca="false">IF(AND(ISNUMBER(G8),ISNUMBER(I8)),I8-G8,"")</f>
        <v>0.5665</v>
      </c>
      <c r="L8" s="10" t="n">
        <f aca="false">IF(AND(ISNUMBER(J8),ISNUMBER(K8)),IF(J8&gt;0,(J8+K8)/J8,""),"")</f>
        <v>4.10240963855422</v>
      </c>
      <c r="M8" s="8" t="n">
        <v>1.93</v>
      </c>
      <c r="N8" s="8"/>
      <c r="O8" s="8" t="s">
        <v>34</v>
      </c>
      <c r="P8" s="8"/>
    </row>
    <row r="9" customFormat="false" ht="15" hidden="false" customHeight="false" outlineLevel="0" collapsed="false">
      <c r="A9" s="11" t="s">
        <v>35</v>
      </c>
      <c r="B9" s="11" t="s">
        <v>36</v>
      </c>
      <c r="C9" s="11" t="s">
        <v>37</v>
      </c>
      <c r="D9" s="11" t="s">
        <v>38</v>
      </c>
      <c r="E9" s="12" t="n">
        <v>2.7355</v>
      </c>
      <c r="F9" s="13" t="n">
        <v>300</v>
      </c>
      <c r="G9" s="12" t="n">
        <v>2.9736</v>
      </c>
      <c r="H9" s="11" t="n">
        <f aca="false">1000-F9</f>
        <v>700</v>
      </c>
      <c r="I9" s="12" t="n">
        <v>3.4969</v>
      </c>
      <c r="J9" s="14" t="n">
        <f aca="false">IF(AND(ISNUMBER(E9),ISNUMBER(G9)),G9-E9,"")</f>
        <v>0.2381</v>
      </c>
      <c r="K9" s="14" t="n">
        <f aca="false">IF(AND(ISNUMBER(G9),ISNUMBER(I9)),I9-G9,"")</f>
        <v>0.5233</v>
      </c>
      <c r="L9" s="15" t="n">
        <f aca="false">IF(AND(ISNUMBER(J9),ISNUMBER(K9)),IF(J9&gt;0,(J9+K9)/J9,""),"")</f>
        <v>3.19781604367913</v>
      </c>
      <c r="M9" s="16"/>
      <c r="N9" s="16"/>
      <c r="O9" s="11" t="s">
        <v>39</v>
      </c>
      <c r="P9" s="13"/>
    </row>
    <row r="10" customFormat="false" ht="15" hidden="false" customHeight="false" outlineLevel="0" collapsed="false">
      <c r="A10" s="3" t="s">
        <v>35</v>
      </c>
      <c r="B10" s="3" t="s">
        <v>40</v>
      </c>
      <c r="C10" s="3" t="s">
        <v>37</v>
      </c>
      <c r="D10" s="3" t="s">
        <v>38</v>
      </c>
      <c r="E10" s="17" t="n">
        <v>2.7307</v>
      </c>
      <c r="F10" s="18" t="n">
        <v>300</v>
      </c>
      <c r="G10" s="17" t="n">
        <v>2.9742</v>
      </c>
      <c r="H10" s="3" t="n">
        <f aca="false">1000-F10</f>
        <v>700</v>
      </c>
      <c r="I10" s="17" t="n">
        <v>3.4925</v>
      </c>
      <c r="J10" s="19" t="n">
        <f aca="false">IF(AND(ISNUMBER(E10),ISNUMBER(G10)),G10-E10,"")</f>
        <v>0.2435</v>
      </c>
      <c r="K10" s="19" t="n">
        <f aca="false">IF(AND(ISNUMBER(G10),ISNUMBER(I10)),I10-G10,"")</f>
        <v>0.5183</v>
      </c>
      <c r="L10" s="20" t="n">
        <f aca="false">IF(AND(ISNUMBER(J10),ISNUMBER(K10)),IF(J10&gt;0,(J10+K10)/J10,""),"")</f>
        <v>3.12854209445585</v>
      </c>
      <c r="M10" s="5"/>
      <c r="N10" s="5"/>
      <c r="O10" s="3" t="s">
        <v>39</v>
      </c>
      <c r="P10" s="18"/>
    </row>
    <row r="11" customFormat="false" ht="15" hidden="false" customHeight="false" outlineLevel="0" collapsed="false">
      <c r="A11" s="11" t="s">
        <v>41</v>
      </c>
      <c r="B11" s="11" t="s">
        <v>42</v>
      </c>
      <c r="C11" s="11" t="s">
        <v>37</v>
      </c>
      <c r="D11" s="11" t="s">
        <v>38</v>
      </c>
      <c r="E11" s="12" t="n">
        <v>2.7239</v>
      </c>
      <c r="F11" s="13" t="n">
        <v>300</v>
      </c>
      <c r="G11" s="12" t="n">
        <v>2.9488</v>
      </c>
      <c r="H11" s="11" t="n">
        <f aca="false">1000-F11</f>
        <v>700</v>
      </c>
      <c r="I11" s="12" t="n">
        <v>3.4541</v>
      </c>
      <c r="J11" s="14" t="n">
        <f aca="false">IF(AND(ISNUMBER(E11),ISNUMBER(G11)),G11-E11,"")</f>
        <v>0.2249</v>
      </c>
      <c r="K11" s="14" t="n">
        <f aca="false">IF(AND(ISNUMBER(G11),ISNUMBER(I11)),I11-G11,"")</f>
        <v>0.5053</v>
      </c>
      <c r="L11" s="15" t="n">
        <f aca="false">IF(AND(ISNUMBER(J11),ISNUMBER(K11)),IF(J11&gt;0,(J11+K11)/J11,""),"")</f>
        <v>3.24677634504224</v>
      </c>
      <c r="M11" s="16"/>
      <c r="N11" s="16"/>
      <c r="O11" s="11" t="s">
        <v>39</v>
      </c>
      <c r="P11" s="13"/>
    </row>
    <row r="12" customFormat="false" ht="15" hidden="false" customHeight="false" outlineLevel="0" collapsed="false">
      <c r="A12" s="3" t="s">
        <v>41</v>
      </c>
      <c r="B12" s="3" t="s">
        <v>43</v>
      </c>
      <c r="C12" s="3" t="s">
        <v>37</v>
      </c>
      <c r="D12" s="3" t="s">
        <v>38</v>
      </c>
      <c r="E12" s="17" t="n">
        <v>2.7089</v>
      </c>
      <c r="F12" s="18" t="n">
        <v>300</v>
      </c>
      <c r="G12" s="17" t="n">
        <v>2.9896</v>
      </c>
      <c r="H12" s="3" t="n">
        <f aca="false">1000-F12</f>
        <v>700</v>
      </c>
      <c r="I12" s="17" t="n">
        <v>3.5222</v>
      </c>
      <c r="J12" s="19" t="n">
        <f aca="false">IF(AND(ISNUMBER(E12),ISNUMBER(G12)),G12-E12,"")</f>
        <v>0.2807</v>
      </c>
      <c r="K12" s="19" t="n">
        <f aca="false">IF(AND(ISNUMBER(G12),ISNUMBER(I12)),I12-G12,"")</f>
        <v>0.5326</v>
      </c>
      <c r="L12" s="20" t="n">
        <f aca="false">IF(AND(ISNUMBER(J12),ISNUMBER(K12)),IF(J12&gt;0,(J12+K12)/J12,""),"")</f>
        <v>2.89739935874599</v>
      </c>
      <c r="M12" s="5"/>
      <c r="N12" s="5"/>
      <c r="O12" s="3" t="s">
        <v>39</v>
      </c>
      <c r="P12" s="18"/>
    </row>
    <row r="13" customFormat="false" ht="15" hidden="false" customHeight="false" outlineLevel="0" collapsed="false">
      <c r="A13" s="11" t="s">
        <v>44</v>
      </c>
      <c r="B13" s="11" t="s">
        <v>45</v>
      </c>
      <c r="C13" s="11" t="s">
        <v>32</v>
      </c>
      <c r="D13" s="11" t="s">
        <v>38</v>
      </c>
      <c r="E13" s="12" t="n">
        <v>2.7384</v>
      </c>
      <c r="F13" s="13" t="n">
        <v>300</v>
      </c>
      <c r="G13" s="12" t="n">
        <v>2.995</v>
      </c>
      <c r="H13" s="11" t="n">
        <f aca="false">1000-F13</f>
        <v>700</v>
      </c>
      <c r="I13" s="12" t="n">
        <v>3.5071</v>
      </c>
      <c r="J13" s="14" t="n">
        <f aca="false">IF(AND(ISNUMBER(E13),ISNUMBER(G13)),G13-E13,"")</f>
        <v>0.2566</v>
      </c>
      <c r="K13" s="14" t="n">
        <f aca="false">IF(AND(ISNUMBER(G13),ISNUMBER(I13)),I13-G13,"")</f>
        <v>0.5121</v>
      </c>
      <c r="L13" s="15" t="n">
        <f aca="false">IF(AND(ISNUMBER(J13),ISNUMBER(K13)),IF(J13&gt;0,(J13+K13)/J13,""),"")</f>
        <v>2.99571317225253</v>
      </c>
      <c r="M13" s="16"/>
      <c r="N13" s="16"/>
      <c r="O13" s="11" t="s">
        <v>39</v>
      </c>
      <c r="P13" s="13"/>
    </row>
    <row r="14" customFormat="false" ht="15" hidden="false" customHeight="false" outlineLevel="0" collapsed="false">
      <c r="A14" s="3" t="s">
        <v>44</v>
      </c>
      <c r="B14" s="3" t="s">
        <v>46</v>
      </c>
      <c r="C14" s="3" t="s">
        <v>32</v>
      </c>
      <c r="D14" s="3" t="s">
        <v>38</v>
      </c>
      <c r="E14" s="17" t="n">
        <v>2.7536</v>
      </c>
      <c r="F14" s="18" t="n">
        <v>300</v>
      </c>
      <c r="G14" s="17" t="n">
        <v>3.0468</v>
      </c>
      <c r="H14" s="3" t="n">
        <f aca="false">1000-F14</f>
        <v>700</v>
      </c>
      <c r="I14" s="17" t="n">
        <v>3.5592</v>
      </c>
      <c r="J14" s="19" t="n">
        <f aca="false">IF(AND(ISNUMBER(E14),ISNUMBER(G14)),G14-E14,"")</f>
        <v>0.2932</v>
      </c>
      <c r="K14" s="19" t="n">
        <f aca="false">IF(AND(ISNUMBER(G14),ISNUMBER(I14)),I14-G14,"")</f>
        <v>0.5124</v>
      </c>
      <c r="L14" s="20" t="n">
        <f aca="false">IF(AND(ISNUMBER(J14),ISNUMBER(K14)),IF(J14&gt;0,(J14+K14)/J14,""),"")</f>
        <v>2.74761255115962</v>
      </c>
      <c r="M14" s="5"/>
      <c r="N14" s="5"/>
      <c r="O14" s="3" t="s">
        <v>39</v>
      </c>
      <c r="P14" s="18"/>
    </row>
    <row r="15" customFormat="false" ht="15" hidden="false" customHeight="false" outlineLevel="0" collapsed="false">
      <c r="A15" s="11" t="s">
        <v>47</v>
      </c>
      <c r="B15" s="11" t="s">
        <v>48</v>
      </c>
      <c r="C15" s="11" t="s">
        <v>37</v>
      </c>
      <c r="D15" s="11" t="s">
        <v>38</v>
      </c>
      <c r="E15" s="12" t="n">
        <v>2.7371</v>
      </c>
      <c r="F15" s="13" t="n">
        <v>300</v>
      </c>
      <c r="G15" s="12" t="n">
        <v>2.9994</v>
      </c>
      <c r="H15" s="11" t="n">
        <f aca="false">1000-F15</f>
        <v>700</v>
      </c>
      <c r="I15" s="12" t="n">
        <v>3.4979</v>
      </c>
      <c r="J15" s="14" t="n">
        <f aca="false">IF(AND(ISNUMBER(E15),ISNUMBER(G15)),G15-E15,"")</f>
        <v>0.2623</v>
      </c>
      <c r="K15" s="14" t="n">
        <f aca="false">IF(AND(ISNUMBER(G15),ISNUMBER(I15)),I15-G15,"")</f>
        <v>0.4985</v>
      </c>
      <c r="L15" s="15" t="n">
        <f aca="false">IF(AND(ISNUMBER(J15),ISNUMBER(K15)),IF(J15&gt;0,(J15+K15)/J15,""),"")</f>
        <v>2.9004956157072</v>
      </c>
      <c r="M15" s="16"/>
      <c r="N15" s="16"/>
      <c r="O15" s="11" t="s">
        <v>39</v>
      </c>
      <c r="P15" s="13"/>
    </row>
    <row r="16" customFormat="false" ht="15" hidden="false" customHeight="false" outlineLevel="0" collapsed="false">
      <c r="A16" s="3" t="s">
        <v>47</v>
      </c>
      <c r="B16" s="3" t="s">
        <v>49</v>
      </c>
      <c r="C16" s="3" t="s">
        <v>37</v>
      </c>
      <c r="D16" s="3" t="s">
        <v>38</v>
      </c>
      <c r="E16" s="17" t="n">
        <v>2.753</v>
      </c>
      <c r="F16" s="18" t="n">
        <v>300</v>
      </c>
      <c r="G16" s="17" t="n">
        <v>3.0414</v>
      </c>
      <c r="H16" s="3" t="n">
        <f aca="false">1000-F16</f>
        <v>700</v>
      </c>
      <c r="I16" s="17" t="n">
        <v>3.5695</v>
      </c>
      <c r="J16" s="19" t="n">
        <f aca="false">IF(AND(ISNUMBER(E16),ISNUMBER(G16)),G16-E16,"")</f>
        <v>0.2884</v>
      </c>
      <c r="K16" s="19" t="n">
        <f aca="false">IF(AND(ISNUMBER(G16),ISNUMBER(I16)),I16-G16,"")</f>
        <v>0.5281</v>
      </c>
      <c r="L16" s="20" t="n">
        <f aca="false">IF(AND(ISNUMBER(J16),ISNUMBER(K16)),IF(J16&gt;0,(J16+K16)/J16,""),"")</f>
        <v>2.83113730929265</v>
      </c>
      <c r="M16" s="5"/>
      <c r="N16" s="5"/>
      <c r="O16" s="3" t="s">
        <v>39</v>
      </c>
      <c r="P16" s="18"/>
    </row>
    <row r="17" customFormat="false" ht="15" hidden="false" customHeight="false" outlineLevel="0" collapsed="false">
      <c r="A17" s="11" t="s">
        <v>50</v>
      </c>
      <c r="B17" s="11" t="s">
        <v>51</v>
      </c>
      <c r="C17" s="11" t="s">
        <v>37</v>
      </c>
      <c r="D17" s="11" t="s">
        <v>38</v>
      </c>
      <c r="E17" s="12" t="n">
        <v>2.8049</v>
      </c>
      <c r="F17" s="13" t="n">
        <v>300</v>
      </c>
      <c r="G17" s="12" t="n">
        <v>3.0683</v>
      </c>
      <c r="H17" s="11" t="n">
        <f aca="false">1000-F17</f>
        <v>700</v>
      </c>
      <c r="I17" s="12" t="n">
        <v>3.5892</v>
      </c>
      <c r="J17" s="14" t="n">
        <f aca="false">IF(AND(ISNUMBER(E17),ISNUMBER(G17)),G17-E17,"")</f>
        <v>0.2634</v>
      </c>
      <c r="K17" s="14" t="n">
        <f aca="false">IF(AND(ISNUMBER(G17),ISNUMBER(I17)),I17-G17,"")</f>
        <v>0.5209</v>
      </c>
      <c r="L17" s="15" t="n">
        <f aca="false">IF(AND(ISNUMBER(J17),ISNUMBER(K17)),IF(J17&gt;0,(J17+K17)/J17,""),"")</f>
        <v>2.97760060744116</v>
      </c>
      <c r="M17" s="16"/>
      <c r="N17" s="16"/>
      <c r="O17" s="11" t="s">
        <v>39</v>
      </c>
      <c r="P17" s="13"/>
    </row>
    <row r="18" customFormat="false" ht="15" hidden="false" customHeight="false" outlineLevel="0" collapsed="false">
      <c r="A18" s="3" t="s">
        <v>50</v>
      </c>
      <c r="B18" s="3" t="s">
        <v>52</v>
      </c>
      <c r="C18" s="3" t="s">
        <v>37</v>
      </c>
      <c r="D18" s="3" t="s">
        <v>38</v>
      </c>
      <c r="E18" s="17" t="n">
        <v>2.771</v>
      </c>
      <c r="F18" s="18" t="n">
        <v>300</v>
      </c>
      <c r="G18" s="17" t="n">
        <v>3.0062</v>
      </c>
      <c r="H18" s="3" t="n">
        <f aca="false">1000-F18</f>
        <v>700</v>
      </c>
      <c r="I18" s="17" t="n">
        <v>3.5155</v>
      </c>
      <c r="J18" s="19" t="n">
        <f aca="false">IF(AND(ISNUMBER(E18),ISNUMBER(G18)),G18-E18,"")</f>
        <v>0.2352</v>
      </c>
      <c r="K18" s="19" t="n">
        <f aca="false">IF(AND(ISNUMBER(G18),ISNUMBER(I18)),I18-G18,"")</f>
        <v>0.5093</v>
      </c>
      <c r="L18" s="20" t="n">
        <f aca="false">IF(AND(ISNUMBER(J18),ISNUMBER(K18)),IF(J18&gt;0,(J18+K18)/J18,""),"")</f>
        <v>3.16539115646258</v>
      </c>
      <c r="M18" s="5"/>
      <c r="N18" s="5"/>
      <c r="O18" s="3" t="s">
        <v>39</v>
      </c>
      <c r="P18" s="18"/>
    </row>
    <row r="19" customFormat="false" ht="15" hidden="false" customHeight="false" outlineLevel="0" collapsed="false">
      <c r="A19" s="11" t="s">
        <v>53</v>
      </c>
      <c r="B19" s="11" t="s">
        <v>54</v>
      </c>
      <c r="C19" s="11" t="s">
        <v>37</v>
      </c>
      <c r="D19" s="11" t="s">
        <v>38</v>
      </c>
      <c r="E19" s="12" t="n">
        <v>2.7395</v>
      </c>
      <c r="F19" s="13" t="n">
        <v>300</v>
      </c>
      <c r="G19" s="12" t="n">
        <v>2.9332</v>
      </c>
      <c r="H19" s="11" t="n">
        <f aca="false">1000-F19</f>
        <v>700</v>
      </c>
      <c r="I19" s="12" t="n">
        <v>3.4433</v>
      </c>
      <c r="J19" s="14" t="n">
        <f aca="false">IF(AND(ISNUMBER(E19),ISNUMBER(G19)),G19-E19,"")</f>
        <v>0.1937</v>
      </c>
      <c r="K19" s="14" t="n">
        <f aca="false">IF(AND(ISNUMBER(G19),ISNUMBER(I19)),I19-G19,"")</f>
        <v>0.5101</v>
      </c>
      <c r="L19" s="15" t="n">
        <f aca="false">IF(AND(ISNUMBER(J19),ISNUMBER(K19)),IF(J19&gt;0,(J19+K19)/J19,""),"")</f>
        <v>3.63345379452762</v>
      </c>
      <c r="M19" s="16"/>
      <c r="N19" s="16"/>
      <c r="O19" s="11" t="s">
        <v>39</v>
      </c>
      <c r="P19" s="13"/>
    </row>
    <row r="20" customFormat="false" ht="15" hidden="false" customHeight="false" outlineLevel="0" collapsed="false">
      <c r="A20" s="3" t="s">
        <v>53</v>
      </c>
      <c r="B20" s="3" t="s">
        <v>55</v>
      </c>
      <c r="C20" s="3" t="s">
        <v>37</v>
      </c>
      <c r="D20" s="3" t="s">
        <v>38</v>
      </c>
      <c r="E20" s="17" t="n">
        <v>2.7297</v>
      </c>
      <c r="F20" s="18" t="n">
        <v>300</v>
      </c>
      <c r="G20" s="17" t="n">
        <v>2.9893</v>
      </c>
      <c r="H20" s="3" t="n">
        <f aca="false">1000-F20</f>
        <v>700</v>
      </c>
      <c r="I20" s="17" t="n">
        <v>3.4936</v>
      </c>
      <c r="J20" s="19" t="n">
        <f aca="false">IF(AND(ISNUMBER(E20),ISNUMBER(G20)),G20-E20,"")</f>
        <v>0.2596</v>
      </c>
      <c r="K20" s="19" t="n">
        <f aca="false">IF(AND(ISNUMBER(G20),ISNUMBER(I20)),I20-G20,"")</f>
        <v>0.5043</v>
      </c>
      <c r="L20" s="20" t="n">
        <f aca="false">IF(AND(ISNUMBER(J20),ISNUMBER(K20)),IF(J20&gt;0,(J20+K20)/J20,""),"")</f>
        <v>2.94260400616333</v>
      </c>
      <c r="M20" s="5"/>
      <c r="N20" s="5"/>
      <c r="O20" s="3" t="s">
        <v>39</v>
      </c>
      <c r="P20" s="18"/>
    </row>
    <row r="21" customFormat="false" ht="15" hidden="false" customHeight="false" outlineLevel="0" collapsed="false">
      <c r="A21" s="11" t="s">
        <v>56</v>
      </c>
      <c r="B21" s="11" t="s">
        <v>57</v>
      </c>
      <c r="C21" s="11" t="s">
        <v>37</v>
      </c>
      <c r="D21" s="11" t="s">
        <v>38</v>
      </c>
      <c r="E21" s="12" t="n">
        <v>2.6972</v>
      </c>
      <c r="F21" s="13" t="n">
        <v>300</v>
      </c>
      <c r="G21" s="12" t="n">
        <v>3.0252</v>
      </c>
      <c r="H21" s="11" t="n">
        <f aca="false">1000-F21</f>
        <v>700</v>
      </c>
      <c r="I21" s="12" t="n">
        <v>3.5897</v>
      </c>
      <c r="J21" s="14" t="n">
        <f aca="false">IF(AND(ISNUMBER(E21),ISNUMBER(G21)),G21-E21,"")</f>
        <v>0.328</v>
      </c>
      <c r="K21" s="14" t="n">
        <f aca="false">IF(AND(ISNUMBER(G21),ISNUMBER(I21)),I21-G21,"")</f>
        <v>0.5645</v>
      </c>
      <c r="L21" s="15" t="n">
        <f aca="false">IF(AND(ISNUMBER(J21),ISNUMBER(K21)),IF(J21&gt;0,(J21+K21)/J21,""),"")</f>
        <v>2.72103658536586</v>
      </c>
      <c r="M21" s="16"/>
      <c r="N21" s="16"/>
      <c r="O21" s="11" t="s">
        <v>39</v>
      </c>
      <c r="P21" s="13"/>
    </row>
    <row r="22" customFormat="false" ht="15" hidden="false" customHeight="false" outlineLevel="0" collapsed="false">
      <c r="A22" s="3" t="s">
        <v>56</v>
      </c>
      <c r="B22" s="3" t="s">
        <v>58</v>
      </c>
      <c r="C22" s="3" t="s">
        <v>37</v>
      </c>
      <c r="D22" s="3" t="s">
        <v>38</v>
      </c>
      <c r="E22" s="17" t="n">
        <v>2.7277</v>
      </c>
      <c r="F22" s="18" t="n">
        <v>300</v>
      </c>
      <c r="G22" s="17" t="n">
        <v>2.8873</v>
      </c>
      <c r="H22" s="3" t="n">
        <f aca="false">1000-F22</f>
        <v>700</v>
      </c>
      <c r="I22" s="17" t="n">
        <v>3.2444</v>
      </c>
      <c r="J22" s="19" t="n">
        <f aca="false">IF(AND(ISNUMBER(E22),ISNUMBER(G22)),G22-E22,"")</f>
        <v>0.1596</v>
      </c>
      <c r="K22" s="19" t="n">
        <f aca="false">IF(AND(ISNUMBER(G22),ISNUMBER(I22)),I22-G22,"")</f>
        <v>0.3571</v>
      </c>
      <c r="L22" s="20" t="n">
        <f aca="false">IF(AND(ISNUMBER(J22),ISNUMBER(K22)),IF(J22&gt;0,(J22+K22)/J22,""),"")</f>
        <v>3.2374686716792</v>
      </c>
      <c r="M22" s="5"/>
      <c r="N22" s="5"/>
      <c r="O22" s="3" t="s">
        <v>39</v>
      </c>
      <c r="P22" s="18"/>
    </row>
    <row r="23" customFormat="false" ht="15" hidden="false" customHeight="false" outlineLevel="0" collapsed="false">
      <c r="A23" s="11" t="s">
        <v>59</v>
      </c>
      <c r="B23" s="11" t="s">
        <v>60</v>
      </c>
      <c r="C23" s="11" t="s">
        <v>37</v>
      </c>
      <c r="D23" s="11" t="s">
        <v>38</v>
      </c>
      <c r="E23" s="12" t="n">
        <v>2.8037</v>
      </c>
      <c r="F23" s="13" t="n">
        <v>300</v>
      </c>
      <c r="G23" s="12" t="n">
        <v>3.0825</v>
      </c>
      <c r="H23" s="11" t="n">
        <f aca="false">1000-F23</f>
        <v>700</v>
      </c>
      <c r="I23" s="12" t="n">
        <v>3.599</v>
      </c>
      <c r="J23" s="14" t="n">
        <f aca="false">IF(AND(ISNUMBER(E23),ISNUMBER(G23)),G23-E23,"")</f>
        <v>0.2788</v>
      </c>
      <c r="K23" s="14" t="n">
        <f aca="false">IF(AND(ISNUMBER(G23),ISNUMBER(I23)),I23-G23,"")</f>
        <v>0.5165</v>
      </c>
      <c r="L23" s="15" t="n">
        <f aca="false">IF(AND(ISNUMBER(J23),ISNUMBER(K23)),IF(J23&gt;0,(J23+K23)/J23,""),"")</f>
        <v>2.8525824964132</v>
      </c>
      <c r="M23" s="16"/>
      <c r="N23" s="16"/>
      <c r="O23" s="11" t="s">
        <v>39</v>
      </c>
      <c r="P23" s="13"/>
    </row>
    <row r="24" customFormat="false" ht="15" hidden="false" customHeight="false" outlineLevel="0" collapsed="false">
      <c r="A24" s="3" t="s">
        <v>59</v>
      </c>
      <c r="B24" s="3" t="s">
        <v>61</v>
      </c>
      <c r="C24" s="3" t="s">
        <v>37</v>
      </c>
      <c r="D24" s="3" t="s">
        <v>38</v>
      </c>
      <c r="E24" s="17" t="n">
        <v>2.7358</v>
      </c>
      <c r="F24" s="18" t="n">
        <v>300</v>
      </c>
      <c r="G24" s="17" t="n">
        <v>3.0011</v>
      </c>
      <c r="H24" s="3" t="n">
        <f aca="false">1000-F24</f>
        <v>700</v>
      </c>
      <c r="I24" s="17" t="n">
        <v>3.4696</v>
      </c>
      <c r="J24" s="19" t="n">
        <f aca="false">IF(AND(ISNUMBER(E24),ISNUMBER(G24)),G24-E24,"")</f>
        <v>0.2653</v>
      </c>
      <c r="K24" s="19" t="n">
        <f aca="false">IF(AND(ISNUMBER(G24),ISNUMBER(I24)),I24-G24,"")</f>
        <v>0.4685</v>
      </c>
      <c r="L24" s="20" t="n">
        <f aca="false">IF(AND(ISNUMBER(J24),ISNUMBER(K24)),IF(J24&gt;0,(J24+K24)/J24,""),"")</f>
        <v>2.76592536750848</v>
      </c>
      <c r="M24" s="5"/>
      <c r="N24" s="5"/>
      <c r="O24" s="3" t="s">
        <v>39</v>
      </c>
      <c r="P24" s="18"/>
    </row>
    <row r="25" customFormat="false" ht="15" hidden="false" customHeight="false" outlineLevel="0" collapsed="false">
      <c r="A25" s="11" t="s">
        <v>62</v>
      </c>
      <c r="B25" s="11" t="s">
        <v>63</v>
      </c>
      <c r="C25" s="11" t="s">
        <v>32</v>
      </c>
      <c r="D25" s="11" t="s">
        <v>38</v>
      </c>
      <c r="E25" s="12" t="n">
        <v>2.7348</v>
      </c>
      <c r="F25" s="13" t="n">
        <v>300</v>
      </c>
      <c r="G25" s="12" t="n">
        <v>2.9224</v>
      </c>
      <c r="H25" s="11" t="n">
        <f aca="false">1000-F25</f>
        <v>700</v>
      </c>
      <c r="I25" s="12" t="n">
        <v>3.3987</v>
      </c>
      <c r="J25" s="14" t="n">
        <f aca="false">IF(AND(ISNUMBER(E25),ISNUMBER(G25)),G25-E25,"")</f>
        <v>0.1876</v>
      </c>
      <c r="K25" s="14" t="n">
        <f aca="false">IF(AND(ISNUMBER(G25),ISNUMBER(I25)),I25-G25,"")</f>
        <v>0.4763</v>
      </c>
      <c r="L25" s="15" t="n">
        <f aca="false">IF(AND(ISNUMBER(J25),ISNUMBER(K25)),IF(J25&gt;0,(J25+K25)/J25,""),"")</f>
        <v>3.53891257995735</v>
      </c>
      <c r="M25" s="16"/>
      <c r="N25" s="16"/>
      <c r="O25" s="11" t="s">
        <v>39</v>
      </c>
      <c r="P25" s="13"/>
    </row>
    <row r="26" customFormat="false" ht="15" hidden="false" customHeight="false" outlineLevel="0" collapsed="false">
      <c r="A26" s="3" t="s">
        <v>62</v>
      </c>
      <c r="B26" s="3" t="s">
        <v>64</v>
      </c>
      <c r="C26" s="3" t="s">
        <v>32</v>
      </c>
      <c r="D26" s="3" t="s">
        <v>38</v>
      </c>
      <c r="E26" s="17" t="n">
        <v>2.7288</v>
      </c>
      <c r="F26" s="18" t="n">
        <v>300</v>
      </c>
      <c r="G26" s="17" t="n">
        <v>2.982</v>
      </c>
      <c r="H26" s="3" t="n">
        <f aca="false">1000-F26</f>
        <v>700</v>
      </c>
      <c r="I26" s="17" t="n">
        <v>3.5093</v>
      </c>
      <c r="J26" s="19" t="n">
        <f aca="false">IF(AND(ISNUMBER(E26),ISNUMBER(G26)),G26-E26,"")</f>
        <v>0.2532</v>
      </c>
      <c r="K26" s="19" t="n">
        <f aca="false">IF(AND(ISNUMBER(G26),ISNUMBER(I26)),I26-G26,"")</f>
        <v>0.5273</v>
      </c>
      <c r="L26" s="20" t="n">
        <f aca="false">IF(AND(ISNUMBER(J26),ISNUMBER(K26)),IF(J26&gt;0,(J26+K26)/J26,""),"")</f>
        <v>3.08254344391785</v>
      </c>
      <c r="M26" s="5"/>
      <c r="N26" s="5"/>
      <c r="O26" s="3" t="s">
        <v>39</v>
      </c>
      <c r="P26" s="18"/>
    </row>
  </sheetData>
  <sheetProtection sheet="true"/>
  <dataValidations count="1">
    <dataValidation allowBlank="false" error="A number between 0 and 100" errorStyle="stop" operator="between" showDropDown="false" showErrorMessage="true" showInputMessage="false" sqref="E9:G26 I9:I26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2026-09-23T21:20:07Z</dcterms:created>
  <dc:creator>openpyxl</dc:creator>
  <dc:description/>
  <dc:language>es-CL</dc:language>
  <cp:lastModifiedBy/>
  <dcterms:modified xsi:type="dcterms:W3CDTF">2026-09-28T14:28:37Z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