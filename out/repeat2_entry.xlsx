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</sheets>
  <definedNames>
    <definedName name="_xlnm.Print_Titles" localSheetId="0">'Entry'!$6:$7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Arial"/>
      <color rgb="000000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3" fillId="0" borderId="1" pivotButton="0" quotePrefix="0" xfId="0"/>
    <xf numFmtId="164" fontId="1" fillId="2" borderId="1" applyProtection="1" pivotButton="0" quotePrefix="0" xfId="0">
      <protection locked="0" hidden="0"/>
    </xf>
    <xf numFmtId="0" fontId="1" fillId="2" borderId="1" applyProtection="1" pivotButton="0" quotePrefix="0" xfId="0">
      <protection locked="0" hidden="0"/>
    </xf>
    <xf numFmtId="164" fontId="3" fillId="0" borderId="1" pivotButton="0" quotePrefix="0" xfId="0"/>
    <xf numFmtId="2" fontId="3" fillId="0" borderId="1" pivotButton="0" quotePrefix="0" xfId="0"/>
    <xf numFmtId="164" fontId="1" fillId="2" borderId="0" applyProtection="1" pivotButton="0" quotePrefix="0" xfId="0">
      <protection locked="0" hidden="0"/>
    </xf>
    <xf numFmtId="0" fontId="1" fillId="2" borderId="0" applyProtection="1" pivotButton="0" quotePrefix="0" xfId="0">
      <protection locked="0" hidden="0"/>
    </xf>
    <xf numFmtId="164" fontId="3" fillId="0" borderId="0" pivotButton="0" quotePrefix="0" xfId="0"/>
    <xf numFmtId="2" fontId="3" fillId="0" borderId="0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make_entry_workbook</author>
  </authors>
  <commentList>
    <comment ref="M9" authorId="0" shapeId="0">
      <text>
        <t>Campaign 1: 1.9303 %</t>
      </text>
    </comment>
    <comment ref="M10" authorId="0" shapeId="0">
      <text>
        <t>Campaign 1: 1.968 %</t>
      </text>
    </comment>
    <comment ref="M13" authorId="0" shapeId="0">
      <text>
        <t>Campaign 1: 2.6416 %</t>
      </text>
    </comment>
    <comment ref="M14" authorId="0" shapeId="0">
      <text>
        <t>Campaign 1: 2.6825 %</t>
      </text>
    </comment>
    <comment ref="M19" authorId="0" shapeId="0">
      <text>
        <t>Campaign 1: 6.6554 %</t>
      </text>
    </comment>
    <comment ref="M20" authorId="0" shapeId="0">
      <text>
        <t>Campaign 1: 6.6223 %</t>
      </text>
    </comment>
    <comment ref="M27" authorId="0" shapeId="0">
      <text>
        <t>Campaign 1: 2.8273 %</t>
      </text>
    </comment>
    <comment ref="M28" authorId="0" shapeId="0">
      <text>
        <t>Campaign 1: 2.7719 %</t>
      </text>
    </comment>
    <comment ref="M35" authorId="0" shapeId="0">
      <text>
        <t>Campaign 1: 1.9451 %</t>
      </text>
    </comment>
    <comment ref="M36" authorId="0" shapeId="0">
      <text>
        <t>Campaign 1: 1.908 %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22" customWidth="1" min="15" max="15"/>
    <col width="28" customWidth="1" min="16" max="16"/>
  </cols>
  <sheetData>
    <row r="1">
      <c r="A1" s="1" t="inlineStr">
        <is>
          <t>Repeat campaign: vial gravimetry and preliminary Karl-Fischer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" t="n"/>
      <c r="B2" s="3" t="inlineStr">
        <is>
          <t>Type here (the only editable cells)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n"/>
      <c r="B3" s="3" t="inlineStr">
        <is>
          <t>Campaign-1 KF reused, locked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5" t="n"/>
      <c r="B4" s="3" t="inlineStr">
        <is>
          <t>Aqueous phase: water by difference, no KF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inlineStr">
        <is>
          <t>Sheet protected without password (Review &gt; Unprotect sheet). Row 7 names the column of Sistemas ternarios_MF.xlsx each value goes to.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 ht="40" customHeight="1">
      <c r="A6" s="6" t="inlineStr">
        <is>
          <t>Tube</t>
        </is>
      </c>
      <c r="B6" s="6" t="inlineStr">
        <is>
          <t>Vial code</t>
        </is>
      </c>
      <c r="C6" s="6" t="inlineStr">
        <is>
          <t>Phase</t>
        </is>
      </c>
      <c r="D6" s="6" t="inlineStr">
        <is>
          <t>Role</t>
        </is>
      </c>
      <c r="E6" s="6" t="inlineStr">
        <is>
          <t>Vial, g</t>
        </is>
      </c>
      <c r="F6" s="6" t="inlineStr">
        <is>
          <t>Sample, µL</t>
        </is>
      </c>
      <c r="G6" s="6" t="inlineStr">
        <is>
          <t>Vial + sample, g</t>
        </is>
      </c>
      <c r="H6" s="6" t="inlineStr">
        <is>
          <t>IPA, µL</t>
        </is>
      </c>
      <c r="I6" s="6" t="inlineStr">
        <is>
          <t>Vial + sample + IPA, g</t>
        </is>
      </c>
      <c r="J6" s="6" t="inlineStr">
        <is>
          <t>Sample, g</t>
        </is>
      </c>
      <c r="K6" s="6" t="inlineStr">
        <is>
          <t>IPA, g</t>
        </is>
      </c>
      <c r="L6" s="6" t="inlineStr">
        <is>
          <t>Dilution factor</t>
        </is>
      </c>
      <c r="M6" s="6" t="inlineStr">
        <is>
          <t>KF 1, % m/m</t>
        </is>
      </c>
      <c r="N6" s="6" t="inlineStr">
        <is>
          <t>KF 2, % m/m</t>
        </is>
      </c>
      <c r="O6" s="6" t="inlineStr">
        <is>
          <t>KF status</t>
        </is>
      </c>
      <c r="P6" s="6" t="inlineStr">
        <is>
          <t>Notes</t>
        </is>
      </c>
    </row>
    <row r="7">
      <c r="A7" s="7" t="n"/>
      <c r="B7" s="7" t="n"/>
      <c r="C7" s="7" t="n"/>
      <c r="D7" s="7" t="n"/>
      <c r="E7" s="7" t="inlineStr">
        <is>
          <t>D</t>
        </is>
      </c>
      <c r="F7" s="7" t="inlineStr">
        <is>
          <t>E</t>
        </is>
      </c>
      <c r="G7" s="7" t="inlineStr">
        <is>
          <t>F</t>
        </is>
      </c>
      <c r="H7" s="7" t="inlineStr">
        <is>
          <t>G</t>
        </is>
      </c>
      <c r="I7" s="7" t="inlineStr">
        <is>
          <t>H</t>
        </is>
      </c>
      <c r="J7" s="7" t="inlineStr">
        <is>
          <t>I</t>
        </is>
      </c>
      <c r="K7" s="7" t="inlineStr">
        <is>
          <t>J</t>
        </is>
      </c>
      <c r="L7" s="7" t="n"/>
      <c r="M7" s="7" t="inlineStr">
        <is>
          <t>U</t>
        </is>
      </c>
      <c r="N7" s="7" t="inlineStr">
        <is>
          <t>V</t>
        </is>
      </c>
      <c r="O7" s="7" t="n"/>
      <c r="P7" s="7" t="n"/>
    </row>
    <row r="8">
      <c r="A8" s="8" t="inlineStr">
        <is>
          <t>example</t>
        </is>
      </c>
      <c r="B8" s="8" t="inlineStr">
        <is>
          <t>A1-T1</t>
        </is>
      </c>
      <c r="C8" s="8" t="inlineStr">
        <is>
          <t>Superior</t>
        </is>
      </c>
      <c r="D8" s="8" t="inlineStr">
        <is>
          <t>organic</t>
        </is>
      </c>
      <c r="E8" s="9" t="n">
        <v>2.7385</v>
      </c>
      <c r="F8" s="8" t="n">
        <v>300</v>
      </c>
      <c r="G8" s="9" t="n">
        <v>2.9211</v>
      </c>
      <c r="H8" s="8">
        <f>1000-F8</f>
        <v/>
      </c>
      <c r="I8" s="9" t="n">
        <v>3.4876</v>
      </c>
      <c r="J8" s="9">
        <f>IF(AND(ISNUMBER(E8),ISNUMBER(G8)),G8-E8,"")</f>
        <v/>
      </c>
      <c r="K8" s="9">
        <f>IF(AND(ISNUMBER(G8),ISNUMBER(I8)),I8-G8,"")</f>
        <v/>
      </c>
      <c r="L8" s="10">
        <f>IF(AND(ISNUMBER(J8),ISNUMBER(K8)),IF(J8&gt;0,(J8+K8)/J8,""),"")</f>
        <v/>
      </c>
      <c r="M8" s="8" t="n">
        <v>1.93</v>
      </c>
      <c r="N8" s="8" t="n"/>
      <c r="O8" s="8" t="inlineStr">
        <is>
          <t>fresh (example)</t>
        </is>
      </c>
      <c r="P8" s="8" t="n"/>
    </row>
    <row r="9">
      <c r="A9" s="11" t="inlineStr">
        <is>
          <t>A1</t>
        </is>
      </c>
      <c r="B9" s="11" t="inlineStr">
        <is>
          <t>A1-T1</t>
        </is>
      </c>
      <c r="C9" s="11" t="inlineStr">
        <is>
          <t>Superior</t>
        </is>
      </c>
      <c r="D9" s="11" t="inlineStr">
        <is>
          <t>organic</t>
        </is>
      </c>
      <c r="E9" s="12" t="n"/>
      <c r="F9" s="13" t="n">
        <v>300</v>
      </c>
      <c r="G9" s="12" t="n"/>
      <c r="H9" s="11">
        <f>1000-F9</f>
        <v/>
      </c>
      <c r="I9" s="12" t="n"/>
      <c r="J9" s="14">
        <f>IF(AND(ISNUMBER(E9),ISNUMBER(G9)),G9-E9,"")</f>
        <v/>
      </c>
      <c r="K9" s="14">
        <f>IF(AND(ISNUMBER(G9),ISNUMBER(I9)),I9-G9,"")</f>
        <v/>
      </c>
      <c r="L9" s="15">
        <f>IF(AND(ISNUMBER(J9),ISNUMBER(K9)),IF(J9&gt;0,(J9+K9)/J9,""),"")</f>
        <v/>
      </c>
      <c r="M9" s="13" t="n"/>
      <c r="N9" s="13" t="n"/>
      <c r="O9" s="11" t="inlineStr">
        <is>
          <t>fresh: type the new KF</t>
        </is>
      </c>
      <c r="P9" s="13" t="n"/>
    </row>
    <row r="10">
      <c r="A10" s="3" t="inlineStr">
        <is>
          <t>A1</t>
        </is>
      </c>
      <c r="B10" s="3" t="inlineStr">
        <is>
          <t>A1-T2</t>
        </is>
      </c>
      <c r="C10" s="3" t="inlineStr">
        <is>
          <t>Superior</t>
        </is>
      </c>
      <c r="D10" s="3" t="inlineStr">
        <is>
          <t>organic</t>
        </is>
      </c>
      <c r="E10" s="16" t="n"/>
      <c r="F10" s="17" t="n">
        <v>300</v>
      </c>
      <c r="G10" s="16" t="n"/>
      <c r="H10" s="3">
        <f>1000-F10</f>
        <v/>
      </c>
      <c r="I10" s="16" t="n"/>
      <c r="J10" s="18">
        <f>IF(AND(ISNUMBER(E10),ISNUMBER(G10)),G10-E10,"")</f>
        <v/>
      </c>
      <c r="K10" s="18">
        <f>IF(AND(ISNUMBER(G10),ISNUMBER(I10)),I10-G10,"")</f>
        <v/>
      </c>
      <c r="L10" s="19">
        <f>IF(AND(ISNUMBER(J10),ISNUMBER(K10)),IF(J10&gt;0,(J10+K10)/J10,""),"")</f>
        <v/>
      </c>
      <c r="M10" s="17" t="n"/>
      <c r="N10" s="17" t="n"/>
      <c r="O10" s="3" t="inlineStr">
        <is>
          <t>fresh: type the new KF</t>
        </is>
      </c>
      <c r="P10" s="17" t="n"/>
    </row>
    <row r="11">
      <c r="A11" s="3" t="inlineStr">
        <is>
          <t>A1</t>
        </is>
      </c>
      <c r="B11" s="3" t="inlineStr">
        <is>
          <t>A1-B1</t>
        </is>
      </c>
      <c r="C11" s="3" t="inlineStr">
        <is>
          <t>Inferior</t>
        </is>
      </c>
      <c r="D11" s="3" t="inlineStr">
        <is>
          <t>aqueous</t>
        </is>
      </c>
      <c r="E11" s="16" t="n"/>
      <c r="F11" s="17" t="n">
        <v>300</v>
      </c>
      <c r="G11" s="16" t="n"/>
      <c r="H11" s="3">
        <f>1000-F11</f>
        <v/>
      </c>
      <c r="I11" s="16" t="n"/>
      <c r="J11" s="18">
        <f>IF(AND(ISNUMBER(E11),ISNUMBER(G11)),G11-E11,"")</f>
        <v/>
      </c>
      <c r="K11" s="18">
        <f>IF(AND(ISNUMBER(G11),ISNUMBER(I11)),I11-G11,"")</f>
        <v/>
      </c>
      <c r="L11" s="19">
        <f>IF(AND(ISNUMBER(J11),ISNUMBER(K11)),IF(J11&gt;0,(J11+K11)/J11,""),"")</f>
        <v/>
      </c>
      <c r="M11" s="5" t="n"/>
      <c r="N11" s="5" t="n"/>
      <c r="O11" s="3" t="inlineStr">
        <is>
          <t>n/a: by difference</t>
        </is>
      </c>
      <c r="P11" s="17" t="n"/>
    </row>
    <row r="12">
      <c r="A12" s="3" t="inlineStr">
        <is>
          <t>A1</t>
        </is>
      </c>
      <c r="B12" s="3" t="inlineStr">
        <is>
          <t>A1-B2</t>
        </is>
      </c>
      <c r="C12" s="3" t="inlineStr">
        <is>
          <t>Inferior</t>
        </is>
      </c>
      <c r="D12" s="3" t="inlineStr">
        <is>
          <t>aqueous</t>
        </is>
      </c>
      <c r="E12" s="16" t="n"/>
      <c r="F12" s="17" t="n">
        <v>300</v>
      </c>
      <c r="G12" s="16" t="n"/>
      <c r="H12" s="3">
        <f>1000-F12</f>
        <v/>
      </c>
      <c r="I12" s="16" t="n"/>
      <c r="J12" s="18">
        <f>IF(AND(ISNUMBER(E12),ISNUMBER(G12)),G12-E12,"")</f>
        <v/>
      </c>
      <c r="K12" s="18">
        <f>IF(AND(ISNUMBER(G12),ISNUMBER(I12)),I12-G12,"")</f>
        <v/>
      </c>
      <c r="L12" s="19">
        <f>IF(AND(ISNUMBER(J12),ISNUMBER(K12)),IF(J12&gt;0,(J12+K12)/J12,""),"")</f>
        <v/>
      </c>
      <c r="M12" s="5" t="n"/>
      <c r="N12" s="5" t="n"/>
      <c r="O12" s="3" t="inlineStr">
        <is>
          <t>n/a: by difference</t>
        </is>
      </c>
      <c r="P12" s="17" t="n"/>
    </row>
    <row r="13">
      <c r="A13" s="11" t="inlineStr">
        <is>
          <t>A4</t>
        </is>
      </c>
      <c r="B13" s="11" t="inlineStr">
        <is>
          <t>A4-T1</t>
        </is>
      </c>
      <c r="C13" s="11" t="inlineStr">
        <is>
          <t>Superior</t>
        </is>
      </c>
      <c r="D13" s="11" t="inlineStr">
        <is>
          <t>organic</t>
        </is>
      </c>
      <c r="E13" s="12" t="n"/>
      <c r="F13" s="13" t="n">
        <v>300</v>
      </c>
      <c r="G13" s="12" t="n"/>
      <c r="H13" s="11">
        <f>1000-F13</f>
        <v/>
      </c>
      <c r="I13" s="12" t="n"/>
      <c r="J13" s="14">
        <f>IF(AND(ISNUMBER(E13),ISNUMBER(G13)),G13-E13,"")</f>
        <v/>
      </c>
      <c r="K13" s="14">
        <f>IF(AND(ISNUMBER(G13),ISNUMBER(I13)),I13-G13,"")</f>
        <v/>
      </c>
      <c r="L13" s="15">
        <f>IF(AND(ISNUMBER(J13),ISNUMBER(K13)),IF(J13&gt;0,(J13+K13)/J13,""),"")</f>
        <v/>
      </c>
      <c r="M13" s="13" t="n"/>
      <c r="N13" s="13" t="n"/>
      <c r="O13" s="11" t="inlineStr">
        <is>
          <t>fresh: type the new KF</t>
        </is>
      </c>
      <c r="P13" s="13" t="n"/>
    </row>
    <row r="14">
      <c r="A14" s="3" t="inlineStr">
        <is>
          <t>A4</t>
        </is>
      </c>
      <c r="B14" s="3" t="inlineStr">
        <is>
          <t>A4-T2</t>
        </is>
      </c>
      <c r="C14" s="3" t="inlineStr">
        <is>
          <t>Superior</t>
        </is>
      </c>
      <c r="D14" s="3" t="inlineStr">
        <is>
          <t>organic</t>
        </is>
      </c>
      <c r="E14" s="16" t="n"/>
      <c r="F14" s="17" t="n">
        <v>300</v>
      </c>
      <c r="G14" s="16" t="n"/>
      <c r="H14" s="3">
        <f>1000-F14</f>
        <v/>
      </c>
      <c r="I14" s="16" t="n"/>
      <c r="J14" s="18">
        <f>IF(AND(ISNUMBER(E14),ISNUMBER(G14)),G14-E14,"")</f>
        <v/>
      </c>
      <c r="K14" s="18">
        <f>IF(AND(ISNUMBER(G14),ISNUMBER(I14)),I14-G14,"")</f>
        <v/>
      </c>
      <c r="L14" s="19">
        <f>IF(AND(ISNUMBER(J14),ISNUMBER(K14)),IF(J14&gt;0,(J14+K14)/J14,""),"")</f>
        <v/>
      </c>
      <c r="M14" s="17" t="n"/>
      <c r="N14" s="17" t="n"/>
      <c r="O14" s="3" t="inlineStr">
        <is>
          <t>fresh: type the new KF</t>
        </is>
      </c>
      <c r="P14" s="17" t="n"/>
    </row>
    <row r="15">
      <c r="A15" s="3" t="inlineStr">
        <is>
          <t>A4</t>
        </is>
      </c>
      <c r="B15" s="3" t="inlineStr">
        <is>
          <t>A4-B1</t>
        </is>
      </c>
      <c r="C15" s="3" t="inlineStr">
        <is>
          <t>Inferior</t>
        </is>
      </c>
      <c r="D15" s="3" t="inlineStr">
        <is>
          <t>aqueous</t>
        </is>
      </c>
      <c r="E15" s="16" t="n"/>
      <c r="F15" s="17" t="n">
        <v>300</v>
      </c>
      <c r="G15" s="16" t="n"/>
      <c r="H15" s="3">
        <f>1000-F15</f>
        <v/>
      </c>
      <c r="I15" s="16" t="n"/>
      <c r="J15" s="18">
        <f>IF(AND(ISNUMBER(E15),ISNUMBER(G15)),G15-E15,"")</f>
        <v/>
      </c>
      <c r="K15" s="18">
        <f>IF(AND(ISNUMBER(G15),ISNUMBER(I15)),I15-G15,"")</f>
        <v/>
      </c>
      <c r="L15" s="19">
        <f>IF(AND(ISNUMBER(J15),ISNUMBER(K15)),IF(J15&gt;0,(J15+K15)/J15,""),"")</f>
        <v/>
      </c>
      <c r="M15" s="5" t="n"/>
      <c r="N15" s="5" t="n"/>
      <c r="O15" s="3" t="inlineStr">
        <is>
          <t>n/a: by difference</t>
        </is>
      </c>
      <c r="P15" s="17" t="n"/>
    </row>
    <row r="16">
      <c r="A16" s="3" t="inlineStr">
        <is>
          <t>A4</t>
        </is>
      </c>
      <c r="B16" s="3" t="inlineStr">
        <is>
          <t>A4-B2</t>
        </is>
      </c>
      <c r="C16" s="3" t="inlineStr">
        <is>
          <t>Inferior</t>
        </is>
      </c>
      <c r="D16" s="3" t="inlineStr">
        <is>
          <t>aqueous</t>
        </is>
      </c>
      <c r="E16" s="16" t="n"/>
      <c r="F16" s="17" t="n">
        <v>300</v>
      </c>
      <c r="G16" s="16" t="n"/>
      <c r="H16" s="3">
        <f>1000-F16</f>
        <v/>
      </c>
      <c r="I16" s="16" t="n"/>
      <c r="J16" s="18">
        <f>IF(AND(ISNUMBER(E16),ISNUMBER(G16)),G16-E16,"")</f>
        <v/>
      </c>
      <c r="K16" s="18">
        <f>IF(AND(ISNUMBER(G16),ISNUMBER(I16)),I16-G16,"")</f>
        <v/>
      </c>
      <c r="L16" s="19">
        <f>IF(AND(ISNUMBER(J16),ISNUMBER(K16)),IF(J16&gt;0,(J16+K16)/J16,""),"")</f>
        <v/>
      </c>
      <c r="M16" s="5" t="n"/>
      <c r="N16" s="5" t="n"/>
      <c r="O16" s="3" t="inlineStr">
        <is>
          <t>n/a: by difference</t>
        </is>
      </c>
      <c r="P16" s="17" t="n"/>
    </row>
    <row r="17">
      <c r="A17" s="11" t="inlineStr">
        <is>
          <t>A5</t>
        </is>
      </c>
      <c r="B17" s="11" t="inlineStr">
        <is>
          <t>A5-T1</t>
        </is>
      </c>
      <c r="C17" s="11" t="inlineStr">
        <is>
          <t>Superior</t>
        </is>
      </c>
      <c r="D17" s="11" t="inlineStr">
        <is>
          <t>aqueous</t>
        </is>
      </c>
      <c r="E17" s="12" t="n"/>
      <c r="F17" s="13" t="n">
        <v>300</v>
      </c>
      <c r="G17" s="12" t="n"/>
      <c r="H17" s="11">
        <f>1000-F17</f>
        <v/>
      </c>
      <c r="I17" s="12" t="n"/>
      <c r="J17" s="14">
        <f>IF(AND(ISNUMBER(E17),ISNUMBER(G17)),G17-E17,"")</f>
        <v/>
      </c>
      <c r="K17" s="14">
        <f>IF(AND(ISNUMBER(G17),ISNUMBER(I17)),I17-G17,"")</f>
        <v/>
      </c>
      <c r="L17" s="15">
        <f>IF(AND(ISNUMBER(J17),ISNUMBER(K17)),IF(J17&gt;0,(J17+K17)/J17,""),"")</f>
        <v/>
      </c>
      <c r="M17" s="20" t="n"/>
      <c r="N17" s="20" t="n"/>
      <c r="O17" s="11" t="inlineStr">
        <is>
          <t>n/a: by difference</t>
        </is>
      </c>
      <c r="P17" s="13" t="n"/>
    </row>
    <row r="18">
      <c r="A18" s="3" t="inlineStr">
        <is>
          <t>A5</t>
        </is>
      </c>
      <c r="B18" s="3" t="inlineStr">
        <is>
          <t>A5-T2</t>
        </is>
      </c>
      <c r="C18" s="3" t="inlineStr">
        <is>
          <t>Superior</t>
        </is>
      </c>
      <c r="D18" s="3" t="inlineStr">
        <is>
          <t>aqueous</t>
        </is>
      </c>
      <c r="E18" s="16" t="n"/>
      <c r="F18" s="17" t="n">
        <v>300</v>
      </c>
      <c r="G18" s="16" t="n"/>
      <c r="H18" s="3">
        <f>1000-F18</f>
        <v/>
      </c>
      <c r="I18" s="16" t="n"/>
      <c r="J18" s="18">
        <f>IF(AND(ISNUMBER(E18),ISNUMBER(G18)),G18-E18,"")</f>
        <v/>
      </c>
      <c r="K18" s="18">
        <f>IF(AND(ISNUMBER(G18),ISNUMBER(I18)),I18-G18,"")</f>
        <v/>
      </c>
      <c r="L18" s="19">
        <f>IF(AND(ISNUMBER(J18),ISNUMBER(K18)),IF(J18&gt;0,(J18+K18)/J18,""),"")</f>
        <v/>
      </c>
      <c r="M18" s="5" t="n"/>
      <c r="N18" s="5" t="n"/>
      <c r="O18" s="3" t="inlineStr">
        <is>
          <t>n/a: by difference</t>
        </is>
      </c>
      <c r="P18" s="17" t="n"/>
    </row>
    <row r="19">
      <c r="A19" s="3" t="inlineStr">
        <is>
          <t>A5</t>
        </is>
      </c>
      <c r="B19" s="3" t="inlineStr">
        <is>
          <t>A5-B1</t>
        </is>
      </c>
      <c r="C19" s="3" t="inlineStr">
        <is>
          <t>Inferior</t>
        </is>
      </c>
      <c r="D19" s="3" t="inlineStr">
        <is>
          <t>organic</t>
        </is>
      </c>
      <c r="E19" s="16" t="n"/>
      <c r="F19" s="17" t="n">
        <v>300</v>
      </c>
      <c r="G19" s="16" t="n"/>
      <c r="H19" s="3">
        <f>1000-F19</f>
        <v/>
      </c>
      <c r="I19" s="16" t="n"/>
      <c r="J19" s="18">
        <f>IF(AND(ISNUMBER(E19),ISNUMBER(G19)),G19-E19,"")</f>
        <v/>
      </c>
      <c r="K19" s="18">
        <f>IF(AND(ISNUMBER(G19),ISNUMBER(I19)),I19-G19,"")</f>
        <v/>
      </c>
      <c r="L19" s="19">
        <f>IF(AND(ISNUMBER(J19),ISNUMBER(K19)),IF(J19&gt;0,(J19+K19)/J19,""),"")</f>
        <v/>
      </c>
      <c r="M19" s="17" t="n"/>
      <c r="N19" s="17" t="n"/>
      <c r="O19" s="3" t="inlineStr">
        <is>
          <t>fresh: type the new KF</t>
        </is>
      </c>
      <c r="P19" s="17" t="n"/>
    </row>
    <row r="20">
      <c r="A20" s="3" t="inlineStr">
        <is>
          <t>A5</t>
        </is>
      </c>
      <c r="B20" s="3" t="inlineStr">
        <is>
          <t>A5-B2</t>
        </is>
      </c>
      <c r="C20" s="3" t="inlineStr">
        <is>
          <t>Inferior</t>
        </is>
      </c>
      <c r="D20" s="3" t="inlineStr">
        <is>
          <t>organic</t>
        </is>
      </c>
      <c r="E20" s="16" t="n"/>
      <c r="F20" s="17" t="n">
        <v>300</v>
      </c>
      <c r="G20" s="16" t="n"/>
      <c r="H20" s="3">
        <f>1000-F20</f>
        <v/>
      </c>
      <c r="I20" s="16" t="n"/>
      <c r="J20" s="18">
        <f>IF(AND(ISNUMBER(E20),ISNUMBER(G20)),G20-E20,"")</f>
        <v/>
      </c>
      <c r="K20" s="18">
        <f>IF(AND(ISNUMBER(G20),ISNUMBER(I20)),I20-G20,"")</f>
        <v/>
      </c>
      <c r="L20" s="19">
        <f>IF(AND(ISNUMBER(J20),ISNUMBER(K20)),IF(J20&gt;0,(J20+K20)/J20,""),"")</f>
        <v/>
      </c>
      <c r="M20" s="17" t="n"/>
      <c r="N20" s="17" t="n"/>
      <c r="O20" s="3" t="inlineStr">
        <is>
          <t>fresh: type the new KF</t>
        </is>
      </c>
      <c r="P20" s="17" t="n"/>
    </row>
    <row r="21">
      <c r="A21" s="11" t="inlineStr">
        <is>
          <t>B2</t>
        </is>
      </c>
      <c r="B21" s="11" t="inlineStr">
        <is>
          <t>B2-B1</t>
        </is>
      </c>
      <c r="C21" s="11" t="inlineStr">
        <is>
          <t>Inferior</t>
        </is>
      </c>
      <c r="D21" s="11" t="inlineStr">
        <is>
          <t>aqueous</t>
        </is>
      </c>
      <c r="E21" s="12" t="n"/>
      <c r="F21" s="13" t="n">
        <v>300</v>
      </c>
      <c r="G21" s="12" t="n"/>
      <c r="H21" s="11">
        <f>1000-F21</f>
        <v/>
      </c>
      <c r="I21" s="12" t="n"/>
      <c r="J21" s="14">
        <f>IF(AND(ISNUMBER(E21),ISNUMBER(G21)),G21-E21,"")</f>
        <v/>
      </c>
      <c r="K21" s="14">
        <f>IF(AND(ISNUMBER(G21),ISNUMBER(I21)),I21-G21,"")</f>
        <v/>
      </c>
      <c r="L21" s="15">
        <f>IF(AND(ISNUMBER(J21),ISNUMBER(K21)),IF(J21&gt;0,(J21+K21)/J21,""),"")</f>
        <v/>
      </c>
      <c r="M21" s="20" t="n"/>
      <c r="N21" s="20" t="n"/>
      <c r="O21" s="11" t="inlineStr">
        <is>
          <t>n/a: by difference</t>
        </is>
      </c>
      <c r="P21" s="13" t="n"/>
    </row>
    <row r="22">
      <c r="A22" s="3" t="inlineStr">
        <is>
          <t>B2</t>
        </is>
      </c>
      <c r="B22" s="3" t="inlineStr">
        <is>
          <t>B2-B2</t>
        </is>
      </c>
      <c r="C22" s="3" t="inlineStr">
        <is>
          <t>Inferior</t>
        </is>
      </c>
      <c r="D22" s="3" t="inlineStr">
        <is>
          <t>aqueous</t>
        </is>
      </c>
      <c r="E22" s="16" t="n"/>
      <c r="F22" s="17" t="n">
        <v>300</v>
      </c>
      <c r="G22" s="16" t="n"/>
      <c r="H22" s="3">
        <f>1000-F22</f>
        <v/>
      </c>
      <c r="I22" s="16" t="n"/>
      <c r="J22" s="18">
        <f>IF(AND(ISNUMBER(E22),ISNUMBER(G22)),G22-E22,"")</f>
        <v/>
      </c>
      <c r="K22" s="18">
        <f>IF(AND(ISNUMBER(G22),ISNUMBER(I22)),I22-G22,"")</f>
        <v/>
      </c>
      <c r="L22" s="19">
        <f>IF(AND(ISNUMBER(J22),ISNUMBER(K22)),IF(J22&gt;0,(J22+K22)/J22,""),"")</f>
        <v/>
      </c>
      <c r="M22" s="5" t="n"/>
      <c r="N22" s="5" t="n"/>
      <c r="O22" s="3" t="inlineStr">
        <is>
          <t>n/a: by difference</t>
        </is>
      </c>
      <c r="P22" s="17" t="n"/>
    </row>
    <row r="23">
      <c r="A23" s="11" t="inlineStr">
        <is>
          <t>B3</t>
        </is>
      </c>
      <c r="B23" s="11" t="inlineStr">
        <is>
          <t>B3-B1</t>
        </is>
      </c>
      <c r="C23" s="11" t="inlineStr">
        <is>
          <t>Inferior</t>
        </is>
      </c>
      <c r="D23" s="11" t="inlineStr">
        <is>
          <t>aqueous</t>
        </is>
      </c>
      <c r="E23" s="12" t="n"/>
      <c r="F23" s="13" t="n">
        <v>300</v>
      </c>
      <c r="G23" s="12" t="n"/>
      <c r="H23" s="11">
        <f>1000-F23</f>
        <v/>
      </c>
      <c r="I23" s="12" t="n"/>
      <c r="J23" s="14">
        <f>IF(AND(ISNUMBER(E23),ISNUMBER(G23)),G23-E23,"")</f>
        <v/>
      </c>
      <c r="K23" s="14">
        <f>IF(AND(ISNUMBER(G23),ISNUMBER(I23)),I23-G23,"")</f>
        <v/>
      </c>
      <c r="L23" s="15">
        <f>IF(AND(ISNUMBER(J23),ISNUMBER(K23)),IF(J23&gt;0,(J23+K23)/J23,""),"")</f>
        <v/>
      </c>
      <c r="M23" s="20" t="n"/>
      <c r="N23" s="20" t="n"/>
      <c r="O23" s="11" t="inlineStr">
        <is>
          <t>n/a: by difference</t>
        </is>
      </c>
      <c r="P23" s="13" t="n"/>
    </row>
    <row r="24">
      <c r="A24" s="3" t="inlineStr">
        <is>
          <t>B3</t>
        </is>
      </c>
      <c r="B24" s="3" t="inlineStr">
        <is>
          <t>B3-B2</t>
        </is>
      </c>
      <c r="C24" s="3" t="inlineStr">
        <is>
          <t>Inferior</t>
        </is>
      </c>
      <c r="D24" s="3" t="inlineStr">
        <is>
          <t>aqueous</t>
        </is>
      </c>
      <c r="E24" s="16" t="n"/>
      <c r="F24" s="17" t="n">
        <v>300</v>
      </c>
      <c r="G24" s="16" t="n"/>
      <c r="H24" s="3">
        <f>1000-F24</f>
        <v/>
      </c>
      <c r="I24" s="16" t="n"/>
      <c r="J24" s="18">
        <f>IF(AND(ISNUMBER(E24),ISNUMBER(G24)),G24-E24,"")</f>
        <v/>
      </c>
      <c r="K24" s="18">
        <f>IF(AND(ISNUMBER(G24),ISNUMBER(I24)),I24-G24,"")</f>
        <v/>
      </c>
      <c r="L24" s="19">
        <f>IF(AND(ISNUMBER(J24),ISNUMBER(K24)),IF(J24&gt;0,(J24+K24)/J24,""),"")</f>
        <v/>
      </c>
      <c r="M24" s="5" t="n"/>
      <c r="N24" s="5" t="n"/>
      <c r="O24" s="3" t="inlineStr">
        <is>
          <t>n/a: by difference</t>
        </is>
      </c>
      <c r="P24" s="17" t="n"/>
    </row>
    <row r="25">
      <c r="A25" s="11" t="inlineStr">
        <is>
          <t>B4</t>
        </is>
      </c>
      <c r="B25" s="11" t="inlineStr">
        <is>
          <t>B4-B1</t>
        </is>
      </c>
      <c r="C25" s="11" t="inlineStr">
        <is>
          <t>Inferior</t>
        </is>
      </c>
      <c r="D25" s="11" t="inlineStr">
        <is>
          <t>aqueous</t>
        </is>
      </c>
      <c r="E25" s="12" t="n"/>
      <c r="F25" s="13" t="n">
        <v>300</v>
      </c>
      <c r="G25" s="12" t="n"/>
      <c r="H25" s="11">
        <f>1000-F25</f>
        <v/>
      </c>
      <c r="I25" s="12" t="n"/>
      <c r="J25" s="14">
        <f>IF(AND(ISNUMBER(E25),ISNUMBER(G25)),G25-E25,"")</f>
        <v/>
      </c>
      <c r="K25" s="14">
        <f>IF(AND(ISNUMBER(G25),ISNUMBER(I25)),I25-G25,"")</f>
        <v/>
      </c>
      <c r="L25" s="15">
        <f>IF(AND(ISNUMBER(J25),ISNUMBER(K25)),IF(J25&gt;0,(J25+K25)/J25,""),"")</f>
        <v/>
      </c>
      <c r="M25" s="20" t="n"/>
      <c r="N25" s="20" t="n"/>
      <c r="O25" s="11" t="inlineStr">
        <is>
          <t>n/a: by difference</t>
        </is>
      </c>
      <c r="P25" s="13" t="n"/>
    </row>
    <row r="26">
      <c r="A26" s="3" t="inlineStr">
        <is>
          <t>B4</t>
        </is>
      </c>
      <c r="B26" s="3" t="inlineStr">
        <is>
          <t>B4-B2</t>
        </is>
      </c>
      <c r="C26" s="3" t="inlineStr">
        <is>
          <t>Inferior</t>
        </is>
      </c>
      <c r="D26" s="3" t="inlineStr">
        <is>
          <t>aqueous</t>
        </is>
      </c>
      <c r="E26" s="16" t="n"/>
      <c r="F26" s="17" t="n">
        <v>300</v>
      </c>
      <c r="G26" s="16" t="n"/>
      <c r="H26" s="3">
        <f>1000-F26</f>
        <v/>
      </c>
      <c r="I26" s="16" t="n"/>
      <c r="J26" s="18">
        <f>IF(AND(ISNUMBER(E26),ISNUMBER(G26)),G26-E26,"")</f>
        <v/>
      </c>
      <c r="K26" s="18">
        <f>IF(AND(ISNUMBER(G26),ISNUMBER(I26)),I26-G26,"")</f>
        <v/>
      </c>
      <c r="L26" s="19">
        <f>IF(AND(ISNUMBER(J26),ISNUMBER(K26)),IF(J26&gt;0,(J26+K26)/J26,""),"")</f>
        <v/>
      </c>
      <c r="M26" s="5" t="n"/>
      <c r="N26" s="5" t="n"/>
      <c r="O26" s="3" t="inlineStr">
        <is>
          <t>n/a: by difference</t>
        </is>
      </c>
      <c r="P26" s="17" t="n"/>
    </row>
    <row r="27">
      <c r="A27" s="11" t="inlineStr">
        <is>
          <t>F5</t>
        </is>
      </c>
      <c r="B27" s="11" t="inlineStr">
        <is>
          <t>F5-T1</t>
        </is>
      </c>
      <c r="C27" s="11" t="inlineStr">
        <is>
          <t>Superior</t>
        </is>
      </c>
      <c r="D27" s="11" t="inlineStr">
        <is>
          <t>organic</t>
        </is>
      </c>
      <c r="E27" s="12" t="n"/>
      <c r="F27" s="13" t="n">
        <v>300</v>
      </c>
      <c r="G27" s="12" t="n"/>
      <c r="H27" s="11">
        <f>1000-F27</f>
        <v/>
      </c>
      <c r="I27" s="12" t="n"/>
      <c r="J27" s="14">
        <f>IF(AND(ISNUMBER(E27),ISNUMBER(G27)),G27-E27,"")</f>
        <v/>
      </c>
      <c r="K27" s="14">
        <f>IF(AND(ISNUMBER(G27),ISNUMBER(I27)),I27-G27,"")</f>
        <v/>
      </c>
      <c r="L27" s="15">
        <f>IF(AND(ISNUMBER(J27),ISNUMBER(K27)),IF(J27&gt;0,(J27+K27)/J27,""),"")</f>
        <v/>
      </c>
      <c r="M27" s="13" t="n"/>
      <c r="N27" s="13" t="n"/>
      <c r="O27" s="11" t="inlineStr">
        <is>
          <t>fresh: type the new KF</t>
        </is>
      </c>
      <c r="P27" s="13" t="n"/>
    </row>
    <row r="28">
      <c r="A28" s="3" t="inlineStr">
        <is>
          <t>F5</t>
        </is>
      </c>
      <c r="B28" s="3" t="inlineStr">
        <is>
          <t>F5-T2</t>
        </is>
      </c>
      <c r="C28" s="3" t="inlineStr">
        <is>
          <t>Superior</t>
        </is>
      </c>
      <c r="D28" s="3" t="inlineStr">
        <is>
          <t>organic</t>
        </is>
      </c>
      <c r="E28" s="16" t="n"/>
      <c r="F28" s="17" t="n">
        <v>300</v>
      </c>
      <c r="G28" s="16" t="n"/>
      <c r="H28" s="3">
        <f>1000-F28</f>
        <v/>
      </c>
      <c r="I28" s="16" t="n"/>
      <c r="J28" s="18">
        <f>IF(AND(ISNUMBER(E28),ISNUMBER(G28)),G28-E28,"")</f>
        <v/>
      </c>
      <c r="K28" s="18">
        <f>IF(AND(ISNUMBER(G28),ISNUMBER(I28)),I28-G28,"")</f>
        <v/>
      </c>
      <c r="L28" s="19">
        <f>IF(AND(ISNUMBER(J28),ISNUMBER(K28)),IF(J28&gt;0,(J28+K28)/J28,""),"")</f>
        <v/>
      </c>
      <c r="M28" s="17" t="n"/>
      <c r="N28" s="17" t="n"/>
      <c r="O28" s="3" t="inlineStr">
        <is>
          <t>fresh: type the new KF</t>
        </is>
      </c>
      <c r="P28" s="17" t="n"/>
    </row>
    <row r="29">
      <c r="A29" s="3" t="inlineStr">
        <is>
          <t>F5</t>
        </is>
      </c>
      <c r="B29" s="3" t="inlineStr">
        <is>
          <t>F5-B1</t>
        </is>
      </c>
      <c r="C29" s="3" t="inlineStr">
        <is>
          <t>Inferior</t>
        </is>
      </c>
      <c r="D29" s="3" t="inlineStr">
        <is>
          <t>aqueous</t>
        </is>
      </c>
      <c r="E29" s="16" t="n"/>
      <c r="F29" s="17" t="n">
        <v>300</v>
      </c>
      <c r="G29" s="16" t="n"/>
      <c r="H29" s="3">
        <f>1000-F29</f>
        <v/>
      </c>
      <c r="I29" s="16" t="n"/>
      <c r="J29" s="18">
        <f>IF(AND(ISNUMBER(E29),ISNUMBER(G29)),G29-E29,"")</f>
        <v/>
      </c>
      <c r="K29" s="18">
        <f>IF(AND(ISNUMBER(G29),ISNUMBER(I29)),I29-G29,"")</f>
        <v/>
      </c>
      <c r="L29" s="19">
        <f>IF(AND(ISNUMBER(J29),ISNUMBER(K29)),IF(J29&gt;0,(J29+K29)/J29,""),"")</f>
        <v/>
      </c>
      <c r="M29" s="5" t="n"/>
      <c r="N29" s="5" t="n"/>
      <c r="O29" s="3" t="inlineStr">
        <is>
          <t>n/a: by difference</t>
        </is>
      </c>
      <c r="P29" s="17" t="n"/>
    </row>
    <row r="30">
      <c r="A30" s="3" t="inlineStr">
        <is>
          <t>F5</t>
        </is>
      </c>
      <c r="B30" s="3" t="inlineStr">
        <is>
          <t>F5-B2</t>
        </is>
      </c>
      <c r="C30" s="3" t="inlineStr">
        <is>
          <t>Inferior</t>
        </is>
      </c>
      <c r="D30" s="3" t="inlineStr">
        <is>
          <t>aqueous</t>
        </is>
      </c>
      <c r="E30" s="16" t="n"/>
      <c r="F30" s="17" t="n">
        <v>300</v>
      </c>
      <c r="G30" s="16" t="n"/>
      <c r="H30" s="3">
        <f>1000-F30</f>
        <v/>
      </c>
      <c r="I30" s="16" t="n"/>
      <c r="J30" s="18">
        <f>IF(AND(ISNUMBER(E30),ISNUMBER(G30)),G30-E30,"")</f>
        <v/>
      </c>
      <c r="K30" s="18">
        <f>IF(AND(ISNUMBER(G30),ISNUMBER(I30)),I30-G30,"")</f>
        <v/>
      </c>
      <c r="L30" s="19">
        <f>IF(AND(ISNUMBER(J30),ISNUMBER(K30)),IF(J30&gt;0,(J30+K30)/J30,""),"")</f>
        <v/>
      </c>
      <c r="M30" s="5" t="n"/>
      <c r="N30" s="5" t="n"/>
      <c r="O30" s="3" t="inlineStr">
        <is>
          <t>n/a: by difference</t>
        </is>
      </c>
      <c r="P30" s="17" t="n"/>
    </row>
    <row r="31">
      <c r="A31" s="11" t="inlineStr">
        <is>
          <t>BIN6</t>
        </is>
      </c>
      <c r="B31" s="11" t="inlineStr">
        <is>
          <t>BIN6-B1</t>
        </is>
      </c>
      <c r="C31" s="11" t="inlineStr">
        <is>
          <t>Inferior</t>
        </is>
      </c>
      <c r="D31" s="11" t="inlineStr">
        <is>
          <t>aqueous</t>
        </is>
      </c>
      <c r="E31" s="12" t="n"/>
      <c r="F31" s="13" t="n">
        <v>300</v>
      </c>
      <c r="G31" s="12" t="n"/>
      <c r="H31" s="11">
        <f>1000-F31</f>
        <v/>
      </c>
      <c r="I31" s="12" t="n"/>
      <c r="J31" s="14">
        <f>IF(AND(ISNUMBER(E31),ISNUMBER(G31)),G31-E31,"")</f>
        <v/>
      </c>
      <c r="K31" s="14">
        <f>IF(AND(ISNUMBER(G31),ISNUMBER(I31)),I31-G31,"")</f>
        <v/>
      </c>
      <c r="L31" s="15">
        <f>IF(AND(ISNUMBER(J31),ISNUMBER(K31)),IF(J31&gt;0,(J31+K31)/J31,""),"")</f>
        <v/>
      </c>
      <c r="M31" s="20" t="n"/>
      <c r="N31" s="20" t="n"/>
      <c r="O31" s="11" t="inlineStr">
        <is>
          <t>n/a: by difference</t>
        </is>
      </c>
      <c r="P31" s="13" t="n"/>
    </row>
    <row r="32">
      <c r="A32" s="3" t="inlineStr">
        <is>
          <t>BIN6</t>
        </is>
      </c>
      <c r="B32" s="3" t="inlineStr">
        <is>
          <t>BIN6-B2</t>
        </is>
      </c>
      <c r="C32" s="3" t="inlineStr">
        <is>
          <t>Inferior</t>
        </is>
      </c>
      <c r="D32" s="3" t="inlineStr">
        <is>
          <t>aqueous</t>
        </is>
      </c>
      <c r="E32" s="16" t="n"/>
      <c r="F32" s="17" t="n">
        <v>300</v>
      </c>
      <c r="G32" s="16" t="n"/>
      <c r="H32" s="3">
        <f>1000-F32</f>
        <v/>
      </c>
      <c r="I32" s="16" t="n"/>
      <c r="J32" s="18">
        <f>IF(AND(ISNUMBER(E32),ISNUMBER(G32)),G32-E32,"")</f>
        <v/>
      </c>
      <c r="K32" s="18">
        <f>IF(AND(ISNUMBER(G32),ISNUMBER(I32)),I32-G32,"")</f>
        <v/>
      </c>
      <c r="L32" s="19">
        <f>IF(AND(ISNUMBER(J32),ISNUMBER(K32)),IF(J32&gt;0,(J32+K32)/J32,""),"")</f>
        <v/>
      </c>
      <c r="M32" s="5" t="n"/>
      <c r="N32" s="5" t="n"/>
      <c r="O32" s="3" t="inlineStr">
        <is>
          <t>n/a: by difference</t>
        </is>
      </c>
      <c r="P32" s="17" t="n"/>
    </row>
    <row r="33">
      <c r="A33" s="11" t="inlineStr">
        <is>
          <t>I2</t>
        </is>
      </c>
      <c r="B33" s="11" t="inlineStr">
        <is>
          <t>I2-T1</t>
        </is>
      </c>
      <c r="C33" s="11" t="inlineStr">
        <is>
          <t>Superior</t>
        </is>
      </c>
      <c r="D33" s="11" t="inlineStr">
        <is>
          <t>aqueous</t>
        </is>
      </c>
      <c r="E33" s="12" t="n"/>
      <c r="F33" s="13" t="n">
        <v>300</v>
      </c>
      <c r="G33" s="12" t="n"/>
      <c r="H33" s="11">
        <f>1000-F33</f>
        <v/>
      </c>
      <c r="I33" s="12" t="n"/>
      <c r="J33" s="14">
        <f>IF(AND(ISNUMBER(E33),ISNUMBER(G33)),G33-E33,"")</f>
        <v/>
      </c>
      <c r="K33" s="14">
        <f>IF(AND(ISNUMBER(G33),ISNUMBER(I33)),I33-G33,"")</f>
        <v/>
      </c>
      <c r="L33" s="15">
        <f>IF(AND(ISNUMBER(J33),ISNUMBER(K33)),IF(J33&gt;0,(J33+K33)/J33,""),"")</f>
        <v/>
      </c>
      <c r="M33" s="20" t="n"/>
      <c r="N33" s="20" t="n"/>
      <c r="O33" s="11" t="inlineStr">
        <is>
          <t>n/a: by difference</t>
        </is>
      </c>
      <c r="P33" s="13" t="n"/>
    </row>
    <row r="34">
      <c r="A34" s="3" t="inlineStr">
        <is>
          <t>I2</t>
        </is>
      </c>
      <c r="B34" s="3" t="inlineStr">
        <is>
          <t>I2-T2</t>
        </is>
      </c>
      <c r="C34" s="3" t="inlineStr">
        <is>
          <t>Superior</t>
        </is>
      </c>
      <c r="D34" s="3" t="inlineStr">
        <is>
          <t>aqueous</t>
        </is>
      </c>
      <c r="E34" s="16" t="n"/>
      <c r="F34" s="17" t="n">
        <v>300</v>
      </c>
      <c r="G34" s="16" t="n"/>
      <c r="H34" s="3">
        <f>1000-F34</f>
        <v/>
      </c>
      <c r="I34" s="16" t="n"/>
      <c r="J34" s="18">
        <f>IF(AND(ISNUMBER(E34),ISNUMBER(G34)),G34-E34,"")</f>
        <v/>
      </c>
      <c r="K34" s="18">
        <f>IF(AND(ISNUMBER(G34),ISNUMBER(I34)),I34-G34,"")</f>
        <v/>
      </c>
      <c r="L34" s="19">
        <f>IF(AND(ISNUMBER(J34),ISNUMBER(K34)),IF(J34&gt;0,(J34+K34)/J34,""),"")</f>
        <v/>
      </c>
      <c r="M34" s="5" t="n"/>
      <c r="N34" s="5" t="n"/>
      <c r="O34" s="3" t="inlineStr">
        <is>
          <t>n/a: by difference</t>
        </is>
      </c>
      <c r="P34" s="17" t="n"/>
    </row>
    <row r="35">
      <c r="A35" s="3" t="inlineStr">
        <is>
          <t>I2</t>
        </is>
      </c>
      <c r="B35" s="3" t="inlineStr">
        <is>
          <t>I2-B1</t>
        </is>
      </c>
      <c r="C35" s="3" t="inlineStr">
        <is>
          <t>Inferior</t>
        </is>
      </c>
      <c r="D35" s="3" t="inlineStr">
        <is>
          <t>organic</t>
        </is>
      </c>
      <c r="E35" s="16" t="n"/>
      <c r="F35" s="17" t="n">
        <v>300</v>
      </c>
      <c r="G35" s="16" t="n"/>
      <c r="H35" s="3">
        <f>1000-F35</f>
        <v/>
      </c>
      <c r="I35" s="16" t="n"/>
      <c r="J35" s="18">
        <f>IF(AND(ISNUMBER(E35),ISNUMBER(G35)),G35-E35,"")</f>
        <v/>
      </c>
      <c r="K35" s="18">
        <f>IF(AND(ISNUMBER(G35),ISNUMBER(I35)),I35-G35,"")</f>
        <v/>
      </c>
      <c r="L35" s="19">
        <f>IF(AND(ISNUMBER(J35),ISNUMBER(K35)),IF(J35&gt;0,(J35+K35)/J35,""),"")</f>
        <v/>
      </c>
      <c r="M35" s="17" t="n"/>
      <c r="N35" s="17" t="n"/>
      <c r="O35" s="3" t="inlineStr">
        <is>
          <t>fresh: type the new KF</t>
        </is>
      </c>
      <c r="P35" s="17" t="n"/>
    </row>
    <row r="36">
      <c r="A36" s="3" t="inlineStr">
        <is>
          <t>I2</t>
        </is>
      </c>
      <c r="B36" s="3" t="inlineStr">
        <is>
          <t>I2-B2</t>
        </is>
      </c>
      <c r="C36" s="3" t="inlineStr">
        <is>
          <t>Inferior</t>
        </is>
      </c>
      <c r="D36" s="3" t="inlineStr">
        <is>
          <t>organic</t>
        </is>
      </c>
      <c r="E36" s="16" t="n"/>
      <c r="F36" s="17" t="n">
        <v>300</v>
      </c>
      <c r="G36" s="16" t="n"/>
      <c r="H36" s="3">
        <f>1000-F36</f>
        <v/>
      </c>
      <c r="I36" s="16" t="n"/>
      <c r="J36" s="18">
        <f>IF(AND(ISNUMBER(E36),ISNUMBER(G36)),G36-E36,"")</f>
        <v/>
      </c>
      <c r="K36" s="18">
        <f>IF(AND(ISNUMBER(G36),ISNUMBER(I36)),I36-G36,"")</f>
        <v/>
      </c>
      <c r="L36" s="19">
        <f>IF(AND(ISNUMBER(J36),ISNUMBER(K36)),IF(J36&gt;0,(J36+K36)/J36,""),"")</f>
        <v/>
      </c>
      <c r="M36" s="17" t="n"/>
      <c r="N36" s="17" t="n"/>
      <c r="O36" s="3" t="inlineStr">
        <is>
          <t>fresh: type the new KF</t>
        </is>
      </c>
      <c r="P36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E9:G9 E10:G10 E11:G11 E12:G12 E13:G13 E14:G14 E15:G15 E16:G16 E17:G17 E18:G18 E19:G19 E20:G20 E21:G21 E22:G22 E23:G23 E24:G24 E25:G25 E26:G26 E27:G27 E28:G28 E29:G29 E30:G30 E31:G31 E32:G32 E33:G33 E34:G34 E35:G35 E36:G36 I9 I10 I11 I12 I13 I14 I15 I16 I17 I18 I19 I20 I21 I22 I23 I24 I25 I26 I27 I28 I29 I30 I31 I32 I33 I34 I35 I36" showDropDown="0" showInputMessage="0" showErrorMessage="1" allowBlank="0" error="A number between 0 and 100" type="decimal">
      <formula1>0</formula1>
      <formula2>100</formula2>
    </dataValidation>
    <dataValidation sqref="M9:N9 M10:N10 M13:N13 M14:N14 M19:N19 M20:N20 M27:N27 M28:N28 M35:N35 M36:N36" showDropDown="0" showInputMessage="0" showErrorMessage="1" allowBlank="0" error="A number between 0 and 100" type="decimal">
      <formula1>0</formula1>
      <formula2>100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2026-09-23T21:08:59Z</dcterms:created>
  <dcterms:modified xsi:type="dcterms:W3CDTF">2026-09-23T21:08:59Z</dcterms:modified>
</cp:coreProperties>
</file>