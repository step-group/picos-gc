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0" fontId="3" fillId="4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BIN5</t>
        </is>
      </c>
      <c r="B9" s="11" t="inlineStr">
        <is>
          <t>BIN5-B1</t>
        </is>
      </c>
      <c r="C9" s="11" t="inlineStr">
        <is>
          <t>Inferior</t>
        </is>
      </c>
      <c r="D9" s="11" t="inlineStr">
        <is>
          <t>aqueous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6" t="n"/>
      <c r="N9" s="16" t="n"/>
      <c r="O9" s="11" t="inlineStr">
        <is>
          <t>n/a: by difference</t>
        </is>
      </c>
      <c r="P9" s="13" t="n"/>
    </row>
    <row r="10">
      <c r="A10" s="3" t="inlineStr">
        <is>
          <t>BIN5</t>
        </is>
      </c>
      <c r="B10" s="3" t="inlineStr">
        <is>
          <t>BIN5-B2</t>
        </is>
      </c>
      <c r="C10" s="3" t="inlineStr">
        <is>
          <t>Inferior</t>
        </is>
      </c>
      <c r="D10" s="3" t="inlineStr">
        <is>
          <t>aqueous</t>
        </is>
      </c>
      <c r="E10" s="17" t="n"/>
      <c r="F10" s="18" t="n">
        <v>300</v>
      </c>
      <c r="G10" s="17" t="n"/>
      <c r="H10" s="3">
        <f>1000-F10</f>
        <v/>
      </c>
      <c r="I10" s="17" t="n"/>
      <c r="J10" s="19">
        <f>IF(AND(ISNUMBER(E10),ISNUMBER(G10)),G10-E10,"")</f>
        <v/>
      </c>
      <c r="K10" s="19">
        <f>IF(AND(ISNUMBER(G10),ISNUMBER(I10)),I10-G10,"")</f>
        <v/>
      </c>
      <c r="L10" s="20">
        <f>IF(AND(ISNUMBER(J10),ISNUMBER(K10)),IF(J10&gt;0,(J10+K10)/J10,""),"")</f>
        <v/>
      </c>
      <c r="M10" s="5" t="n"/>
      <c r="N10" s="5" t="n"/>
      <c r="O10" s="3" t="inlineStr">
        <is>
          <t>n/a: by difference</t>
        </is>
      </c>
      <c r="P10" s="18" t="n"/>
    </row>
    <row r="11">
      <c r="A11" s="11" t="inlineStr">
        <is>
          <t>H2</t>
        </is>
      </c>
      <c r="B11" s="11" t="inlineStr">
        <is>
          <t>H2-T1</t>
        </is>
      </c>
      <c r="C11" s="11" t="inlineStr">
        <is>
          <t>Superior</t>
        </is>
      </c>
      <c r="D11" s="11" t="inlineStr">
        <is>
          <t>aqueous</t>
        </is>
      </c>
      <c r="E11" s="12" t="n"/>
      <c r="F11" s="13" t="n">
        <v>300</v>
      </c>
      <c r="G11" s="12" t="n"/>
      <c r="H11" s="11">
        <f>1000-F11</f>
        <v/>
      </c>
      <c r="I11" s="12" t="n"/>
      <c r="J11" s="14">
        <f>IF(AND(ISNUMBER(E11),ISNUMBER(G11)),G11-E11,"")</f>
        <v/>
      </c>
      <c r="K11" s="14">
        <f>IF(AND(ISNUMBER(G11),ISNUMBER(I11)),I11-G11,"")</f>
        <v/>
      </c>
      <c r="L11" s="15">
        <f>IF(AND(ISNUMBER(J11),ISNUMBER(K11)),IF(J11&gt;0,(J11+K11)/J11,""),"")</f>
        <v/>
      </c>
      <c r="M11" s="16" t="n"/>
      <c r="N11" s="16" t="n"/>
      <c r="O11" s="11" t="inlineStr">
        <is>
          <t>n/a: by difference</t>
        </is>
      </c>
      <c r="P11" s="13" t="n"/>
    </row>
    <row r="12">
      <c r="A12" s="3" t="inlineStr">
        <is>
          <t>H2</t>
        </is>
      </c>
      <c r="B12" s="3" t="inlineStr">
        <is>
          <t>H2-T2</t>
        </is>
      </c>
      <c r="C12" s="3" t="inlineStr">
        <is>
          <t>Superior</t>
        </is>
      </c>
      <c r="D12" s="3" t="inlineStr">
        <is>
          <t>aqueous</t>
        </is>
      </c>
      <c r="E12" s="17" t="n"/>
      <c r="F12" s="18" t="n">
        <v>300</v>
      </c>
      <c r="G12" s="17" t="n"/>
      <c r="H12" s="3">
        <f>1000-F12</f>
        <v/>
      </c>
      <c r="I12" s="17" t="n"/>
      <c r="J12" s="19">
        <f>IF(AND(ISNUMBER(E12),ISNUMBER(G12)),G12-E12,"")</f>
        <v/>
      </c>
      <c r="K12" s="19">
        <f>IF(AND(ISNUMBER(G12),ISNUMBER(I12)),I12-G12,"")</f>
        <v/>
      </c>
      <c r="L12" s="20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8" t="n"/>
    </row>
    <row r="13">
      <c r="A13" s="11" t="inlineStr">
        <is>
          <t>H5</t>
        </is>
      </c>
      <c r="B13" s="11" t="inlineStr">
        <is>
          <t>H5-B1</t>
        </is>
      </c>
      <c r="C13" s="11" t="inlineStr">
        <is>
          <t>Inferior</t>
        </is>
      </c>
      <c r="D13" s="11" t="inlineStr">
        <is>
          <t>aqueous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6" t="n"/>
      <c r="N13" s="16" t="n"/>
      <c r="O13" s="11" t="inlineStr">
        <is>
          <t>n/a: by difference</t>
        </is>
      </c>
      <c r="P13" s="13" t="n"/>
    </row>
    <row r="14">
      <c r="A14" s="3" t="inlineStr">
        <is>
          <t>H5</t>
        </is>
      </c>
      <c r="B14" s="3" t="inlineStr">
        <is>
          <t>H5-B2</t>
        </is>
      </c>
      <c r="C14" s="3" t="inlineStr">
        <is>
          <t>Inferior</t>
        </is>
      </c>
      <c r="D14" s="3" t="inlineStr">
        <is>
          <t>aqueous</t>
        </is>
      </c>
      <c r="E14" s="17" t="n"/>
      <c r="F14" s="18" t="n">
        <v>300</v>
      </c>
      <c r="G14" s="17" t="n"/>
      <c r="H14" s="3">
        <f>1000-F14</f>
        <v/>
      </c>
      <c r="I14" s="17" t="n"/>
      <c r="J14" s="19">
        <f>IF(AND(ISNUMBER(E14),ISNUMBER(G14)),G14-E14,"")</f>
        <v/>
      </c>
      <c r="K14" s="19">
        <f>IF(AND(ISNUMBER(G14),ISNUMBER(I14)),I14-G14,"")</f>
        <v/>
      </c>
      <c r="L14" s="20">
        <f>IF(AND(ISNUMBER(J14),ISNUMBER(K14)),IF(J14&gt;0,(J14+K14)/J14,""),"")</f>
        <v/>
      </c>
      <c r="M14" s="5" t="n"/>
      <c r="N14" s="5" t="n"/>
      <c r="O14" s="3" t="inlineStr">
        <is>
          <t>n/a: by difference</t>
        </is>
      </c>
      <c r="P14" s="18" t="n"/>
    </row>
    <row r="15">
      <c r="A15" s="11" t="inlineStr">
        <is>
          <t>I4</t>
        </is>
      </c>
      <c r="B15" s="11" t="inlineStr">
        <is>
          <t>I4-T1</t>
        </is>
      </c>
      <c r="C15" s="11" t="inlineStr">
        <is>
          <t>Superior</t>
        </is>
      </c>
      <c r="D15" s="11" t="inlineStr">
        <is>
          <t>aqueous</t>
        </is>
      </c>
      <c r="E15" s="12" t="n"/>
      <c r="F15" s="13" t="n">
        <v>300</v>
      </c>
      <c r="G15" s="12" t="n"/>
      <c r="H15" s="11">
        <f>1000-F15</f>
        <v/>
      </c>
      <c r="I15" s="12" t="n"/>
      <c r="J15" s="14">
        <f>IF(AND(ISNUMBER(E15),ISNUMBER(G15)),G15-E15,"")</f>
        <v/>
      </c>
      <c r="K15" s="14">
        <f>IF(AND(ISNUMBER(G15),ISNUMBER(I15)),I15-G15,"")</f>
        <v/>
      </c>
      <c r="L15" s="15">
        <f>IF(AND(ISNUMBER(J15),ISNUMBER(K15)),IF(J15&gt;0,(J15+K15)/J15,""),"")</f>
        <v/>
      </c>
      <c r="M15" s="16" t="n"/>
      <c r="N15" s="16" t="n"/>
      <c r="O15" s="11" t="inlineStr">
        <is>
          <t>n/a: by difference</t>
        </is>
      </c>
      <c r="P15" s="13" t="n"/>
    </row>
    <row r="16">
      <c r="A16" s="3" t="inlineStr">
        <is>
          <t>I4</t>
        </is>
      </c>
      <c r="B16" s="3" t="inlineStr">
        <is>
          <t>I4-T2</t>
        </is>
      </c>
      <c r="C16" s="3" t="inlineStr">
        <is>
          <t>Superior</t>
        </is>
      </c>
      <c r="D16" s="3" t="inlineStr">
        <is>
          <t>aqueous</t>
        </is>
      </c>
      <c r="E16" s="17" t="n"/>
      <c r="F16" s="18" t="n">
        <v>300</v>
      </c>
      <c r="G16" s="17" t="n"/>
      <c r="H16" s="3">
        <f>1000-F16</f>
        <v/>
      </c>
      <c r="I16" s="17" t="n"/>
      <c r="J16" s="19">
        <f>IF(AND(ISNUMBER(E16),ISNUMBER(G16)),G16-E16,"")</f>
        <v/>
      </c>
      <c r="K16" s="19">
        <f>IF(AND(ISNUMBER(G16),ISNUMBER(I16)),I16-G16,"")</f>
        <v/>
      </c>
      <c r="L16" s="20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E9:G9 E10:G10 E11:G11 E12:G12 E13:G13 E14:G14 E15:G15 E16:G16 I9 I10 I11 I12 I13 I14 I15 I16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2026-09-29T00:10:51Z</dcterms:created>
  <dcterms:modified xsi:type="dcterms:W3CDTF">2026-09-29T00:10:51Z</dcterms:modified>
</cp:coreProperties>
</file>