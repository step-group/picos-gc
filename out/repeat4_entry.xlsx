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</sheets>
  <definedNames>
    <definedName name="_xlnm.Print_Titles" localSheetId="0">'Entry'!$6:$7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color rgb="000000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0" fontId="3" fillId="0" borderId="1" pivotButton="0" quotePrefix="0" xfId="0"/>
    <xf numFmtId="164" fontId="1" fillId="2" borderId="1" applyProtection="1" pivotButton="0" quotePrefix="0" xfId="0">
      <protection locked="0" hidden="0"/>
    </xf>
    <xf numFmtId="0" fontId="1" fillId="2" borderId="1" applyProtection="1" pivotButton="0" quotePrefix="0" xfId="0">
      <protection locked="0" hidden="0"/>
    </xf>
    <xf numFmtId="164" fontId="3" fillId="0" borderId="1" pivotButton="0" quotePrefix="0" xfId="0"/>
    <xf numFmtId="2" fontId="3" fillId="0" borderId="1" pivotButton="0" quotePrefix="0" xfId="0"/>
    <xf numFmtId="0" fontId="3" fillId="4" borderId="1" pivotButton="0" quotePrefix="0" xfId="0"/>
    <xf numFmtId="164" fontId="1" fillId="2" borderId="0" applyProtection="1" pivotButton="0" quotePrefix="0" xfId="0">
      <protection locked="0" hidden="0"/>
    </xf>
    <xf numFmtId="0" fontId="1" fillId="2" borderId="0" applyProtection="1" pivotButton="0" quotePrefix="0" xfId="0">
      <protection locked="0" hidden="0"/>
    </xf>
    <xf numFmtId="164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9" customWidth="1" min="5" max="5"/>
    <col width="9" customWidth="1" min="6" max="6"/>
    <col width="12" customWidth="1" min="7" max="7"/>
    <col width="8" customWidth="1" min="8" max="8"/>
    <col width="13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22" customWidth="1" min="15" max="15"/>
    <col width="28" customWidth="1" min="16" max="16"/>
  </cols>
  <sheetData>
    <row r="1">
      <c r="A1" s="1" t="inlineStr">
        <is>
          <t>Repeat campaign: vial gravimetry and preliminary Karl-Fischer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" t="n"/>
      <c r="B2" s="3" t="inlineStr">
        <is>
          <t>Type here (the only editable cells)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4" t="n"/>
      <c r="B3" s="3" t="inlineStr">
        <is>
          <t>Campaign-1 KF reused, locked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5" t="n"/>
      <c r="B4" s="3" t="inlineStr">
        <is>
          <t>Aqueous phase: water by difference, no KF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inlineStr">
        <is>
          <t>Sheet protected without password (Review &gt; Unprotect sheet). Row 7 names the column of Sistemas ternarios_MF.xlsx each value goes to.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 ht="40" customHeight="1">
      <c r="A6" s="6" t="inlineStr">
        <is>
          <t>Tube</t>
        </is>
      </c>
      <c r="B6" s="6" t="inlineStr">
        <is>
          <t>Vial code</t>
        </is>
      </c>
      <c r="C6" s="6" t="inlineStr">
        <is>
          <t>Phase</t>
        </is>
      </c>
      <c r="D6" s="6" t="inlineStr">
        <is>
          <t>Role</t>
        </is>
      </c>
      <c r="E6" s="6" t="inlineStr">
        <is>
          <t>Vial, g</t>
        </is>
      </c>
      <c r="F6" s="6" t="inlineStr">
        <is>
          <t>Sample, µL</t>
        </is>
      </c>
      <c r="G6" s="6" t="inlineStr">
        <is>
          <t>Vial + sample, g</t>
        </is>
      </c>
      <c r="H6" s="6" t="inlineStr">
        <is>
          <t>IPA, µL</t>
        </is>
      </c>
      <c r="I6" s="6" t="inlineStr">
        <is>
          <t>Vial + sample + IPA, g</t>
        </is>
      </c>
      <c r="J6" s="6" t="inlineStr">
        <is>
          <t>Sample, g</t>
        </is>
      </c>
      <c r="K6" s="6" t="inlineStr">
        <is>
          <t>IPA, g</t>
        </is>
      </c>
      <c r="L6" s="6" t="inlineStr">
        <is>
          <t>Dilution factor</t>
        </is>
      </c>
      <c r="M6" s="6" t="inlineStr">
        <is>
          <t>KF 1, % m/m</t>
        </is>
      </c>
      <c r="N6" s="6" t="inlineStr">
        <is>
          <t>KF 2, % m/m</t>
        </is>
      </c>
      <c r="O6" s="6" t="inlineStr">
        <is>
          <t>KF status</t>
        </is>
      </c>
      <c r="P6" s="6" t="inlineStr">
        <is>
          <t>Notes</t>
        </is>
      </c>
    </row>
    <row r="7">
      <c r="A7" s="7" t="n"/>
      <c r="B7" s="7" t="n"/>
      <c r="C7" s="7" t="n"/>
      <c r="D7" s="7" t="n"/>
      <c r="E7" s="7" t="inlineStr">
        <is>
          <t>D</t>
        </is>
      </c>
      <c r="F7" s="7" t="inlineStr">
        <is>
          <t>E</t>
        </is>
      </c>
      <c r="G7" s="7" t="inlineStr">
        <is>
          <t>F</t>
        </is>
      </c>
      <c r="H7" s="7" t="inlineStr">
        <is>
          <t>G</t>
        </is>
      </c>
      <c r="I7" s="7" t="inlineStr">
        <is>
          <t>H</t>
        </is>
      </c>
      <c r="J7" s="7" t="inlineStr">
        <is>
          <t>I</t>
        </is>
      </c>
      <c r="K7" s="7" t="inlineStr">
        <is>
          <t>J</t>
        </is>
      </c>
      <c r="L7" s="7" t="n"/>
      <c r="M7" s="7" t="inlineStr">
        <is>
          <t>U</t>
        </is>
      </c>
      <c r="N7" s="7" t="inlineStr">
        <is>
          <t>V</t>
        </is>
      </c>
      <c r="O7" s="7" t="n"/>
      <c r="P7" s="7" t="n"/>
    </row>
    <row r="8">
      <c r="A8" s="8" t="inlineStr">
        <is>
          <t>example</t>
        </is>
      </c>
      <c r="B8" s="8" t="inlineStr">
        <is>
          <t>A1-T1</t>
        </is>
      </c>
      <c r="C8" s="8" t="inlineStr">
        <is>
          <t>Superior</t>
        </is>
      </c>
      <c r="D8" s="8" t="inlineStr">
        <is>
          <t>organic</t>
        </is>
      </c>
      <c r="E8" s="9" t="n">
        <v>2.7385</v>
      </c>
      <c r="F8" s="8" t="n">
        <v>300</v>
      </c>
      <c r="G8" s="9" t="n">
        <v>2.9211</v>
      </c>
      <c r="H8" s="8">
        <f>1000-F8</f>
        <v/>
      </c>
      <c r="I8" s="9" t="n">
        <v>3.4876</v>
      </c>
      <c r="J8" s="9">
        <f>IF(AND(ISNUMBER(E8),ISNUMBER(G8)),G8-E8,"")</f>
        <v/>
      </c>
      <c r="K8" s="9">
        <f>IF(AND(ISNUMBER(G8),ISNUMBER(I8)),I8-G8,"")</f>
        <v/>
      </c>
      <c r="L8" s="10">
        <f>IF(AND(ISNUMBER(J8),ISNUMBER(K8)),IF(J8&gt;0,(J8+K8)/J8,""),"")</f>
        <v/>
      </c>
      <c r="M8" s="8" t="n">
        <v>1.93</v>
      </c>
      <c r="N8" s="8" t="n"/>
      <c r="O8" s="8" t="inlineStr">
        <is>
          <t>fresh (example)</t>
        </is>
      </c>
      <c r="P8" s="8" t="n"/>
    </row>
    <row r="9">
      <c r="A9" s="11" t="inlineStr">
        <is>
          <t>C2</t>
        </is>
      </c>
      <c r="B9" s="11" t="inlineStr">
        <is>
          <t>C2-B1</t>
        </is>
      </c>
      <c r="C9" s="11" t="inlineStr">
        <is>
          <t>Inferior</t>
        </is>
      </c>
      <c r="D9" s="11" t="inlineStr">
        <is>
          <t>aqueous</t>
        </is>
      </c>
      <c r="E9" s="12" t="n"/>
      <c r="F9" s="13" t="n">
        <v>300</v>
      </c>
      <c r="G9" s="12" t="n"/>
      <c r="H9" s="11">
        <f>1000-F9</f>
        <v/>
      </c>
      <c r="I9" s="12" t="n"/>
      <c r="J9" s="14">
        <f>IF(AND(ISNUMBER(E9),ISNUMBER(G9)),G9-E9,"")</f>
        <v/>
      </c>
      <c r="K9" s="14">
        <f>IF(AND(ISNUMBER(G9),ISNUMBER(I9)),I9-G9,"")</f>
        <v/>
      </c>
      <c r="L9" s="15">
        <f>IF(AND(ISNUMBER(J9),ISNUMBER(K9)),IF(J9&gt;0,(J9+K9)/J9,""),"")</f>
        <v/>
      </c>
      <c r="M9" s="16" t="n"/>
      <c r="N9" s="16" t="n"/>
      <c r="O9" s="11" t="inlineStr">
        <is>
          <t>n/a: by difference</t>
        </is>
      </c>
      <c r="P9" s="13" t="n"/>
    </row>
    <row r="10">
      <c r="A10" s="3" t="inlineStr">
        <is>
          <t>C2</t>
        </is>
      </c>
      <c r="B10" s="3" t="inlineStr">
        <is>
          <t>C2-B2</t>
        </is>
      </c>
      <c r="C10" s="3" t="inlineStr">
        <is>
          <t>Inferior</t>
        </is>
      </c>
      <c r="D10" s="3" t="inlineStr">
        <is>
          <t>aqueous</t>
        </is>
      </c>
      <c r="E10" s="17" t="n"/>
      <c r="F10" s="18" t="n">
        <v>300</v>
      </c>
      <c r="G10" s="17" t="n"/>
      <c r="H10" s="3">
        <f>1000-F10</f>
        <v/>
      </c>
      <c r="I10" s="17" t="n"/>
      <c r="J10" s="19">
        <f>IF(AND(ISNUMBER(E10),ISNUMBER(G10)),G10-E10,"")</f>
        <v/>
      </c>
      <c r="K10" s="19">
        <f>IF(AND(ISNUMBER(G10),ISNUMBER(I10)),I10-G10,"")</f>
        <v/>
      </c>
      <c r="L10" s="20">
        <f>IF(AND(ISNUMBER(J10),ISNUMBER(K10)),IF(J10&gt;0,(J10+K10)/J10,""),"")</f>
        <v/>
      </c>
      <c r="M10" s="5" t="n"/>
      <c r="N10" s="5" t="n"/>
      <c r="O10" s="3" t="inlineStr">
        <is>
          <t>n/a: by difference</t>
        </is>
      </c>
      <c r="P10" s="18" t="n"/>
    </row>
    <row r="11">
      <c r="A11" s="11" t="inlineStr">
        <is>
          <t>BIN5</t>
        </is>
      </c>
      <c r="B11" s="11" t="inlineStr">
        <is>
          <t>BIN5-B1</t>
        </is>
      </c>
      <c r="C11" s="11" t="inlineStr">
        <is>
          <t>Inferior</t>
        </is>
      </c>
      <c r="D11" s="11" t="inlineStr">
        <is>
          <t>aqueous</t>
        </is>
      </c>
      <c r="E11" s="12" t="n"/>
      <c r="F11" s="13" t="n">
        <v>300</v>
      </c>
      <c r="G11" s="12" t="n"/>
      <c r="H11" s="11">
        <f>1000-F11</f>
        <v/>
      </c>
      <c r="I11" s="12" t="n"/>
      <c r="J11" s="14">
        <f>IF(AND(ISNUMBER(E11),ISNUMBER(G11)),G11-E11,"")</f>
        <v/>
      </c>
      <c r="K11" s="14">
        <f>IF(AND(ISNUMBER(G11),ISNUMBER(I11)),I11-G11,"")</f>
        <v/>
      </c>
      <c r="L11" s="15">
        <f>IF(AND(ISNUMBER(J11),ISNUMBER(K11)),IF(J11&gt;0,(J11+K11)/J11,""),"")</f>
        <v/>
      </c>
      <c r="M11" s="16" t="n"/>
      <c r="N11" s="16" t="n"/>
      <c r="O11" s="11" t="inlineStr">
        <is>
          <t>n/a: by difference</t>
        </is>
      </c>
      <c r="P11" s="13" t="n"/>
    </row>
    <row r="12">
      <c r="A12" s="3" t="inlineStr">
        <is>
          <t>BIN5</t>
        </is>
      </c>
      <c r="B12" s="3" t="inlineStr">
        <is>
          <t>BIN5-B2</t>
        </is>
      </c>
      <c r="C12" s="3" t="inlineStr">
        <is>
          <t>Inferior</t>
        </is>
      </c>
      <c r="D12" s="3" t="inlineStr">
        <is>
          <t>aqueous</t>
        </is>
      </c>
      <c r="E12" s="17" t="n"/>
      <c r="F12" s="18" t="n">
        <v>300</v>
      </c>
      <c r="G12" s="17" t="n"/>
      <c r="H12" s="3">
        <f>1000-F12</f>
        <v/>
      </c>
      <c r="I12" s="17" t="n"/>
      <c r="J12" s="19">
        <f>IF(AND(ISNUMBER(E12),ISNUMBER(G12)),G12-E12,"")</f>
        <v/>
      </c>
      <c r="K12" s="19">
        <f>IF(AND(ISNUMBER(G12),ISNUMBER(I12)),I12-G12,"")</f>
        <v/>
      </c>
      <c r="L12" s="20">
        <f>IF(AND(ISNUMBER(J12),ISNUMBER(K12)),IF(J12&gt;0,(J12+K12)/J12,""),"")</f>
        <v/>
      </c>
      <c r="M12" s="5" t="n"/>
      <c r="N12" s="5" t="n"/>
      <c r="O12" s="3" t="inlineStr">
        <is>
          <t>n/a: by difference</t>
        </is>
      </c>
      <c r="P12" s="18" t="n"/>
    </row>
    <row r="13">
      <c r="A13" s="11" t="inlineStr">
        <is>
          <t>H2</t>
        </is>
      </c>
      <c r="B13" s="11" t="inlineStr">
        <is>
          <t>H2-T1</t>
        </is>
      </c>
      <c r="C13" s="11" t="inlineStr">
        <is>
          <t>Superior</t>
        </is>
      </c>
      <c r="D13" s="11" t="inlineStr">
        <is>
          <t>aqueous</t>
        </is>
      </c>
      <c r="E13" s="12" t="n"/>
      <c r="F13" s="13" t="n">
        <v>300</v>
      </c>
      <c r="G13" s="12" t="n"/>
      <c r="H13" s="11">
        <f>1000-F13</f>
        <v/>
      </c>
      <c r="I13" s="12" t="n"/>
      <c r="J13" s="14">
        <f>IF(AND(ISNUMBER(E13),ISNUMBER(G13)),G13-E13,"")</f>
        <v/>
      </c>
      <c r="K13" s="14">
        <f>IF(AND(ISNUMBER(G13),ISNUMBER(I13)),I13-G13,"")</f>
        <v/>
      </c>
      <c r="L13" s="15">
        <f>IF(AND(ISNUMBER(J13),ISNUMBER(K13)),IF(J13&gt;0,(J13+K13)/J13,""),"")</f>
        <v/>
      </c>
      <c r="M13" s="16" t="n"/>
      <c r="N13" s="16" t="n"/>
      <c r="O13" s="11" t="inlineStr">
        <is>
          <t>n/a: by difference</t>
        </is>
      </c>
      <c r="P13" s="13" t="n"/>
    </row>
    <row r="14">
      <c r="A14" s="3" t="inlineStr">
        <is>
          <t>H2</t>
        </is>
      </c>
      <c r="B14" s="3" t="inlineStr">
        <is>
          <t>H2-T2</t>
        </is>
      </c>
      <c r="C14" s="3" t="inlineStr">
        <is>
          <t>Superior</t>
        </is>
      </c>
      <c r="D14" s="3" t="inlineStr">
        <is>
          <t>aqueous</t>
        </is>
      </c>
      <c r="E14" s="17" t="n"/>
      <c r="F14" s="18" t="n">
        <v>300</v>
      </c>
      <c r="G14" s="17" t="n"/>
      <c r="H14" s="3">
        <f>1000-F14</f>
        <v/>
      </c>
      <c r="I14" s="17" t="n"/>
      <c r="J14" s="19">
        <f>IF(AND(ISNUMBER(E14),ISNUMBER(G14)),G14-E14,"")</f>
        <v/>
      </c>
      <c r="K14" s="19">
        <f>IF(AND(ISNUMBER(G14),ISNUMBER(I14)),I14-G14,"")</f>
        <v/>
      </c>
      <c r="L14" s="20">
        <f>IF(AND(ISNUMBER(J14),ISNUMBER(K14)),IF(J14&gt;0,(J14+K14)/J14,""),"")</f>
        <v/>
      </c>
      <c r="M14" s="5" t="n"/>
      <c r="N14" s="5" t="n"/>
      <c r="O14" s="3" t="inlineStr">
        <is>
          <t>n/a: by difference</t>
        </is>
      </c>
      <c r="P14" s="18" t="n"/>
    </row>
    <row r="15">
      <c r="A15" s="11" t="inlineStr">
        <is>
          <t>H5</t>
        </is>
      </c>
      <c r="B15" s="11" t="inlineStr">
        <is>
          <t>H5-B1</t>
        </is>
      </c>
      <c r="C15" s="11" t="inlineStr">
        <is>
          <t>Inferior</t>
        </is>
      </c>
      <c r="D15" s="11" t="inlineStr">
        <is>
          <t>aqueous</t>
        </is>
      </c>
      <c r="E15" s="12" t="n"/>
      <c r="F15" s="13" t="n">
        <v>300</v>
      </c>
      <c r="G15" s="12" t="n"/>
      <c r="H15" s="11">
        <f>1000-F15</f>
        <v/>
      </c>
      <c r="I15" s="12" t="n"/>
      <c r="J15" s="14">
        <f>IF(AND(ISNUMBER(E15),ISNUMBER(G15)),G15-E15,"")</f>
        <v/>
      </c>
      <c r="K15" s="14">
        <f>IF(AND(ISNUMBER(G15),ISNUMBER(I15)),I15-G15,"")</f>
        <v/>
      </c>
      <c r="L15" s="15">
        <f>IF(AND(ISNUMBER(J15),ISNUMBER(K15)),IF(J15&gt;0,(J15+K15)/J15,""),"")</f>
        <v/>
      </c>
      <c r="M15" s="16" t="n"/>
      <c r="N15" s="16" t="n"/>
      <c r="O15" s="11" t="inlineStr">
        <is>
          <t>n/a: by difference</t>
        </is>
      </c>
      <c r="P15" s="13" t="n"/>
    </row>
    <row r="16">
      <c r="A16" s="3" t="inlineStr">
        <is>
          <t>H5</t>
        </is>
      </c>
      <c r="B16" s="3" t="inlineStr">
        <is>
          <t>H5-B2</t>
        </is>
      </c>
      <c r="C16" s="3" t="inlineStr">
        <is>
          <t>Inferior</t>
        </is>
      </c>
      <c r="D16" s="3" t="inlineStr">
        <is>
          <t>aqueous</t>
        </is>
      </c>
      <c r="E16" s="17" t="n"/>
      <c r="F16" s="18" t="n">
        <v>300</v>
      </c>
      <c r="G16" s="17" t="n"/>
      <c r="H16" s="3">
        <f>1000-F16</f>
        <v/>
      </c>
      <c r="I16" s="17" t="n"/>
      <c r="J16" s="19">
        <f>IF(AND(ISNUMBER(E16),ISNUMBER(G16)),G16-E16,"")</f>
        <v/>
      </c>
      <c r="K16" s="19">
        <f>IF(AND(ISNUMBER(G16),ISNUMBER(I16)),I16-G16,"")</f>
        <v/>
      </c>
      <c r="L16" s="20">
        <f>IF(AND(ISNUMBER(J16),ISNUMBER(K16)),IF(J16&gt;0,(J16+K16)/J16,""),"")</f>
        <v/>
      </c>
      <c r="M16" s="5" t="n"/>
      <c r="N16" s="5" t="n"/>
      <c r="O16" s="3" t="inlineStr">
        <is>
          <t>n/a: by difference</t>
        </is>
      </c>
      <c r="P16" s="18" t="n"/>
    </row>
    <row r="17">
      <c r="A17" s="11" t="inlineStr">
        <is>
          <t>I4</t>
        </is>
      </c>
      <c r="B17" s="11" t="inlineStr">
        <is>
          <t>I4-T1</t>
        </is>
      </c>
      <c r="C17" s="11" t="inlineStr">
        <is>
          <t>Superior</t>
        </is>
      </c>
      <c r="D17" s="11" t="inlineStr">
        <is>
          <t>aqueous</t>
        </is>
      </c>
      <c r="E17" s="12" t="n"/>
      <c r="F17" s="13" t="n">
        <v>300</v>
      </c>
      <c r="G17" s="12" t="n"/>
      <c r="H17" s="11">
        <f>1000-F17</f>
        <v/>
      </c>
      <c r="I17" s="12" t="n"/>
      <c r="J17" s="14">
        <f>IF(AND(ISNUMBER(E17),ISNUMBER(G17)),G17-E17,"")</f>
        <v/>
      </c>
      <c r="K17" s="14">
        <f>IF(AND(ISNUMBER(G17),ISNUMBER(I17)),I17-G17,"")</f>
        <v/>
      </c>
      <c r="L17" s="15">
        <f>IF(AND(ISNUMBER(J17),ISNUMBER(K17)),IF(J17&gt;0,(J17+K17)/J17,""),"")</f>
        <v/>
      </c>
      <c r="M17" s="16" t="n"/>
      <c r="N17" s="16" t="n"/>
      <c r="O17" s="11" t="inlineStr">
        <is>
          <t>n/a: by difference</t>
        </is>
      </c>
      <c r="P17" s="13" t="n"/>
    </row>
    <row r="18">
      <c r="A18" s="3" t="inlineStr">
        <is>
          <t>I4</t>
        </is>
      </c>
      <c r="B18" s="3" t="inlineStr">
        <is>
          <t>I4-T2</t>
        </is>
      </c>
      <c r="C18" s="3" t="inlineStr">
        <is>
          <t>Superior</t>
        </is>
      </c>
      <c r="D18" s="3" t="inlineStr">
        <is>
          <t>aqueous</t>
        </is>
      </c>
      <c r="E18" s="17" t="n"/>
      <c r="F18" s="18" t="n">
        <v>300</v>
      </c>
      <c r="G18" s="17" t="n"/>
      <c r="H18" s="3">
        <f>1000-F18</f>
        <v/>
      </c>
      <c r="I18" s="17" t="n"/>
      <c r="J18" s="19">
        <f>IF(AND(ISNUMBER(E18),ISNUMBER(G18)),G18-E18,"")</f>
        <v/>
      </c>
      <c r="K18" s="19">
        <f>IF(AND(ISNUMBER(G18),ISNUMBER(I18)),I18-G18,"")</f>
        <v/>
      </c>
      <c r="L18" s="20">
        <f>IF(AND(ISNUMBER(J18),ISNUMBER(K18)),IF(J18&gt;0,(J18+K18)/J18,""),"")</f>
        <v/>
      </c>
      <c r="M18" s="5" t="n"/>
      <c r="N18" s="5" t="n"/>
      <c r="O18" s="3" t="inlineStr">
        <is>
          <t>n/a: by difference</t>
        </is>
      </c>
      <c r="P18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E9:G9 E10:G10 E11:G11 E12:G12 E13:G13 E14:G14 E15:G15 E16:G16 E17:G17 E18:G18 I9 I10 I11 I12 I13 I14 I15 I16 I17 I18" showDropDown="0" showInputMessage="0" showErrorMessage="1" allowBlank="0" error="A number between 0 and 100" type="decimal">
      <formula1>0</formula1>
      <formula2>100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2026-09-29T00:07:54Z</dcterms:created>
  <dcterms:modified xsi:type="dcterms:W3CDTF">2026-09-29T00:07:54Z</dcterms:modified>
</cp:coreProperties>
</file>