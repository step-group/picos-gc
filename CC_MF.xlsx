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slormazabal_uc_cl/Documents/Trabajo Fleck/"/>
    </mc:Choice>
  </mc:AlternateContent>
  <xr:revisionPtr revIDLastSave="250" documentId="11_1C614EF5BBB4BABB9D1AA3C0CE073FCD7499BC7B" xr6:coauthVersionLast="47" xr6:coauthVersionMax="47" xr10:uidLastSave="{024F17D8-B90B-4F3D-8C93-C382327B0A53}"/>
  <bookViews>
    <workbookView xWindow="-98" yWindow="-98" windowWidth="21795" windowHeight="12975" tabRatio="728" activeTab="3" xr2:uid="{00000000-000D-0000-FFFF-FFFF00000000}"/>
  </bookViews>
  <sheets>
    <sheet name="eugenol" sheetId="9" r:id="rId1"/>
    <sheet name="carvacrol" sheetId="8" r:id="rId2"/>
    <sheet name="geraniol" sheetId="7" r:id="rId3"/>
    <sheet name="camphor" sheetId="6" r:id="rId4"/>
    <sheet name="carvone" sheetId="5" r:id="rId5"/>
    <sheet name="thymol" sheetId="4" r:id="rId6"/>
    <sheet name="2pe" sheetId="3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8" l="1"/>
  <c r="H25" i="8"/>
  <c r="I24" i="8"/>
  <c r="H24" i="8"/>
  <c r="B24" i="8"/>
  <c r="I23" i="8"/>
  <c r="H23" i="8"/>
  <c r="B23" i="8"/>
  <c r="I22" i="8"/>
  <c r="H22" i="8"/>
  <c r="B22" i="8"/>
  <c r="I21" i="8"/>
  <c r="H21" i="8"/>
  <c r="B21" i="8"/>
  <c r="I20" i="8"/>
  <c r="H20" i="8"/>
  <c r="B20" i="8"/>
  <c r="K12" i="8"/>
  <c r="N19" i="8" s="1"/>
  <c r="H7" i="8"/>
  <c r="E12" i="8" s="1"/>
  <c r="G7" i="8"/>
  <c r="D12" i="8" s="1"/>
  <c r="I25" i="7"/>
  <c r="H25" i="7"/>
  <c r="I24" i="7"/>
  <c r="H24" i="7"/>
  <c r="B24" i="7"/>
  <c r="I23" i="7"/>
  <c r="H23" i="7"/>
  <c r="B23" i="7"/>
  <c r="I22" i="7"/>
  <c r="H22" i="7"/>
  <c r="B22" i="7"/>
  <c r="I21" i="7"/>
  <c r="H21" i="7"/>
  <c r="B21" i="7"/>
  <c r="I20" i="7"/>
  <c r="H20" i="7"/>
  <c r="B20" i="7"/>
  <c r="K12" i="7"/>
  <c r="D12" i="7"/>
  <c r="H7" i="7"/>
  <c r="E12" i="7" s="1"/>
  <c r="G7" i="7"/>
  <c r="I25" i="6"/>
  <c r="H25" i="6"/>
  <c r="I24" i="6"/>
  <c r="H24" i="6"/>
  <c r="B24" i="6"/>
  <c r="I23" i="6"/>
  <c r="H23" i="6"/>
  <c r="B23" i="6"/>
  <c r="I22" i="6"/>
  <c r="H22" i="6"/>
  <c r="B22" i="6"/>
  <c r="I21" i="6"/>
  <c r="H21" i="6"/>
  <c r="B21" i="6"/>
  <c r="I20" i="6"/>
  <c r="H20" i="6"/>
  <c r="B20" i="6"/>
  <c r="K12" i="6"/>
  <c r="N19" i="6" s="1"/>
  <c r="H7" i="6"/>
  <c r="E12" i="6" s="1"/>
  <c r="G7" i="6"/>
  <c r="D12" i="6" s="1"/>
  <c r="I25" i="5"/>
  <c r="H25" i="5"/>
  <c r="I24" i="5"/>
  <c r="H24" i="5"/>
  <c r="B24" i="5"/>
  <c r="I23" i="5"/>
  <c r="H23" i="5"/>
  <c r="B23" i="5"/>
  <c r="I22" i="5"/>
  <c r="H22" i="5"/>
  <c r="B22" i="5"/>
  <c r="I21" i="5"/>
  <c r="H21" i="5"/>
  <c r="B21" i="5"/>
  <c r="I20" i="5"/>
  <c r="H20" i="5"/>
  <c r="B20" i="5"/>
  <c r="K12" i="5"/>
  <c r="N19" i="5" s="1"/>
  <c r="D12" i="5"/>
  <c r="H7" i="5"/>
  <c r="E12" i="5" s="1"/>
  <c r="G7" i="5"/>
  <c r="I25" i="4"/>
  <c r="H25" i="4"/>
  <c r="I24" i="4"/>
  <c r="H24" i="4"/>
  <c r="B24" i="4"/>
  <c r="I23" i="4"/>
  <c r="H23" i="4"/>
  <c r="B23" i="4"/>
  <c r="I22" i="4"/>
  <c r="H22" i="4"/>
  <c r="B22" i="4"/>
  <c r="I21" i="4"/>
  <c r="H21" i="4"/>
  <c r="B21" i="4"/>
  <c r="I20" i="4"/>
  <c r="H20" i="4"/>
  <c r="B20" i="4"/>
  <c r="K12" i="4"/>
  <c r="N19" i="4" s="1"/>
  <c r="H7" i="4"/>
  <c r="E12" i="4" s="1"/>
  <c r="G7" i="4"/>
  <c r="D12" i="4" s="1"/>
  <c r="I25" i="3"/>
  <c r="H25" i="3"/>
  <c r="I24" i="3"/>
  <c r="H24" i="3"/>
  <c r="B24" i="3"/>
  <c r="I23" i="3"/>
  <c r="H23" i="3"/>
  <c r="B23" i="3"/>
  <c r="I22" i="3"/>
  <c r="H22" i="3"/>
  <c r="B22" i="3"/>
  <c r="I21" i="3"/>
  <c r="H21" i="3"/>
  <c r="B21" i="3"/>
  <c r="I20" i="3"/>
  <c r="H20" i="3"/>
  <c r="B20" i="3"/>
  <c r="K12" i="3"/>
  <c r="D12" i="3"/>
  <c r="H7" i="3"/>
  <c r="E12" i="3" s="1"/>
  <c r="G7" i="3"/>
  <c r="I25" i="9"/>
  <c r="H25" i="9"/>
  <c r="I24" i="9"/>
  <c r="H24" i="9"/>
  <c r="B24" i="9"/>
  <c r="I23" i="9"/>
  <c r="H23" i="9"/>
  <c r="B23" i="9"/>
  <c r="I22" i="9"/>
  <c r="H22" i="9"/>
  <c r="B22" i="9"/>
  <c r="I21" i="9"/>
  <c r="H21" i="9"/>
  <c r="B21" i="9"/>
  <c r="I20" i="9"/>
  <c r="H20" i="9"/>
  <c r="B20" i="9"/>
  <c r="K12" i="9"/>
  <c r="H7" i="9"/>
  <c r="E12" i="9" s="1"/>
  <c r="G7" i="9"/>
  <c r="D12" i="9" s="1"/>
  <c r="J24" i="3" l="1"/>
  <c r="K25" i="8"/>
  <c r="J25" i="8"/>
  <c r="L25" i="8" s="1"/>
  <c r="J24" i="8"/>
  <c r="K24" i="8"/>
  <c r="J23" i="8"/>
  <c r="K23" i="8"/>
  <c r="K22" i="8"/>
  <c r="J22" i="8"/>
  <c r="L22" i="8" s="1"/>
  <c r="N22" i="8" s="1"/>
  <c r="K21" i="8"/>
  <c r="J21" i="8"/>
  <c r="K20" i="8"/>
  <c r="J20" i="8"/>
  <c r="K25" i="7"/>
  <c r="J25" i="7"/>
  <c r="L25" i="7" s="1"/>
  <c r="J23" i="7"/>
  <c r="K23" i="7"/>
  <c r="J22" i="7"/>
  <c r="K22" i="7"/>
  <c r="J21" i="7"/>
  <c r="K21" i="7"/>
  <c r="J20" i="7"/>
  <c r="K20" i="7"/>
  <c r="K24" i="7"/>
  <c r="J24" i="7"/>
  <c r="L24" i="7" s="1"/>
  <c r="N24" i="7" s="1"/>
  <c r="N19" i="7"/>
  <c r="K25" i="6"/>
  <c r="J25" i="6"/>
  <c r="K24" i="6"/>
  <c r="J24" i="6"/>
  <c r="L24" i="6" s="1"/>
  <c r="N24" i="6" s="1"/>
  <c r="K23" i="6"/>
  <c r="J23" i="6"/>
  <c r="L23" i="6" s="1"/>
  <c r="N23" i="6" s="1"/>
  <c r="J22" i="6"/>
  <c r="K22" i="6"/>
  <c r="K21" i="6"/>
  <c r="J21" i="6"/>
  <c r="K20" i="6"/>
  <c r="J20" i="6"/>
  <c r="K25" i="5"/>
  <c r="J25" i="5"/>
  <c r="J24" i="5"/>
  <c r="K24" i="5"/>
  <c r="J23" i="5"/>
  <c r="K23" i="5"/>
  <c r="K22" i="5"/>
  <c r="J22" i="5"/>
  <c r="J21" i="5"/>
  <c r="K21" i="5"/>
  <c r="J20" i="5"/>
  <c r="K20" i="5"/>
  <c r="J25" i="4"/>
  <c r="K25" i="4"/>
  <c r="J24" i="4"/>
  <c r="K24" i="4"/>
  <c r="J23" i="4"/>
  <c r="K23" i="4"/>
  <c r="K22" i="4"/>
  <c r="J22" i="4"/>
  <c r="L22" i="4" s="1"/>
  <c r="N22" i="4" s="1"/>
  <c r="K21" i="4"/>
  <c r="J21" i="4"/>
  <c r="L21" i="4" s="1"/>
  <c r="N21" i="4" s="1"/>
  <c r="K20" i="4"/>
  <c r="J20" i="4"/>
  <c r="L20" i="4" s="1"/>
  <c r="N20" i="4" s="1"/>
  <c r="K25" i="3"/>
  <c r="J25" i="3"/>
  <c r="J23" i="3"/>
  <c r="K23" i="3"/>
  <c r="J22" i="3"/>
  <c r="K22" i="3"/>
  <c r="J21" i="3"/>
  <c r="K21" i="3"/>
  <c r="K20" i="3"/>
  <c r="J20" i="3"/>
  <c r="L20" i="3" s="1"/>
  <c r="N20" i="3" s="1"/>
  <c r="K24" i="3"/>
  <c r="L24" i="3" s="1"/>
  <c r="N24" i="3" s="1"/>
  <c r="N19" i="3"/>
  <c r="J25" i="9"/>
  <c r="K25" i="9"/>
  <c r="K23" i="9"/>
  <c r="J23" i="9"/>
  <c r="K22" i="9"/>
  <c r="J22" i="9"/>
  <c r="L22" i="9" s="1"/>
  <c r="N22" i="9" s="1"/>
  <c r="K21" i="9"/>
  <c r="J21" i="9"/>
  <c r="K20" i="9"/>
  <c r="J20" i="9"/>
  <c r="J24" i="9"/>
  <c r="K24" i="9"/>
  <c r="N19" i="9"/>
  <c r="L20" i="6" l="1"/>
  <c r="N20" i="6" s="1"/>
  <c r="L21" i="6"/>
  <c r="N21" i="6" s="1"/>
  <c r="L25" i="6"/>
  <c r="L23" i="7"/>
  <c r="N23" i="7" s="1"/>
  <c r="L23" i="9"/>
  <c r="N23" i="9" s="1"/>
  <c r="L25" i="9"/>
  <c r="L21" i="9"/>
  <c r="N21" i="9" s="1"/>
  <c r="L20" i="9"/>
  <c r="N20" i="9" s="1"/>
  <c r="L20" i="8"/>
  <c r="N20" i="8" s="1"/>
  <c r="L21" i="8"/>
  <c r="N21" i="8" s="1"/>
  <c r="L23" i="8"/>
  <c r="N23" i="8" s="1"/>
  <c r="L22" i="5"/>
  <c r="N22" i="5" s="1"/>
  <c r="L25" i="5"/>
  <c r="L20" i="5"/>
  <c r="N20" i="5" s="1"/>
  <c r="L25" i="3"/>
  <c r="L23" i="3"/>
  <c r="N23" i="3" s="1"/>
  <c r="L23" i="4"/>
  <c r="N23" i="4" s="1"/>
  <c r="L25" i="4"/>
  <c r="L24" i="4"/>
  <c r="N24" i="4" s="1"/>
  <c r="L22" i="7"/>
  <c r="N22" i="7" s="1"/>
  <c r="L21" i="7"/>
  <c r="N21" i="7" s="1"/>
  <c r="L20" i="7"/>
  <c r="N20" i="7" s="1"/>
  <c r="L22" i="6"/>
  <c r="N22" i="6" s="1"/>
  <c r="L24" i="5"/>
  <c r="N24" i="5" s="1"/>
  <c r="L23" i="5"/>
  <c r="N23" i="5" s="1"/>
  <c r="L21" i="5"/>
  <c r="N21" i="5" s="1"/>
  <c r="L22" i="3"/>
  <c r="N22" i="3" s="1"/>
  <c r="L21" i="3"/>
  <c r="N21" i="3" s="1"/>
  <c r="L24" i="9"/>
  <c r="N24" i="9" s="1"/>
  <c r="L24" i="8"/>
  <c r="N24" i="8" s="1"/>
</calcChain>
</file>

<file path=xl/sharedStrings.xml><?xml version="1.0" encoding="utf-8"?>
<sst xmlns="http://schemas.openxmlformats.org/spreadsheetml/2006/main" count="301" uniqueCount="73">
  <si>
    <t>densidad 2-propanol</t>
  </si>
  <si>
    <t>g/cm3</t>
  </si>
  <si>
    <t>masa total</t>
  </si>
  <si>
    <t>gramos</t>
  </si>
  <si>
    <t>tiempo</t>
  </si>
  <si>
    <t>min</t>
  </si>
  <si>
    <t>Objetivo</t>
  </si>
  <si>
    <t>w_2propanol</t>
  </si>
  <si>
    <t>m_2propanol, g</t>
  </si>
  <si>
    <t>Preparación solución madre (SM)</t>
  </si>
  <si>
    <t>Real (anotar)</t>
  </si>
  <si>
    <t>V2P, mL</t>
  </si>
  <si>
    <t>Preparación diluciones a partir de SM</t>
  </si>
  <si>
    <t>Pend</t>
  </si>
  <si>
    <t>V_objetivo, uL</t>
  </si>
  <si>
    <t>Real</t>
  </si>
  <si>
    <t>% m/m</t>
  </si>
  <si>
    <t>Área</t>
  </si>
  <si>
    <t>vial, g</t>
  </si>
  <si>
    <t>SM + vial, g</t>
  </si>
  <si>
    <t>SM + vial + 2P, g</t>
  </si>
  <si>
    <t>SM, g</t>
  </si>
  <si>
    <t>2P, g</t>
  </si>
  <si>
    <t>E1</t>
  </si>
  <si>
    <t>E2</t>
  </si>
  <si>
    <t>E3</t>
  </si>
  <si>
    <t>E4</t>
  </si>
  <si>
    <t>E5</t>
  </si>
  <si>
    <t>vial con SM</t>
  </si>
  <si>
    <t>densidad 2pe</t>
  </si>
  <si>
    <t>w_2pe</t>
  </si>
  <si>
    <t>m_2pe, g</t>
  </si>
  <si>
    <t>V_2pe, mL</t>
  </si>
  <si>
    <t>V_SM, mL</t>
  </si>
  <si>
    <t>V_2P, mL</t>
  </si>
  <si>
    <t>2pe, g</t>
  </si>
  <si>
    <t>X2pe</t>
  </si>
  <si>
    <t>densidad thymol</t>
  </si>
  <si>
    <t>w_thymol</t>
  </si>
  <si>
    <t>m_thymol, g</t>
  </si>
  <si>
    <t>V_thymol, g</t>
  </si>
  <si>
    <t>thymol, g</t>
  </si>
  <si>
    <t>Xthymol</t>
  </si>
  <si>
    <t>densidad carvone</t>
  </si>
  <si>
    <t>w_carvone</t>
  </si>
  <si>
    <t>m_carvone, g</t>
  </si>
  <si>
    <t>V_carvone, mL</t>
  </si>
  <si>
    <t>carvone, g</t>
  </si>
  <si>
    <t>Xcarvone</t>
  </si>
  <si>
    <t>densidad camphor</t>
  </si>
  <si>
    <t>w_camphor</t>
  </si>
  <si>
    <t>m_camphor, g</t>
  </si>
  <si>
    <t>V_camphor, g</t>
  </si>
  <si>
    <t>camphor, g</t>
  </si>
  <si>
    <t>Xcamphor</t>
  </si>
  <si>
    <t>densidad geraniol</t>
  </si>
  <si>
    <t>w_geraniol</t>
  </si>
  <si>
    <t>m_geraniol, g</t>
  </si>
  <si>
    <t>V_geraniol, mL</t>
  </si>
  <si>
    <t>geraniol, g</t>
  </si>
  <si>
    <t>Xgeraniol</t>
  </si>
  <si>
    <t>densidad carvacrol</t>
  </si>
  <si>
    <t>w_carvacrol</t>
  </si>
  <si>
    <t>m_carvacrol, g</t>
  </si>
  <si>
    <t>V_carvacrol, mL</t>
  </si>
  <si>
    <t>carvacrol, g</t>
  </si>
  <si>
    <t>Xcarvacrol</t>
  </si>
  <si>
    <t>densidad eugenol</t>
  </si>
  <si>
    <t>w_eugenol</t>
  </si>
  <si>
    <t>m_eugenol, g</t>
  </si>
  <si>
    <t>V_eugenol, mL</t>
  </si>
  <si>
    <t>eugenol, g</t>
  </si>
  <si>
    <t>Xeugenol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</si>
</sst>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BF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7" tint="0.39988402966399123"/>
        <bgColor rgb="FFFFFF99"/>
      </patternFill>
    </fill>
    <fill>
      <patternFill patternType="solid">
        <fgColor rgb="FFFFC000"/>
        <bgColor rgb="FFFFBF00"/>
      </patternFill>
    </fill>
    <fill>
      <patternFill patternType="solid">
        <fgColor rgb="FF92D050"/>
        <bgColor rgb="FF81D41A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5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4" borderId="5" xfId="0" applyFont="1" applyFill="1" applyBorder="1"/>
    <xf numFmtId="164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8" xfId="0" applyFill="1" applyBorder="1"/>
    <xf numFmtId="0" fontId="1" fillId="3" borderId="10" xfId="0" applyFont="1" applyFill="1" applyBorder="1"/>
    <xf numFmtId="0" fontId="0" fillId="0" borderId="11" xfId="0" applyBorder="1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4" fillId="0" borderId="0" xfId="0" applyNumberFormat="1" applyFont="1"/>
    <xf numFmtId="2" fontId="5" fillId="0" borderId="0" xfId="0" applyNumberFormat="1" applyFont="1"/>
    <xf numFmtId="0" fontId="0" fillId="0" borderId="4" xfId="0" applyFill="1" applyBorder="1" applyAlignment="1">
      <alignment horizontal="center" vertic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81D41A"/>
      <rgbColor rgb="FFFFC000"/>
      <rgbColor rgb="FFFFBF00"/>
      <rgbColor rgb="FFFF6600"/>
      <rgbColor rgb="FF595959"/>
      <rgbColor rgb="FF92D05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2865441819772526"/>
                  <c:y val="8.8425925925925929E-3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eugenol!$N$19:$N$24</c:f>
              <c:numCache>
                <c:formatCode>General</c:formatCode>
                <c:ptCount val="6"/>
                <c:pt idx="0">
                  <c:v>29.544638940946605</c:v>
                </c:pt>
                <c:pt idx="1">
                  <c:v>15.433932574344702</c:v>
                </c:pt>
                <c:pt idx="2">
                  <c:v>6.3946655237819661</c:v>
                </c:pt>
                <c:pt idx="3">
                  <c:v>3.3625597979893374</c:v>
                </c:pt>
                <c:pt idx="4">
                  <c:v>1.5714826717651218</c:v>
                </c:pt>
                <c:pt idx="5">
                  <c:v>0.63380848593916406</c:v>
                </c:pt>
              </c:numCache>
            </c:numRef>
          </c:xVal>
          <c:yVal>
            <c:numRef>
              <c:f>eugenol!$O$19:$O$24</c:f>
              <c:numCache>
                <c:formatCode>General</c:formatCode>
                <c:ptCount val="6"/>
                <c:pt idx="0">
                  <c:v>4224.0092000000004</c:v>
                </c:pt>
                <c:pt idx="1">
                  <c:v>2197.8330999999998</c:v>
                </c:pt>
                <c:pt idx="2">
                  <c:v>888.13980000000004</c:v>
                </c:pt>
                <c:pt idx="3">
                  <c:v>463.78930000000003</c:v>
                </c:pt>
                <c:pt idx="4">
                  <c:v>203.90309999999999</c:v>
                </c:pt>
                <c:pt idx="5">
                  <c:v>79.262600000000006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3-4833-9B10-01EB56AC3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60143"/>
        <c:axId val="600064943"/>
      </c:scatterChart>
      <c:valAx>
        <c:axId val="60006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64943"/>
        <c:crosses val="autoZero"/>
        <c:crossBetween val="midCat"/>
      </c:valAx>
      <c:valAx>
        <c:axId val="60006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6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867322834645668"/>
                  <c:y val="1.4342738407699038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carvacrol!$N$19:$N$24</c:f>
              <c:numCache>
                <c:formatCode>General</c:formatCode>
                <c:ptCount val="6"/>
                <c:pt idx="0">
                  <c:v>29.230645872589506</c:v>
                </c:pt>
                <c:pt idx="1">
                  <c:v>15.186350619965101</c:v>
                </c:pt>
                <c:pt idx="2">
                  <c:v>6.0666668142930718</c:v>
                </c:pt>
                <c:pt idx="3">
                  <c:v>3.1793682705336486</c:v>
                </c:pt>
                <c:pt idx="4">
                  <c:v>1.5056368061323446</c:v>
                </c:pt>
                <c:pt idx="5">
                  <c:v>0.63675936484502038</c:v>
                </c:pt>
              </c:numCache>
            </c:numRef>
          </c:xVal>
          <c:yVal>
            <c:numRef>
              <c:f>carvacrol!$O$19:$O$24</c:f>
              <c:numCache>
                <c:formatCode>General</c:formatCode>
                <c:ptCount val="6"/>
                <c:pt idx="0">
                  <c:v>5219.2730000000001</c:v>
                </c:pt>
                <c:pt idx="1">
                  <c:v>2686.3921999999998</c:v>
                </c:pt>
                <c:pt idx="2">
                  <c:v>1028.9743000000001</c:v>
                </c:pt>
                <c:pt idx="3">
                  <c:v>548.48630000000003</c:v>
                </c:pt>
                <c:pt idx="4">
                  <c:v>248.09030000000001</c:v>
                </c:pt>
                <c:pt idx="5">
                  <c:v>102.73269999999999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0-42FE-9F7D-4D818E516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535071"/>
        <c:axId val="262535551"/>
      </c:scatterChart>
      <c:valAx>
        <c:axId val="2625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35551"/>
        <c:crosses val="autoZero"/>
        <c:crossBetween val="midCat"/>
      </c:valAx>
      <c:valAx>
        <c:axId val="26253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3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837773403324582"/>
                  <c:y val="2.0362350539515895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geraniol!$N$19:$N$24</c:f>
              <c:numCache>
                <c:formatCode>General</c:formatCode>
                <c:ptCount val="6"/>
                <c:pt idx="0">
                  <c:v>30.904883997248451</c:v>
                </c:pt>
                <c:pt idx="1">
                  <c:v>15.53052614702152</c:v>
                </c:pt>
                <c:pt idx="2">
                  <c:v>6.565306767107784</c:v>
                </c:pt>
                <c:pt idx="3">
                  <c:v>3.3192817488414157</c:v>
                </c:pt>
                <c:pt idx="4">
                  <c:v>1.5191837342091128</c:v>
                </c:pt>
                <c:pt idx="5">
                  <c:v>0.57659880798966545</c:v>
                </c:pt>
              </c:numCache>
            </c:numRef>
          </c:xVal>
          <c:yVal>
            <c:numRef>
              <c:f>geraniol!$O$19:$O$24</c:f>
              <c:numCache>
                <c:formatCode>General</c:formatCode>
                <c:ptCount val="6"/>
                <c:pt idx="0">
                  <c:v>5153.4835999999996</c:v>
                </c:pt>
                <c:pt idx="1">
                  <c:v>2571.7307999999998</c:v>
                </c:pt>
                <c:pt idx="2">
                  <c:v>1064.0929000000001</c:v>
                </c:pt>
                <c:pt idx="3">
                  <c:v>530.38340000000005</c:v>
                </c:pt>
                <c:pt idx="4">
                  <c:v>228.066</c:v>
                </c:pt>
                <c:pt idx="5">
                  <c:v>79.783199999999994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6-47D0-BB97-377B9E74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669551"/>
        <c:axId val="268668591"/>
      </c:scatterChart>
      <c:valAx>
        <c:axId val="26866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68591"/>
        <c:crosses val="autoZero"/>
        <c:crossBetween val="midCat"/>
      </c:valAx>
      <c:valAx>
        <c:axId val="2686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6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1157677165354328"/>
                  <c:y val="0.11069444444444444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camphor!$N$19:$N$24</c:f>
              <c:numCache>
                <c:formatCode>General</c:formatCode>
                <c:ptCount val="6"/>
                <c:pt idx="0">
                  <c:v>30.202489392933984</c:v>
                </c:pt>
                <c:pt idx="1">
                  <c:v>15.49233160403219</c:v>
                </c:pt>
                <c:pt idx="2">
                  <c:v>6.4390110231887272</c:v>
                </c:pt>
                <c:pt idx="3">
                  <c:v>3.5215350702964616</c:v>
                </c:pt>
                <c:pt idx="4">
                  <c:v>1.5676848273423627</c:v>
                </c:pt>
                <c:pt idx="5">
                  <c:v>0.6392061247181785</c:v>
                </c:pt>
              </c:numCache>
            </c:numRef>
          </c:xVal>
          <c:yVal>
            <c:numRef>
              <c:f>camphor!$O$19:$O$24</c:f>
              <c:numCache>
                <c:formatCode>General</c:formatCode>
                <c:ptCount val="6"/>
                <c:pt idx="0">
                  <c:v>5244.4236000000001</c:v>
                </c:pt>
                <c:pt idx="1">
                  <c:v>2540.3285000000001</c:v>
                </c:pt>
                <c:pt idx="2">
                  <c:v>937.15269999999998</c:v>
                </c:pt>
                <c:pt idx="3">
                  <c:v>506.97680000000003</c:v>
                </c:pt>
                <c:pt idx="4">
                  <c:v>212.48159999999999</c:v>
                </c:pt>
                <c:pt idx="5">
                  <c:v>90.618099999999998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E-470A-BE49-239F29ED8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07967"/>
        <c:axId val="380906527"/>
      </c:scatterChart>
      <c:valAx>
        <c:axId val="38090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06527"/>
        <c:crosses val="autoZero"/>
        <c:crossBetween val="midCat"/>
      </c:valAx>
      <c:valAx>
        <c:axId val="3809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0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6408792650918637"/>
                  <c:y val="2.0138524351122775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carvone!$N$19:$N$24</c:f>
              <c:numCache>
                <c:formatCode>General</c:formatCode>
                <c:ptCount val="6"/>
                <c:pt idx="0">
                  <c:v>30.528941078665696</c:v>
                </c:pt>
                <c:pt idx="1">
                  <c:v>15.817775369847842</c:v>
                </c:pt>
                <c:pt idx="2">
                  <c:v>6.2229160857204535</c:v>
                </c:pt>
                <c:pt idx="3">
                  <c:v>3.0588374448708491</c:v>
                </c:pt>
                <c:pt idx="4">
                  <c:v>1.5248461655704819</c:v>
                </c:pt>
                <c:pt idx="5">
                  <c:v>0.54678700439402239</c:v>
                </c:pt>
              </c:numCache>
            </c:numRef>
          </c:xVal>
          <c:yVal>
            <c:numRef>
              <c:f>carvone!$O$19:$O$24</c:f>
              <c:numCache>
                <c:formatCode>General</c:formatCode>
                <c:ptCount val="6"/>
                <c:pt idx="0">
                  <c:v>5281.4005999999999</c:v>
                </c:pt>
                <c:pt idx="1">
                  <c:v>2653.3382999999999</c:v>
                </c:pt>
                <c:pt idx="2">
                  <c:v>979.01750000000004</c:v>
                </c:pt>
                <c:pt idx="3">
                  <c:v>471.18970000000002</c:v>
                </c:pt>
                <c:pt idx="4">
                  <c:v>223.24080000000001</c:v>
                </c:pt>
                <c:pt idx="5">
                  <c:v>72.430999999999997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3F-4191-9269-1A3A8154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484415"/>
        <c:axId val="535488255"/>
      </c:scatterChart>
      <c:valAx>
        <c:axId val="53548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88255"/>
        <c:crosses val="autoZero"/>
        <c:crossBetween val="midCat"/>
      </c:valAx>
      <c:valAx>
        <c:axId val="5354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8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5721084864391957"/>
                  <c:y val="2.2731481481481481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thymol!$N$19:$N$24</c:f>
              <c:numCache>
                <c:formatCode>General</c:formatCode>
                <c:ptCount val="6"/>
                <c:pt idx="0">
                  <c:v>30.363042794210195</c:v>
                </c:pt>
                <c:pt idx="1">
                  <c:v>16.014788343249606</c:v>
                </c:pt>
                <c:pt idx="2">
                  <c:v>6.4726340082808544</c:v>
                </c:pt>
                <c:pt idx="3">
                  <c:v>3.195062686902205</c:v>
                </c:pt>
                <c:pt idx="4">
                  <c:v>1.4893710504915487</c:v>
                </c:pt>
                <c:pt idx="5">
                  <c:v>0.62521577031372855</c:v>
                </c:pt>
              </c:numCache>
            </c:numRef>
          </c:xVal>
          <c:yVal>
            <c:numRef>
              <c:f>thymol!$O$19:$O$24</c:f>
              <c:numCache>
                <c:formatCode>General</c:formatCode>
                <c:ptCount val="6"/>
                <c:pt idx="0">
                  <c:v>5437.1275999999998</c:v>
                </c:pt>
                <c:pt idx="1">
                  <c:v>2702.3501000000001</c:v>
                </c:pt>
                <c:pt idx="2">
                  <c:v>1078.6096</c:v>
                </c:pt>
                <c:pt idx="3">
                  <c:v>545.80970000000002</c:v>
                </c:pt>
                <c:pt idx="4">
                  <c:v>235.42509999999999</c:v>
                </c:pt>
                <c:pt idx="5">
                  <c:v>94.369900000000001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E-4460-8150-B69750D97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098191"/>
        <c:axId val="380097231"/>
      </c:scatterChart>
      <c:valAx>
        <c:axId val="38009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97231"/>
        <c:crosses val="autoZero"/>
        <c:crossBetween val="midCat"/>
      </c:valAx>
      <c:valAx>
        <c:axId val="3800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9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5018678915135607"/>
                  <c:y val="8.8425925925925929E-3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'2pe'!$N$19:$N$24</c:f>
              <c:numCache>
                <c:formatCode>General</c:formatCode>
                <c:ptCount val="6"/>
                <c:pt idx="0">
                  <c:v>29.291893886588223</c:v>
                </c:pt>
                <c:pt idx="1">
                  <c:v>15.172914964898125</c:v>
                </c:pt>
                <c:pt idx="2">
                  <c:v>6.273375213660767</c:v>
                </c:pt>
                <c:pt idx="3">
                  <c:v>3.2736036326866813</c:v>
                </c:pt>
                <c:pt idx="4">
                  <c:v>1.480838586992858</c:v>
                </c:pt>
                <c:pt idx="5">
                  <c:v>0.61929490749006821</c:v>
                </c:pt>
              </c:numCache>
            </c:numRef>
          </c:xVal>
          <c:yVal>
            <c:numRef>
              <c:f>'2pe'!$O$19:$O$24</c:f>
              <c:numCache>
                <c:formatCode>General</c:formatCode>
                <c:ptCount val="6"/>
                <c:pt idx="0">
                  <c:v>5510.3654999999999</c:v>
                </c:pt>
                <c:pt idx="1">
                  <c:v>2847.1886</c:v>
                </c:pt>
                <c:pt idx="2">
                  <c:v>1102.1768999999999</c:v>
                </c:pt>
                <c:pt idx="3">
                  <c:v>539.68780000000004</c:v>
                </c:pt>
                <c:pt idx="4">
                  <c:v>238.94229999999999</c:v>
                </c:pt>
                <c:pt idx="5">
                  <c:v>95.3429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7-47E0-96DE-3EDB6344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35247"/>
        <c:axId val="596235727"/>
      </c:scatterChart>
      <c:valAx>
        <c:axId val="59623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35727"/>
        <c:crosses val="autoZero"/>
        <c:crossBetween val="midCat"/>
      </c:valAx>
      <c:valAx>
        <c:axId val="5962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3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226218</xdr:colOff>
      <xdr:row>11</xdr:row>
      <xdr:rowOff>33336</xdr:rowOff>
    </xdr:from>
    <xdr:to>
      <xdr:col>21</xdr:col>
      <xdr:colOff>541733</xdr:colOff>
      <xdr:row>21</xdr:row>
      <xdr:rowOff>186926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FC697A-591A-87E9-444D-8EE949A99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192881</xdr:colOff>
      <xdr:row>12</xdr:row>
      <xdr:rowOff>80962</xdr:rowOff>
    </xdr:from>
    <xdr:to>
      <xdr:col>21</xdr:col>
      <xdr:colOff>511969</xdr:colOff>
      <xdr:row>22</xdr:row>
      <xdr:rowOff>204787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6DFEE-F931-7F19-4209-844324EA6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92868</xdr:colOff>
      <xdr:row>14</xdr:row>
      <xdr:rowOff>57150</xdr:rowOff>
    </xdr:from>
    <xdr:to>
      <xdr:col>21</xdr:col>
      <xdr:colOff>411956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17EA5-8199-109F-70AA-BA5315A0F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254793</xdr:colOff>
      <xdr:row>12</xdr:row>
      <xdr:rowOff>152399</xdr:rowOff>
    </xdr:from>
    <xdr:to>
      <xdr:col>21</xdr:col>
      <xdr:colOff>573881</xdr:colOff>
      <xdr:row>22</xdr:row>
      <xdr:rowOff>276224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A1934-E997-7E42-202E-A45A8FF27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183356</xdr:colOff>
      <xdr:row>11</xdr:row>
      <xdr:rowOff>261937</xdr:rowOff>
    </xdr:from>
    <xdr:to>
      <xdr:col>21</xdr:col>
      <xdr:colOff>502443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0A43A-7239-29A4-8D06-EDB8C151F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250030</xdr:colOff>
      <xdr:row>12</xdr:row>
      <xdr:rowOff>128587</xdr:rowOff>
    </xdr:from>
    <xdr:to>
      <xdr:col>21</xdr:col>
      <xdr:colOff>569118</xdr:colOff>
      <xdr:row>22</xdr:row>
      <xdr:rowOff>252412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EAE8C-B4D9-C533-4A92-3DDE6885A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220264</xdr:colOff>
      <xdr:row>7</xdr:row>
      <xdr:rowOff>146447</xdr:rowOff>
    </xdr:from>
    <xdr:to>
      <xdr:col>21</xdr:col>
      <xdr:colOff>535779</xdr:colOff>
      <xdr:row>19</xdr:row>
      <xdr:rowOff>288130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98A40-3917-B384-6208-E0A0EB0AA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1D41A"/>
  </sheetPr>
  <dimension ref="A2:P28"/>
  <sheetViews>
    <sheetView topLeftCell="D1" zoomScale="80" zoomScaleNormal="80" workbookViewId="0">
      <selection activeCell="O4" sqref="O4"/>
    </sheetView>
  </sheetViews>
  <sheetFormatPr defaultColWidth="10.73046875" defaultRowHeight="14.25" x14ac:dyDescent="0.45"/>
  <cols>
    <col min="1" max="1" width="11.3320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67</v>
      </c>
      <c r="E3" s="13">
        <v>1.0669999999999999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14.1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68</v>
      </c>
      <c r="E6" t="s">
        <v>7</v>
      </c>
      <c r="F6" s="13"/>
      <c r="G6" t="s">
        <v>69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70</v>
      </c>
      <c r="E11" s="23" t="s">
        <v>11</v>
      </c>
      <c r="G11" s="24" t="s">
        <v>69</v>
      </c>
      <c r="H11" s="25" t="s">
        <v>8</v>
      </c>
      <c r="I11" s="26"/>
      <c r="J11" s="25"/>
      <c r="K11" s="27" t="s">
        <v>68</v>
      </c>
    </row>
    <row r="12" spans="4:16" ht="26.25" customHeight="1" x14ac:dyDescent="0.45">
      <c r="D12" s="28">
        <f>G7/E3</f>
        <v>1.4058106841611997</v>
      </c>
      <c r="E12" s="29">
        <f>H7/E2</f>
        <v>4.452926208651399</v>
      </c>
      <c r="F12" s="19"/>
      <c r="G12" s="30">
        <v>1.4819</v>
      </c>
      <c r="H12" s="30">
        <v>3.5339</v>
      </c>
      <c r="I12" s="30"/>
      <c r="J12" s="30"/>
      <c r="K12" s="31">
        <f>G12/SUM(G12:I12)</f>
        <v>0.29544638940946605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/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68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71</v>
      </c>
      <c r="K19" s="39" t="s">
        <v>22</v>
      </c>
      <c r="L19" s="39" t="s">
        <v>72</v>
      </c>
      <c r="N19" s="15">
        <f>K12*100</f>
        <v>29.544638940946605</v>
      </c>
      <c r="O19">
        <v>4224.0092000000004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2.8304</v>
      </c>
      <c r="F20" s="40">
        <v>3.2467999999999999</v>
      </c>
      <c r="G20" s="40">
        <v>3.6274999999999999</v>
      </c>
      <c r="H20" s="41">
        <f t="shared" ref="H20:I25" si="0">F20-E20</f>
        <v>0.41639999999999988</v>
      </c>
      <c r="I20" s="41">
        <f t="shared" si="0"/>
        <v>0.38070000000000004</v>
      </c>
      <c r="J20" s="42">
        <f t="shared" ref="J20:J25" si="1">H20*$K$12</f>
        <v>0.12302387655010162</v>
      </c>
      <c r="K20" s="42">
        <f t="shared" ref="K20:K25" si="2">H20*(1-$K$12)</f>
        <v>0.29337612344989822</v>
      </c>
      <c r="L20" s="42">
        <f t="shared" ref="L20:L25" si="3">J20/SUM(I20+J20+K20)</f>
        <v>0.15433932574344703</v>
      </c>
      <c r="N20" s="15">
        <f>L20*100</f>
        <v>15.433932574344702</v>
      </c>
      <c r="O20">
        <v>2197.8330999999998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2.7947000000000002</v>
      </c>
      <c r="F21" s="40">
        <v>2.964</v>
      </c>
      <c r="G21" s="40">
        <v>3.5769000000000002</v>
      </c>
      <c r="H21" s="41">
        <f t="shared" si="0"/>
        <v>0.16929999999999978</v>
      </c>
      <c r="I21" s="41">
        <f t="shared" si="0"/>
        <v>0.61290000000000022</v>
      </c>
      <c r="J21" s="42">
        <f t="shared" si="1"/>
        <v>5.0019073727022537E-2</v>
      </c>
      <c r="K21" s="42">
        <f t="shared" si="2"/>
        <v>0.11928092627297723</v>
      </c>
      <c r="L21" s="42">
        <f t="shared" si="3"/>
        <v>6.3946655237819658E-2</v>
      </c>
      <c r="N21" s="48">
        <f>L21*100</f>
        <v>6.3946655237819661</v>
      </c>
      <c r="O21">
        <v>888.13980000000004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2.7848000000000002</v>
      </c>
      <c r="F22" s="40">
        <v>2.8742000000000001</v>
      </c>
      <c r="G22" s="40">
        <v>3.5703</v>
      </c>
      <c r="H22" s="41">
        <f t="shared" si="0"/>
        <v>8.9399999999999924E-2</v>
      </c>
      <c r="I22" s="41">
        <f t="shared" si="0"/>
        <v>0.69609999999999994</v>
      </c>
      <c r="J22" s="42">
        <f t="shared" si="1"/>
        <v>2.6412907213206244E-2</v>
      </c>
      <c r="K22" s="42">
        <f t="shared" si="2"/>
        <v>6.298709278679368E-2</v>
      </c>
      <c r="L22" s="42">
        <f t="shared" si="3"/>
        <v>3.3625597979893375E-2</v>
      </c>
      <c r="N22" s="15">
        <f>L22*100</f>
        <v>3.3625597979893374</v>
      </c>
      <c r="O22">
        <v>463.78930000000003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2.8300999999999998</v>
      </c>
      <c r="F23" s="40">
        <v>2.8712</v>
      </c>
      <c r="G23" s="40">
        <v>3.6027999999999998</v>
      </c>
      <c r="H23" s="41">
        <f t="shared" si="0"/>
        <v>4.1100000000000136E-2</v>
      </c>
      <c r="I23" s="41">
        <f t="shared" si="0"/>
        <v>0.73159999999999981</v>
      </c>
      <c r="J23" s="42">
        <f t="shared" si="1"/>
        <v>1.2142846604729095E-2</v>
      </c>
      <c r="K23" s="42">
        <f t="shared" si="2"/>
        <v>2.8957153395271041E-2</v>
      </c>
      <c r="L23" s="42">
        <f t="shared" si="3"/>
        <v>1.5714826717651217E-2</v>
      </c>
      <c r="N23" s="15">
        <f>L23*100</f>
        <v>1.5714826717651218</v>
      </c>
      <c r="O23">
        <v>203.90309999999999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2.8123999999999998</v>
      </c>
      <c r="F24" s="40">
        <v>2.8290000000000002</v>
      </c>
      <c r="G24" s="40">
        <v>3.5861999999999998</v>
      </c>
      <c r="H24" s="41">
        <f t="shared" si="0"/>
        <v>1.6600000000000392E-2</v>
      </c>
      <c r="I24" s="41">
        <f t="shared" si="0"/>
        <v>0.75719999999999965</v>
      </c>
      <c r="J24" s="42">
        <f t="shared" si="1"/>
        <v>4.9044100641972522E-3</v>
      </c>
      <c r="K24" s="42">
        <f t="shared" si="2"/>
        <v>1.1695589935803139E-2</v>
      </c>
      <c r="L24" s="42">
        <f t="shared" si="3"/>
        <v>6.3380848593916411E-3</v>
      </c>
      <c r="N24" s="17">
        <f>L24*100</f>
        <v>0.63380848593916406</v>
      </c>
      <c r="O24">
        <v>79.262600000000006</v>
      </c>
    </row>
    <row r="25" spans="1:15" ht="29.25" customHeight="1" x14ac:dyDescent="0.45">
      <c r="D25" s="36" t="s">
        <v>28</v>
      </c>
      <c r="E25" s="40">
        <v>2.8054000000000001</v>
      </c>
      <c r="F25" s="40">
        <v>4.1509999999999998</v>
      </c>
      <c r="G25" s="40">
        <v>0</v>
      </c>
      <c r="H25" s="41">
        <f t="shared" si="0"/>
        <v>1.3455999999999997</v>
      </c>
      <c r="I25" s="41">
        <f t="shared" si="0"/>
        <v>-4.1509999999999998</v>
      </c>
      <c r="J25" s="42">
        <f t="shared" si="1"/>
        <v>0.39755266158937741</v>
      </c>
      <c r="K25" s="42">
        <f t="shared" si="2"/>
        <v>0.94804733841062216</v>
      </c>
      <c r="L25" s="42">
        <f t="shared" si="3"/>
        <v>-0.14170979596113828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1D41A"/>
  </sheetPr>
  <dimension ref="A2:P28"/>
  <sheetViews>
    <sheetView topLeftCell="G1" zoomScaleNormal="100" workbookViewId="0">
      <selection activeCell="O4" sqref="O4"/>
    </sheetView>
  </sheetViews>
  <sheetFormatPr defaultColWidth="10.73046875" defaultRowHeight="14.25" x14ac:dyDescent="0.45"/>
  <cols>
    <col min="1" max="1" width="11.3320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61</v>
      </c>
      <c r="E3" s="13">
        <v>0.97599999999999998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14.3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62</v>
      </c>
      <c r="E6" t="s">
        <v>7</v>
      </c>
      <c r="F6" s="13"/>
      <c r="G6" t="s">
        <v>63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64</v>
      </c>
      <c r="E11" s="23" t="s">
        <v>11</v>
      </c>
      <c r="G11" s="24" t="s">
        <v>63</v>
      </c>
      <c r="H11" s="25" t="s">
        <v>8</v>
      </c>
      <c r="I11" s="26"/>
      <c r="J11" s="25"/>
      <c r="K11" s="27" t="s">
        <v>62</v>
      </c>
    </row>
    <row r="12" spans="4:16" ht="26.25" customHeight="1" x14ac:dyDescent="0.45">
      <c r="D12" s="28">
        <f>G7/E3</f>
        <v>1.5368852459016393</v>
      </c>
      <c r="E12" s="29">
        <f>H7/E2</f>
        <v>4.452926208651399</v>
      </c>
      <c r="F12" s="19"/>
      <c r="G12" s="30">
        <v>1.4581999999999999</v>
      </c>
      <c r="H12" s="30">
        <v>3.5304000000000002</v>
      </c>
      <c r="I12" s="30"/>
      <c r="J12" s="30"/>
      <c r="K12" s="31">
        <f>G12/SUM(G12:I12)</f>
        <v>0.29230645872589506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/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62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65</v>
      </c>
      <c r="K19" s="39" t="s">
        <v>22</v>
      </c>
      <c r="L19" s="39" t="s">
        <v>66</v>
      </c>
      <c r="N19" s="15">
        <f>K12*100</f>
        <v>29.230645872589506</v>
      </c>
      <c r="O19" s="14">
        <v>5219.2730000000001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2.8228</v>
      </c>
      <c r="F20" s="40">
        <v>3.2296999999999998</v>
      </c>
      <c r="G20" s="40">
        <v>3.6059999999999999</v>
      </c>
      <c r="H20" s="41">
        <f t="shared" ref="H20:I25" si="0">F20-E20</f>
        <v>0.40689999999999982</v>
      </c>
      <c r="I20" s="41">
        <f t="shared" si="0"/>
        <v>0.37630000000000008</v>
      </c>
      <c r="J20" s="42">
        <f t="shared" ref="J20:J25" si="1">H20*$K$12</f>
        <v>0.11893949805556664</v>
      </c>
      <c r="K20" s="42">
        <f t="shared" ref="K20:K25" si="2">H20*(1-$K$12)</f>
        <v>0.28796050194443318</v>
      </c>
      <c r="L20" s="42">
        <f t="shared" ref="L20:L25" si="3">J20/SUM(I20+J20+K20)</f>
        <v>0.151863506199651</v>
      </c>
      <c r="N20" s="15">
        <f>L20*100</f>
        <v>15.186350619965101</v>
      </c>
      <c r="O20" s="14">
        <v>2686.3921999999998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2.7987000000000002</v>
      </c>
      <c r="F21" s="40">
        <v>2.9599000000000002</v>
      </c>
      <c r="G21" s="40">
        <v>3.5754000000000001</v>
      </c>
      <c r="H21" s="41">
        <f t="shared" si="0"/>
        <v>0.16120000000000001</v>
      </c>
      <c r="I21" s="41">
        <f t="shared" si="0"/>
        <v>0.61549999999999994</v>
      </c>
      <c r="J21" s="42">
        <f t="shared" si="1"/>
        <v>4.7119801146614286E-2</v>
      </c>
      <c r="K21" s="42">
        <f t="shared" si="2"/>
        <v>0.11408019885338573</v>
      </c>
      <c r="L21" s="42">
        <f t="shared" si="3"/>
        <v>6.0666668142930716E-2</v>
      </c>
      <c r="N21" s="48">
        <f>L21*100</f>
        <v>6.0666668142930718</v>
      </c>
      <c r="O21" s="49">
        <v>1028.9743000000001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2.8176999999999999</v>
      </c>
      <c r="F22" s="40">
        <v>2.9022999999999999</v>
      </c>
      <c r="G22" s="40">
        <v>3.5954999999999999</v>
      </c>
      <c r="H22" s="41">
        <f t="shared" si="0"/>
        <v>8.4600000000000009E-2</v>
      </c>
      <c r="I22" s="41">
        <f t="shared" si="0"/>
        <v>0.69320000000000004</v>
      </c>
      <c r="J22" s="42">
        <f t="shared" si="1"/>
        <v>2.4729126408210723E-2</v>
      </c>
      <c r="K22" s="42">
        <f t="shared" si="2"/>
        <v>5.9870873591789289E-2</v>
      </c>
      <c r="L22" s="42">
        <f t="shared" si="3"/>
        <v>3.1793682705336487E-2</v>
      </c>
      <c r="N22" s="15">
        <f>L22*100</f>
        <v>3.1793682705336486</v>
      </c>
      <c r="O22" s="14">
        <v>548.48630000000003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2.7978999999999998</v>
      </c>
      <c r="F23" s="40">
        <v>2.8374999999999999</v>
      </c>
      <c r="G23" s="40">
        <v>3.5667</v>
      </c>
      <c r="H23" s="41">
        <f t="shared" si="0"/>
        <v>3.960000000000008E-2</v>
      </c>
      <c r="I23" s="41">
        <f t="shared" si="0"/>
        <v>0.72920000000000007</v>
      </c>
      <c r="J23" s="42">
        <f t="shared" si="1"/>
        <v>1.1575335765545468E-2</v>
      </c>
      <c r="K23" s="42">
        <f t="shared" si="2"/>
        <v>2.8024664234454613E-2</v>
      </c>
      <c r="L23" s="42">
        <f t="shared" si="3"/>
        <v>1.5056368061323447E-2</v>
      </c>
      <c r="N23" s="15">
        <f>L23*100</f>
        <v>1.5056368061323446</v>
      </c>
      <c r="O23" s="14">
        <v>248.09030000000001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2.8041</v>
      </c>
      <c r="F24" s="40">
        <v>2.8210000000000002</v>
      </c>
      <c r="G24" s="40">
        <v>3.5798999999999999</v>
      </c>
      <c r="H24" s="41">
        <f t="shared" si="0"/>
        <v>1.6900000000000137E-2</v>
      </c>
      <c r="I24" s="41">
        <f t="shared" si="0"/>
        <v>0.75889999999999969</v>
      </c>
      <c r="J24" s="42">
        <f t="shared" si="1"/>
        <v>4.9399791524676667E-3</v>
      </c>
      <c r="K24" s="42">
        <f t="shared" si="2"/>
        <v>1.1960020847532471E-2</v>
      </c>
      <c r="L24" s="42">
        <f t="shared" si="3"/>
        <v>6.3675936484502036E-3</v>
      </c>
      <c r="N24" s="17">
        <f>L24*100</f>
        <v>0.63675936484502038</v>
      </c>
      <c r="O24" s="20">
        <v>102.73269999999999</v>
      </c>
    </row>
    <row r="25" spans="1:15" ht="29.25" customHeight="1" x14ac:dyDescent="0.45">
      <c r="D25" s="36" t="s">
        <v>28</v>
      </c>
      <c r="E25" s="40">
        <v>2.7946</v>
      </c>
      <c r="F25" s="40">
        <v>4.0726000000000004</v>
      </c>
      <c r="G25" s="40">
        <v>0</v>
      </c>
      <c r="H25" s="41">
        <f t="shared" si="0"/>
        <v>1.2780000000000005</v>
      </c>
      <c r="I25" s="41">
        <f t="shared" si="0"/>
        <v>-4.0726000000000004</v>
      </c>
      <c r="J25" s="42">
        <f t="shared" si="1"/>
        <v>0.37356765425169403</v>
      </c>
      <c r="K25" s="42">
        <f t="shared" si="2"/>
        <v>0.90443234574830655</v>
      </c>
      <c r="L25" s="42">
        <f t="shared" si="3"/>
        <v>-0.13367482081574966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1D41A"/>
  </sheetPr>
  <dimension ref="A2:P28"/>
  <sheetViews>
    <sheetView topLeftCell="F1" zoomScaleNormal="100" workbookViewId="0">
      <selection activeCell="P9" sqref="P9"/>
    </sheetView>
  </sheetViews>
  <sheetFormatPr defaultColWidth="10.73046875" defaultRowHeight="14.25" x14ac:dyDescent="0.45"/>
  <cols>
    <col min="1" max="1" width="11.33203125" customWidth="1"/>
    <col min="2" max="2" width="11.5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55</v>
      </c>
      <c r="E3" s="13">
        <v>0.88900000000000001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9.9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56</v>
      </c>
      <c r="E6" t="s">
        <v>7</v>
      </c>
      <c r="F6" s="13"/>
      <c r="G6" t="s">
        <v>57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58</v>
      </c>
      <c r="E11" s="23" t="s">
        <v>11</v>
      </c>
      <c r="G11" s="24" t="s">
        <v>57</v>
      </c>
      <c r="H11" s="25" t="s">
        <v>8</v>
      </c>
      <c r="I11" s="26"/>
      <c r="J11" s="25"/>
      <c r="K11" s="27" t="s">
        <v>56</v>
      </c>
    </row>
    <row r="12" spans="4:16" ht="26.25" customHeight="1" x14ac:dyDescent="0.45">
      <c r="D12" s="28">
        <f>G7/E3</f>
        <v>1.6872890888638921</v>
      </c>
      <c r="E12" s="29">
        <f>H7/E2</f>
        <v>4.452926208651399</v>
      </c>
      <c r="F12" s="19"/>
      <c r="G12" s="30">
        <v>1.4825999999999999</v>
      </c>
      <c r="H12" s="30">
        <v>3.3147000000000002</v>
      </c>
      <c r="I12" s="30"/>
      <c r="J12" s="30"/>
      <c r="K12" s="31">
        <f>G12/SUM(G12:I12)</f>
        <v>0.3090488399724845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/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56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59</v>
      </c>
      <c r="K19" s="39" t="s">
        <v>22</v>
      </c>
      <c r="L19" s="39" t="s">
        <v>60</v>
      </c>
      <c r="N19" s="15">
        <f>K12*100</f>
        <v>30.904883997248451</v>
      </c>
      <c r="O19" s="14">
        <v>5153.4835999999996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2.8207</v>
      </c>
      <c r="F20" s="40">
        <v>3.1985999999999999</v>
      </c>
      <c r="G20" s="40">
        <v>3.5727000000000002</v>
      </c>
      <c r="H20" s="41">
        <f t="shared" ref="H20:I25" si="0">F20-E20</f>
        <v>0.3778999999999999</v>
      </c>
      <c r="I20" s="41">
        <f t="shared" si="0"/>
        <v>0.37410000000000032</v>
      </c>
      <c r="J20" s="42">
        <f t="shared" ref="J20:J25" si="1">H20*$K$12</f>
        <v>0.11678955662560186</v>
      </c>
      <c r="K20" s="42">
        <f t="shared" ref="K20:K25" si="2">H20*(1-$K$12)</f>
        <v>0.26111044337439804</v>
      </c>
      <c r="L20" s="42">
        <f t="shared" ref="L20:L25" si="3">J20/SUM(I20+J20+K20)</f>
        <v>0.1553052614702152</v>
      </c>
      <c r="N20" s="15">
        <f>L20*100</f>
        <v>15.53052614702152</v>
      </c>
      <c r="O20" s="14">
        <v>2571.7307999999998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2.8250999999999999</v>
      </c>
      <c r="F21" s="40">
        <v>2.9908000000000001</v>
      </c>
      <c r="G21" s="40">
        <v>3.6051000000000002</v>
      </c>
      <c r="H21" s="41">
        <f t="shared" si="0"/>
        <v>0.16570000000000018</v>
      </c>
      <c r="I21" s="41">
        <f t="shared" si="0"/>
        <v>0.61430000000000007</v>
      </c>
      <c r="J21" s="42">
        <f t="shared" si="1"/>
        <v>5.1209392783440735E-2</v>
      </c>
      <c r="K21" s="42">
        <f t="shared" si="2"/>
        <v>0.11449060721655945</v>
      </c>
      <c r="L21" s="42">
        <f t="shared" si="3"/>
        <v>6.5653067671077842E-2</v>
      </c>
      <c r="N21" s="48">
        <f>L21*100</f>
        <v>6.565306767107784</v>
      </c>
      <c r="O21" s="14">
        <v>1064.0929000000001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2.8012999999999999</v>
      </c>
      <c r="F22" s="40">
        <v>2.8853</v>
      </c>
      <c r="G22" s="40">
        <v>3.5834000000000001</v>
      </c>
      <c r="H22" s="41">
        <f t="shared" si="0"/>
        <v>8.4000000000000075E-2</v>
      </c>
      <c r="I22" s="41">
        <f t="shared" si="0"/>
        <v>0.69810000000000016</v>
      </c>
      <c r="J22" s="42">
        <f t="shared" si="1"/>
        <v>2.596010255768872E-2</v>
      </c>
      <c r="K22" s="42">
        <f t="shared" si="2"/>
        <v>5.8039897442311361E-2</v>
      </c>
      <c r="L22" s="42">
        <f t="shared" si="3"/>
        <v>3.3192817488414156E-2</v>
      </c>
      <c r="N22" s="15">
        <f>L22*100</f>
        <v>3.3192817488414157</v>
      </c>
      <c r="O22" s="49">
        <v>530.38340000000005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2.8203999999999998</v>
      </c>
      <c r="F23" s="40">
        <v>2.8580000000000001</v>
      </c>
      <c r="G23" s="40">
        <v>3.5853000000000002</v>
      </c>
      <c r="H23" s="41">
        <f t="shared" si="0"/>
        <v>3.76000000000003E-2</v>
      </c>
      <c r="I23" s="41">
        <f t="shared" si="0"/>
        <v>0.72730000000000006</v>
      </c>
      <c r="J23" s="42">
        <f t="shared" si="1"/>
        <v>1.1620236382965509E-2</v>
      </c>
      <c r="K23" s="42">
        <f t="shared" si="2"/>
        <v>2.5979763617034791E-2</v>
      </c>
      <c r="L23" s="42">
        <f t="shared" si="3"/>
        <v>1.5191837342091128E-2</v>
      </c>
      <c r="N23" s="15">
        <f>L23*100</f>
        <v>1.5191837342091128</v>
      </c>
      <c r="O23" s="14">
        <v>228.066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2.7959999999999998</v>
      </c>
      <c r="F24" s="40">
        <v>2.8102</v>
      </c>
      <c r="G24" s="40">
        <v>3.5571000000000002</v>
      </c>
      <c r="H24" s="41">
        <f t="shared" si="0"/>
        <v>1.4200000000000212E-2</v>
      </c>
      <c r="I24" s="41">
        <f t="shared" si="0"/>
        <v>0.74690000000000012</v>
      </c>
      <c r="J24" s="42">
        <f t="shared" si="1"/>
        <v>4.3884935276093454E-3</v>
      </c>
      <c r="K24" s="42">
        <f t="shared" si="2"/>
        <v>9.8115064723908671E-3</v>
      </c>
      <c r="L24" s="42">
        <f t="shared" si="3"/>
        <v>5.7659880798966541E-3</v>
      </c>
      <c r="N24" s="17">
        <f>L24*100</f>
        <v>0.57659880798966545</v>
      </c>
      <c r="O24" s="20">
        <v>79.783199999999994</v>
      </c>
    </row>
    <row r="25" spans="1:15" ht="29.25" customHeight="1" x14ac:dyDescent="0.45">
      <c r="D25" s="36" t="s">
        <v>28</v>
      </c>
      <c r="E25" s="40">
        <v>2.802</v>
      </c>
      <c r="F25" s="40">
        <v>4.0162000000000004</v>
      </c>
      <c r="G25" s="40">
        <v>0</v>
      </c>
      <c r="H25" s="41">
        <f t="shared" si="0"/>
        <v>1.2142000000000004</v>
      </c>
      <c r="I25" s="41">
        <f t="shared" si="0"/>
        <v>-4.0162000000000004</v>
      </c>
      <c r="J25" s="42">
        <f t="shared" si="1"/>
        <v>0.37524710149459078</v>
      </c>
      <c r="K25" s="42">
        <f t="shared" si="2"/>
        <v>0.83895289850540966</v>
      </c>
      <c r="L25" s="42">
        <f t="shared" si="3"/>
        <v>-0.13392116398807666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1D41A"/>
  </sheetPr>
  <dimension ref="A2:P28"/>
  <sheetViews>
    <sheetView tabSelected="1" topLeftCell="H1" zoomScaleNormal="100" workbookViewId="0">
      <selection activeCell="O4" sqref="O4"/>
    </sheetView>
  </sheetViews>
  <sheetFormatPr defaultColWidth="10.73046875" defaultRowHeight="14.25" x14ac:dyDescent="0.45"/>
  <cols>
    <col min="1" max="1" width="11.3320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49</v>
      </c>
      <c r="E3" s="13">
        <v>0.99199999999999999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8.5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50</v>
      </c>
      <c r="E6" t="s">
        <v>7</v>
      </c>
      <c r="F6" s="13"/>
      <c r="G6" t="s">
        <v>51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52</v>
      </c>
      <c r="E11" s="23" t="s">
        <v>11</v>
      </c>
      <c r="G11" s="24" t="s">
        <v>51</v>
      </c>
      <c r="H11" s="25" t="s">
        <v>8</v>
      </c>
      <c r="I11" s="26"/>
      <c r="J11" s="25"/>
      <c r="K11" s="27" t="s">
        <v>50</v>
      </c>
    </row>
    <row r="12" spans="4:16" ht="26.25" customHeight="1" x14ac:dyDescent="0.45">
      <c r="D12" s="28">
        <f>G7/E3</f>
        <v>1.5120967741935485</v>
      </c>
      <c r="E12" s="29">
        <f>H7/E2</f>
        <v>4.452926208651399</v>
      </c>
      <c r="F12" s="19"/>
      <c r="G12" s="30">
        <v>1.502</v>
      </c>
      <c r="H12" s="30">
        <v>3.4710999999999999</v>
      </c>
      <c r="I12" s="30"/>
      <c r="J12" s="30"/>
      <c r="K12" s="31">
        <f>G12/SUM(G12:I12)</f>
        <v>0.30202489392933984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>
        <v>140.08029999999999</v>
      </c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50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53</v>
      </c>
      <c r="K19" s="39" t="s">
        <v>22</v>
      </c>
      <c r="L19" s="39" t="s">
        <v>54</v>
      </c>
      <c r="N19" s="15">
        <f>K12*100</f>
        <v>30.202489392933984</v>
      </c>
      <c r="O19" s="14">
        <v>5244.4236000000001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2.8006000000000002</v>
      </c>
      <c r="F20" s="40">
        <v>3.2105999999999999</v>
      </c>
      <c r="G20" s="40">
        <v>3.5998999999999999</v>
      </c>
      <c r="H20" s="41">
        <f t="shared" ref="H20:I25" si="0">F20-E20</f>
        <v>0.4099999999999997</v>
      </c>
      <c r="I20" s="41">
        <f t="shared" si="0"/>
        <v>0.38929999999999998</v>
      </c>
      <c r="J20" s="42">
        <f t="shared" ref="J20:J25" si="1">H20*$K$12</f>
        <v>0.12383020651102924</v>
      </c>
      <c r="K20" s="42">
        <f t="shared" ref="K20:K25" si="2">H20*(1-$K$12)</f>
        <v>0.28616979348897048</v>
      </c>
      <c r="L20" s="42">
        <f t="shared" ref="L20:L25" si="3">J20/SUM(I20+J20+K20)</f>
        <v>0.15492331604032189</v>
      </c>
      <c r="N20" s="15">
        <f>L20*100</f>
        <v>15.49233160403219</v>
      </c>
      <c r="O20" s="14">
        <v>2540.3285000000001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2.7738999999999998</v>
      </c>
      <c r="F21" s="40">
        <v>2.94</v>
      </c>
      <c r="G21" s="40">
        <v>3.5529999999999999</v>
      </c>
      <c r="H21" s="41">
        <f t="shared" si="0"/>
        <v>0.16610000000000014</v>
      </c>
      <c r="I21" s="41">
        <f t="shared" si="0"/>
        <v>0.61299999999999999</v>
      </c>
      <c r="J21" s="42">
        <f t="shared" si="1"/>
        <v>5.0166334881663388E-2</v>
      </c>
      <c r="K21" s="42">
        <f t="shared" si="2"/>
        <v>0.11593366511833675</v>
      </c>
      <c r="L21" s="42">
        <f t="shared" si="3"/>
        <v>6.4390110231887274E-2</v>
      </c>
      <c r="N21" s="48">
        <f>L21*100</f>
        <v>6.4390110231887272</v>
      </c>
      <c r="O21" s="14">
        <v>937.15269999999998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2.7942999999999998</v>
      </c>
      <c r="F22" s="40">
        <v>2.8786</v>
      </c>
      <c r="G22" s="40">
        <v>3.5173000000000001</v>
      </c>
      <c r="H22" s="41">
        <f t="shared" si="0"/>
        <v>8.4300000000000264E-2</v>
      </c>
      <c r="I22" s="41">
        <f t="shared" si="0"/>
        <v>0.63870000000000005</v>
      </c>
      <c r="J22" s="42">
        <f t="shared" si="1"/>
        <v>2.5460698558243428E-2</v>
      </c>
      <c r="K22" s="42">
        <f t="shared" si="2"/>
        <v>5.8839301441756836E-2</v>
      </c>
      <c r="L22" s="42">
        <f t="shared" si="3"/>
        <v>3.5215350702964617E-2</v>
      </c>
      <c r="N22" s="15">
        <f>L22*100</f>
        <v>3.5215350702964616</v>
      </c>
      <c r="O22" s="49">
        <v>506.97680000000003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2.7814999999999999</v>
      </c>
      <c r="F23" s="40">
        <v>2.8214000000000001</v>
      </c>
      <c r="G23" s="40">
        <v>3.5501999999999998</v>
      </c>
      <c r="H23" s="41">
        <f t="shared" si="0"/>
        <v>3.9900000000000269E-2</v>
      </c>
      <c r="I23" s="41">
        <f t="shared" si="0"/>
        <v>0.72879999999999967</v>
      </c>
      <c r="J23" s="42">
        <f t="shared" si="1"/>
        <v>1.2050793267780741E-2</v>
      </c>
      <c r="K23" s="42">
        <f t="shared" si="2"/>
        <v>2.7849206732219529E-2</v>
      </c>
      <c r="L23" s="42">
        <f t="shared" si="3"/>
        <v>1.5676848273423628E-2</v>
      </c>
      <c r="N23" s="15">
        <f>L23*100</f>
        <v>1.5676848273423627</v>
      </c>
      <c r="O23" s="14">
        <v>212.48159999999999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2.7964000000000002</v>
      </c>
      <c r="F24" s="40">
        <v>2.8128000000000002</v>
      </c>
      <c r="G24" s="40">
        <v>3.5712999999999999</v>
      </c>
      <c r="H24" s="41">
        <f t="shared" si="0"/>
        <v>1.639999999999997E-2</v>
      </c>
      <c r="I24" s="41">
        <f t="shared" si="0"/>
        <v>0.75849999999999973</v>
      </c>
      <c r="J24" s="42">
        <f t="shared" si="1"/>
        <v>4.953208260441164E-3</v>
      </c>
      <c r="K24" s="42">
        <f t="shared" si="2"/>
        <v>1.1446791739558806E-2</v>
      </c>
      <c r="L24" s="42">
        <f t="shared" si="3"/>
        <v>6.3920612471817856E-3</v>
      </c>
      <c r="N24" s="17">
        <f>L24*100</f>
        <v>0.6392061247181785</v>
      </c>
      <c r="O24" s="20">
        <v>90.618099999999998</v>
      </c>
    </row>
    <row r="25" spans="1:15" ht="29.25" customHeight="1" x14ac:dyDescent="0.45">
      <c r="D25" s="36" t="s">
        <v>28</v>
      </c>
      <c r="E25" s="40">
        <v>2.7942</v>
      </c>
      <c r="F25" s="40">
        <v>4.1379999999999999</v>
      </c>
      <c r="G25" s="40">
        <v>0</v>
      </c>
      <c r="H25" s="41">
        <f t="shared" si="0"/>
        <v>1.3437999999999999</v>
      </c>
      <c r="I25" s="41">
        <f t="shared" si="0"/>
        <v>-4.1379999999999999</v>
      </c>
      <c r="J25" s="42">
        <f t="shared" si="1"/>
        <v>0.40586105246224685</v>
      </c>
      <c r="K25" s="42">
        <f t="shared" si="2"/>
        <v>0.93793894753775309</v>
      </c>
      <c r="L25" s="42">
        <f t="shared" si="3"/>
        <v>-0.14525125347585957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1D41A"/>
  </sheetPr>
  <dimension ref="A2:P28"/>
  <sheetViews>
    <sheetView topLeftCell="F1" zoomScaleNormal="100" workbookViewId="0">
      <selection activeCell="T11" sqref="T11"/>
    </sheetView>
  </sheetViews>
  <sheetFormatPr defaultColWidth="10.73046875" defaultRowHeight="14.25" x14ac:dyDescent="0.45"/>
  <cols>
    <col min="1" max="1" width="11.5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43</v>
      </c>
      <c r="E3" s="13">
        <v>0.96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9.8000000000000007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44</v>
      </c>
      <c r="E6" t="s">
        <v>7</v>
      </c>
      <c r="F6" s="13"/>
      <c r="G6" t="s">
        <v>45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46</v>
      </c>
      <c r="E11" s="23" t="s">
        <v>11</v>
      </c>
      <c r="G11" s="24" t="s">
        <v>45</v>
      </c>
      <c r="H11" s="25" t="s">
        <v>8</v>
      </c>
      <c r="I11" s="26"/>
      <c r="J11" s="25"/>
      <c r="K11" s="27" t="s">
        <v>44</v>
      </c>
    </row>
    <row r="12" spans="4:16" ht="26.25" customHeight="1" x14ac:dyDescent="0.45">
      <c r="D12" s="28">
        <f>G7/E3</f>
        <v>1.5625</v>
      </c>
      <c r="E12" s="29">
        <f>H7/E2</f>
        <v>4.452926208651399</v>
      </c>
      <c r="F12" s="19"/>
      <c r="G12" s="30">
        <v>1.4689000000000001</v>
      </c>
      <c r="H12" s="30">
        <v>3.3426</v>
      </c>
      <c r="I12" s="30"/>
      <c r="J12" s="30"/>
      <c r="K12" s="31">
        <f>G12/SUM(G12:I12)</f>
        <v>0.30528941078665695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/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44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47</v>
      </c>
      <c r="K19" s="39" t="s">
        <v>22</v>
      </c>
      <c r="L19" s="39" t="s">
        <v>48</v>
      </c>
      <c r="N19" s="15">
        <f>K12*100</f>
        <v>30.528941078665696</v>
      </c>
      <c r="O19" s="14">
        <v>5281.4005999999999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2.8165</v>
      </c>
      <c r="F20" s="40">
        <v>3.2153</v>
      </c>
      <c r="G20" s="40">
        <v>3.5861999999999998</v>
      </c>
      <c r="H20" s="41">
        <f t="shared" ref="H20:I25" si="0">F20-E20</f>
        <v>0.39880000000000004</v>
      </c>
      <c r="I20" s="41">
        <f t="shared" si="0"/>
        <v>0.37089999999999979</v>
      </c>
      <c r="J20" s="42">
        <f t="shared" ref="J20:J25" si="1">H20*$K$12</f>
        <v>0.12174941702171881</v>
      </c>
      <c r="K20" s="42">
        <f t="shared" ref="K20:K25" si="2">H20*(1-$K$12)</f>
        <v>0.27705058297828122</v>
      </c>
      <c r="L20" s="42">
        <f t="shared" ref="L20:L25" si="3">J20/SUM(I20+J20+K20)</f>
        <v>0.15817775369847842</v>
      </c>
      <c r="N20" s="15">
        <f>L20*100</f>
        <v>15.817775369847842</v>
      </c>
      <c r="O20" s="14">
        <v>2653.3382999999999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2.8287</v>
      </c>
      <c r="F21" s="40">
        <v>2.9849000000000001</v>
      </c>
      <c r="G21" s="40">
        <v>3.5950000000000002</v>
      </c>
      <c r="H21" s="41">
        <f t="shared" si="0"/>
        <v>0.15620000000000012</v>
      </c>
      <c r="I21" s="41">
        <f t="shared" si="0"/>
        <v>0.61010000000000009</v>
      </c>
      <c r="J21" s="42">
        <f t="shared" si="1"/>
        <v>4.7686205964875848E-2</v>
      </c>
      <c r="K21" s="42">
        <f t="shared" si="2"/>
        <v>0.10851379403512426</v>
      </c>
      <c r="L21" s="42">
        <f t="shared" si="3"/>
        <v>6.2229160857204535E-2</v>
      </c>
      <c r="N21" s="48">
        <f>L21*100</f>
        <v>6.2229160857204535</v>
      </c>
      <c r="O21" s="14">
        <v>979.01750000000004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2.8167</v>
      </c>
      <c r="F22" s="40">
        <v>2.8938999999999999</v>
      </c>
      <c r="G22" s="40">
        <v>3.5872000000000002</v>
      </c>
      <c r="H22" s="41">
        <f t="shared" si="0"/>
        <v>7.7199999999999935E-2</v>
      </c>
      <c r="I22" s="41">
        <f t="shared" si="0"/>
        <v>0.69330000000000025</v>
      </c>
      <c r="J22" s="42">
        <f t="shared" si="1"/>
        <v>2.3568342512729896E-2</v>
      </c>
      <c r="K22" s="42">
        <f t="shared" si="2"/>
        <v>5.3631657487270036E-2</v>
      </c>
      <c r="L22" s="42">
        <f t="shared" si="3"/>
        <v>3.0588374448708489E-2</v>
      </c>
      <c r="N22" s="15">
        <f>L22*100</f>
        <v>3.0588374448708491</v>
      </c>
      <c r="O22" s="49">
        <v>471.18970000000002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2.8035999999999999</v>
      </c>
      <c r="F23" s="40">
        <v>2.8416999999999999</v>
      </c>
      <c r="G23" s="40">
        <v>3.5663999999999998</v>
      </c>
      <c r="H23" s="41">
        <f t="shared" si="0"/>
        <v>3.8100000000000023E-2</v>
      </c>
      <c r="I23" s="41">
        <f t="shared" si="0"/>
        <v>0.7246999999999999</v>
      </c>
      <c r="J23" s="42">
        <f t="shared" si="1"/>
        <v>1.1631526550971636E-2</v>
      </c>
      <c r="K23" s="42">
        <f t="shared" si="2"/>
        <v>2.6468473449028387E-2</v>
      </c>
      <c r="L23" s="42">
        <f t="shared" si="3"/>
        <v>1.524846165570482E-2</v>
      </c>
      <c r="N23" s="15">
        <f>L23*100</f>
        <v>1.5248461655704819</v>
      </c>
      <c r="O23" s="14">
        <v>223.24080000000001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2.8029999999999999</v>
      </c>
      <c r="F24" s="40">
        <v>2.8168000000000002</v>
      </c>
      <c r="G24" s="40">
        <v>3.5735000000000001</v>
      </c>
      <c r="H24" s="41">
        <f t="shared" si="0"/>
        <v>1.3800000000000257E-2</v>
      </c>
      <c r="I24" s="41">
        <f t="shared" si="0"/>
        <v>0.75669999999999993</v>
      </c>
      <c r="J24" s="42">
        <f t="shared" si="1"/>
        <v>4.2129938688559437E-3</v>
      </c>
      <c r="K24" s="42">
        <f t="shared" si="2"/>
        <v>9.5870061311443128E-3</v>
      </c>
      <c r="L24" s="42">
        <f t="shared" si="3"/>
        <v>5.4678700439402244E-3</v>
      </c>
      <c r="N24" s="17">
        <f>L24*100</f>
        <v>0.54678700439402239</v>
      </c>
      <c r="O24" s="20">
        <v>72.430999999999997</v>
      </c>
    </row>
    <row r="25" spans="1:15" ht="29.25" customHeight="1" x14ac:dyDescent="0.45">
      <c r="D25" s="36" t="s">
        <v>28</v>
      </c>
      <c r="E25" s="40">
        <v>2.8077000000000001</v>
      </c>
      <c r="F25" s="40">
        <v>4.2198000000000002</v>
      </c>
      <c r="G25" s="40">
        <v>0</v>
      </c>
      <c r="H25" s="41">
        <f t="shared" si="0"/>
        <v>1.4121000000000001</v>
      </c>
      <c r="I25" s="41">
        <f t="shared" si="0"/>
        <v>-4.2198000000000002</v>
      </c>
      <c r="J25" s="42">
        <f t="shared" si="1"/>
        <v>0.4310991769718383</v>
      </c>
      <c r="K25" s="42">
        <f t="shared" si="2"/>
        <v>0.98100082302816183</v>
      </c>
      <c r="L25" s="42">
        <f t="shared" si="3"/>
        <v>-0.15354175195777267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1D41A"/>
  </sheetPr>
  <dimension ref="A2:P28"/>
  <sheetViews>
    <sheetView topLeftCell="F1" zoomScaleNormal="100" workbookViewId="0">
      <selection activeCell="O4" sqref="O4"/>
    </sheetView>
  </sheetViews>
  <sheetFormatPr defaultColWidth="10.73046875" defaultRowHeight="14.25" x14ac:dyDescent="0.45"/>
  <cols>
    <col min="1" max="1" width="11.3320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37</v>
      </c>
      <c r="E3" s="13">
        <v>0.97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13.6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38</v>
      </c>
      <c r="E6" t="s">
        <v>7</v>
      </c>
      <c r="F6" s="13"/>
      <c r="G6" t="s">
        <v>39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40</v>
      </c>
      <c r="E11" s="23" t="s">
        <v>11</v>
      </c>
      <c r="G11" s="24" t="s">
        <v>39</v>
      </c>
      <c r="H11" s="25" t="s">
        <v>8</v>
      </c>
      <c r="I11" s="26"/>
      <c r="J11" s="25"/>
      <c r="K11" s="27" t="s">
        <v>38</v>
      </c>
    </row>
    <row r="12" spans="4:16" ht="26.25" customHeight="1" x14ac:dyDescent="0.45">
      <c r="D12" s="28">
        <f>G7/E3</f>
        <v>1.5463917525773196</v>
      </c>
      <c r="E12" s="29">
        <f>H7/E2</f>
        <v>4.452926208651399</v>
      </c>
      <c r="F12" s="19"/>
      <c r="G12" s="30">
        <v>1.5439000000000001</v>
      </c>
      <c r="H12" s="30">
        <v>3.5409000000000002</v>
      </c>
      <c r="I12" s="30"/>
      <c r="J12" s="30"/>
      <c r="K12" s="31">
        <f>G12/SUM(G12:I12)</f>
        <v>0.30363042794210193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/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38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41</v>
      </c>
      <c r="K19" s="39" t="s">
        <v>22</v>
      </c>
      <c r="L19" s="39" t="s">
        <v>42</v>
      </c>
      <c r="N19" s="15">
        <f>K12*100</f>
        <v>30.363042794210195</v>
      </c>
      <c r="O19" s="14">
        <v>5437.1275999999998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2.8073000000000001</v>
      </c>
      <c r="F20" s="40">
        <v>3.2061000000000002</v>
      </c>
      <c r="G20" s="40">
        <v>3.5634000000000001</v>
      </c>
      <c r="H20" s="41">
        <f t="shared" ref="H20:I25" si="0">F20-E20</f>
        <v>0.39880000000000004</v>
      </c>
      <c r="I20" s="41">
        <f t="shared" si="0"/>
        <v>0.35729999999999995</v>
      </c>
      <c r="J20" s="42">
        <f t="shared" ref="J20:J25" si="1">H20*$K$12</f>
        <v>0.12108781466331027</v>
      </c>
      <c r="K20" s="42">
        <f t="shared" ref="K20:K25" si="2">H20*(1-$K$12)</f>
        <v>0.27771218533668979</v>
      </c>
      <c r="L20" s="42">
        <f t="shared" ref="L20:L25" si="3">J20/SUM(I20+J20+K20)</f>
        <v>0.16014788343249606</v>
      </c>
      <c r="N20" s="15">
        <f>L20*100</f>
        <v>16.014788343249606</v>
      </c>
      <c r="O20" s="14">
        <v>2702.3501000000001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2.8365999999999998</v>
      </c>
      <c r="F21" s="40">
        <v>2.9996999999999998</v>
      </c>
      <c r="G21" s="40">
        <v>3.6017000000000001</v>
      </c>
      <c r="H21" s="41">
        <f t="shared" si="0"/>
        <v>0.16310000000000002</v>
      </c>
      <c r="I21" s="41">
        <f t="shared" si="0"/>
        <v>0.60200000000000031</v>
      </c>
      <c r="J21" s="42">
        <f t="shared" si="1"/>
        <v>4.9522122797356835E-2</v>
      </c>
      <c r="K21" s="42">
        <f t="shared" si="2"/>
        <v>0.11357787720264319</v>
      </c>
      <c r="L21" s="42">
        <f t="shared" si="3"/>
        <v>6.4726340082808545E-2</v>
      </c>
      <c r="N21" s="48">
        <f>L21*100</f>
        <v>6.4726340082808544</v>
      </c>
      <c r="O21" s="14">
        <v>1078.6096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2.8102</v>
      </c>
      <c r="F22" s="40">
        <v>2.8904999999999998</v>
      </c>
      <c r="G22" s="40">
        <v>3.5733000000000001</v>
      </c>
      <c r="H22" s="41">
        <f t="shared" si="0"/>
        <v>8.0299999999999816E-2</v>
      </c>
      <c r="I22" s="41">
        <f t="shared" si="0"/>
        <v>0.6828000000000003</v>
      </c>
      <c r="J22" s="42">
        <f t="shared" si="1"/>
        <v>2.438152336375073E-2</v>
      </c>
      <c r="K22" s="42">
        <f t="shared" si="2"/>
        <v>5.591847663624909E-2</v>
      </c>
      <c r="L22" s="42">
        <f t="shared" si="3"/>
        <v>3.1950626869022052E-2</v>
      </c>
      <c r="N22" s="15">
        <f>L22*100</f>
        <v>3.195062686902205</v>
      </c>
      <c r="O22" s="49">
        <v>545.80970000000002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2.8206000000000002</v>
      </c>
      <c r="F23" s="40">
        <v>2.8576000000000001</v>
      </c>
      <c r="G23" s="40">
        <v>3.5749</v>
      </c>
      <c r="H23" s="41">
        <f t="shared" si="0"/>
        <v>3.6999999999999922E-2</v>
      </c>
      <c r="I23" s="41">
        <f t="shared" si="0"/>
        <v>0.71729999999999983</v>
      </c>
      <c r="J23" s="42">
        <f t="shared" si="1"/>
        <v>1.1234325833857748E-2</v>
      </c>
      <c r="K23" s="42">
        <f t="shared" si="2"/>
        <v>2.5765674166142175E-2</v>
      </c>
      <c r="L23" s="42">
        <f t="shared" si="3"/>
        <v>1.4893710504915487E-2</v>
      </c>
      <c r="N23" s="15">
        <f>L23*100</f>
        <v>1.4893710504915487</v>
      </c>
      <c r="O23" s="14">
        <v>235.42509999999999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2.8012999999999999</v>
      </c>
      <c r="F24" s="40">
        <v>2.8169</v>
      </c>
      <c r="G24" s="40">
        <v>3.5589</v>
      </c>
      <c r="H24" s="41">
        <f t="shared" si="0"/>
        <v>1.5600000000000058E-2</v>
      </c>
      <c r="I24" s="41">
        <f t="shared" si="0"/>
        <v>0.74199999999999999</v>
      </c>
      <c r="J24" s="42">
        <f t="shared" si="1"/>
        <v>4.7366346758968081E-3</v>
      </c>
      <c r="K24" s="42">
        <f t="shared" si="2"/>
        <v>1.0863365324103251E-2</v>
      </c>
      <c r="L24" s="42">
        <f t="shared" si="3"/>
        <v>6.2521577031372857E-3</v>
      </c>
      <c r="N24" s="17">
        <f>L24*100</f>
        <v>0.62521577031372855</v>
      </c>
      <c r="O24" s="20">
        <v>94.369900000000001</v>
      </c>
    </row>
    <row r="25" spans="1:15" ht="29.25" customHeight="1" x14ac:dyDescent="0.45">
      <c r="D25" s="36" t="s">
        <v>28</v>
      </c>
      <c r="E25" s="40">
        <v>2.8315999999999999</v>
      </c>
      <c r="F25" s="40">
        <v>4.2243000000000004</v>
      </c>
      <c r="G25" s="40">
        <v>0</v>
      </c>
      <c r="H25" s="41">
        <f t="shared" si="0"/>
        <v>1.3927000000000005</v>
      </c>
      <c r="I25" s="41">
        <f t="shared" si="0"/>
        <v>-4.2243000000000004</v>
      </c>
      <c r="J25" s="42">
        <f t="shared" si="1"/>
        <v>0.42286609699496552</v>
      </c>
      <c r="K25" s="42">
        <f t="shared" si="2"/>
        <v>0.96983390300503503</v>
      </c>
      <c r="L25" s="42">
        <f t="shared" si="3"/>
        <v>-0.14933821761370444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1D41A"/>
  </sheetPr>
  <dimension ref="A2:P28"/>
  <sheetViews>
    <sheetView topLeftCell="C1" zoomScale="80" zoomScaleNormal="80" workbookViewId="0">
      <selection activeCell="O4" sqref="O4"/>
    </sheetView>
  </sheetViews>
  <sheetFormatPr defaultColWidth="10.73046875" defaultRowHeight="14.25" x14ac:dyDescent="0.45"/>
  <cols>
    <col min="1" max="1" width="11.33203125" customWidth="1"/>
    <col min="3" max="3" width="10" customWidth="1"/>
    <col min="4" max="4" width="23.86328125" customWidth="1"/>
    <col min="5" max="5" width="12.59765625" customWidth="1"/>
    <col min="6" max="6" width="11.06640625" customWidth="1"/>
    <col min="7" max="7" width="15.06640625" customWidth="1"/>
    <col min="8" max="8" width="14.59765625" customWidth="1"/>
    <col min="9" max="9" width="10" customWidth="1"/>
    <col min="10" max="10" width="13.19921875" customWidth="1"/>
    <col min="11" max="11" width="11.53125" customWidth="1"/>
    <col min="12" max="12" width="12.46484375" customWidth="1"/>
    <col min="13" max="13" width="7.265625" customWidth="1"/>
    <col min="14" max="14" width="8.9296875" customWidth="1"/>
    <col min="15" max="15" width="10.59765625" customWidth="1"/>
    <col min="16" max="16" width="5.86328125" customWidth="1"/>
  </cols>
  <sheetData>
    <row r="2" spans="4:16" ht="14.25" customHeight="1" x14ac:dyDescent="0.45">
      <c r="D2" s="6" t="s">
        <v>0</v>
      </c>
      <c r="E2" s="7">
        <v>0.78600000000000003</v>
      </c>
      <c r="F2" s="8" t="s">
        <v>1</v>
      </c>
      <c r="G2" s="9"/>
      <c r="H2" s="9"/>
      <c r="I2" s="9"/>
      <c r="J2" s="9"/>
      <c r="K2" s="10"/>
      <c r="L2" s="11"/>
      <c r="M2" s="11"/>
      <c r="N2" s="11"/>
      <c r="O2" s="11"/>
      <c r="P2" s="11"/>
    </row>
    <row r="3" spans="4:16" ht="14.25" customHeight="1" x14ac:dyDescent="0.45">
      <c r="D3" s="12" t="s">
        <v>29</v>
      </c>
      <c r="E3" s="13">
        <v>1.02</v>
      </c>
      <c r="F3" t="s">
        <v>1</v>
      </c>
      <c r="I3" t="s">
        <v>2</v>
      </c>
      <c r="J3">
        <v>5</v>
      </c>
      <c r="K3" s="14" t="s">
        <v>3</v>
      </c>
      <c r="N3" t="s">
        <v>4</v>
      </c>
      <c r="O3">
        <v>10.8</v>
      </c>
      <c r="P3" t="s">
        <v>5</v>
      </c>
    </row>
    <row r="4" spans="4:16" ht="14.25" customHeight="1" x14ac:dyDescent="0.45">
      <c r="D4" s="15"/>
      <c r="E4" s="13"/>
      <c r="K4" s="14"/>
    </row>
    <row r="5" spans="4:16" ht="14.25" customHeight="1" x14ac:dyDescent="0.45">
      <c r="D5" s="16"/>
      <c r="G5" s="5" t="s">
        <v>6</v>
      </c>
      <c r="H5" s="5"/>
      <c r="I5" s="5"/>
      <c r="J5" s="5"/>
      <c r="K5" s="14"/>
    </row>
    <row r="6" spans="4:16" ht="14.25" customHeight="1" x14ac:dyDescent="0.45">
      <c r="D6" s="15" t="s">
        <v>30</v>
      </c>
      <c r="E6" t="s">
        <v>7</v>
      </c>
      <c r="F6" s="13"/>
      <c r="G6" t="s">
        <v>31</v>
      </c>
      <c r="H6" s="13" t="s">
        <v>8</v>
      </c>
      <c r="I6" s="13"/>
      <c r="K6" s="14"/>
    </row>
    <row r="7" spans="4:16" ht="14.25" customHeight="1" x14ac:dyDescent="0.45">
      <c r="D7" s="17">
        <v>0.3</v>
      </c>
      <c r="E7" s="18">
        <v>0.7</v>
      </c>
      <c r="F7" s="19"/>
      <c r="G7" s="19">
        <f>D7*J3</f>
        <v>1.5</v>
      </c>
      <c r="H7" s="19">
        <f>E7*J3</f>
        <v>3.5</v>
      </c>
      <c r="I7" s="19"/>
      <c r="J7" s="19"/>
      <c r="K7" s="20"/>
    </row>
    <row r="8" spans="4:16" ht="14.25" customHeight="1" x14ac:dyDescent="0.45">
      <c r="D8" s="19"/>
      <c r="E8" s="19"/>
      <c r="F8" s="18"/>
      <c r="G8" s="19"/>
      <c r="H8" s="19"/>
      <c r="I8" s="19"/>
      <c r="J8" s="18"/>
    </row>
    <row r="9" spans="4:16" ht="14.25" customHeight="1" x14ac:dyDescent="0.45">
      <c r="D9" s="4" t="s">
        <v>9</v>
      </c>
      <c r="E9" s="4"/>
      <c r="F9" s="4"/>
      <c r="G9" s="4"/>
      <c r="H9" s="4"/>
      <c r="I9" s="4"/>
      <c r="J9" s="4"/>
      <c r="K9" s="4"/>
      <c r="L9" s="11"/>
      <c r="M9" s="11"/>
    </row>
    <row r="10" spans="4:16" ht="14.25" customHeight="1" x14ac:dyDescent="0.45">
      <c r="D10" s="6"/>
      <c r="E10" s="8"/>
      <c r="F10" s="8"/>
      <c r="G10" s="3" t="s">
        <v>10</v>
      </c>
      <c r="H10" s="3"/>
      <c r="I10" s="3"/>
      <c r="J10" s="3"/>
      <c r="K10" s="21"/>
    </row>
    <row r="11" spans="4:16" ht="14.25" customHeight="1" x14ac:dyDescent="0.45">
      <c r="D11" s="22" t="s">
        <v>32</v>
      </c>
      <c r="E11" s="23" t="s">
        <v>11</v>
      </c>
      <c r="G11" s="24" t="s">
        <v>31</v>
      </c>
      <c r="H11" s="25" t="s">
        <v>8</v>
      </c>
      <c r="I11" s="26"/>
      <c r="J11" s="25"/>
      <c r="K11" s="27" t="s">
        <v>30</v>
      </c>
    </row>
    <row r="12" spans="4:16" ht="26.25" customHeight="1" x14ac:dyDescent="0.45">
      <c r="D12" s="28">
        <f>G7/E3</f>
        <v>1.4705882352941175</v>
      </c>
      <c r="E12" s="29">
        <f>H7/E2</f>
        <v>4.452926208651399</v>
      </c>
      <c r="F12" s="19"/>
      <c r="G12" s="30">
        <v>1.4288000000000001</v>
      </c>
      <c r="H12" s="30">
        <v>3.4489999999999998</v>
      </c>
      <c r="I12" s="30"/>
      <c r="J12" s="30"/>
      <c r="K12" s="31">
        <f>G12/SUM(G12:I12)</f>
        <v>0.29291893886588222</v>
      </c>
    </row>
    <row r="14" spans="4:16" ht="8.25" customHeight="1" x14ac:dyDescent="0.45"/>
    <row r="15" spans="4:16" ht="30" customHeight="1" x14ac:dyDescent="0.65">
      <c r="D15" s="2" t="s">
        <v>12</v>
      </c>
      <c r="E15" s="2"/>
      <c r="F15" s="2"/>
      <c r="G15" s="2"/>
      <c r="H15" s="2"/>
      <c r="I15" s="2"/>
      <c r="J15" s="2"/>
      <c r="K15" s="2"/>
      <c r="L15" s="2"/>
      <c r="N15" s="32" t="s">
        <v>13</v>
      </c>
      <c r="O15" s="33"/>
    </row>
    <row r="16" spans="4:16" ht="14.25" customHeight="1" x14ac:dyDescent="0.45">
      <c r="D16" s="6" t="s">
        <v>14</v>
      </c>
      <c r="E16" s="8"/>
      <c r="F16" s="8"/>
      <c r="G16" s="8"/>
      <c r="H16" s="8"/>
      <c r="I16" s="8"/>
      <c r="J16" s="8"/>
      <c r="K16" s="8"/>
      <c r="L16" s="21"/>
    </row>
    <row r="17" spans="1:15" ht="14.25" customHeight="1" x14ac:dyDescent="0.45">
      <c r="D17" s="16">
        <v>1000</v>
      </c>
      <c r="L17" s="14"/>
    </row>
    <row r="18" spans="1:15" ht="14.25" customHeight="1" x14ac:dyDescent="0.45">
      <c r="D18" s="16"/>
      <c r="J18" s="1" t="s">
        <v>15</v>
      </c>
      <c r="K18" s="1"/>
      <c r="L18" s="1"/>
      <c r="N18" s="34" t="s">
        <v>16</v>
      </c>
      <c r="O18" s="35" t="s">
        <v>17</v>
      </c>
    </row>
    <row r="19" spans="1:15" ht="27.75" customHeight="1" x14ac:dyDescent="0.45">
      <c r="A19" s="45" t="s">
        <v>33</v>
      </c>
      <c r="B19" s="45" t="s">
        <v>34</v>
      </c>
      <c r="D19" s="36" t="s">
        <v>30</v>
      </c>
      <c r="E19" s="37" t="s">
        <v>18</v>
      </c>
      <c r="F19" s="37" t="s">
        <v>19</v>
      </c>
      <c r="G19" s="37" t="s">
        <v>20</v>
      </c>
      <c r="H19" s="38" t="s">
        <v>21</v>
      </c>
      <c r="I19" s="38" t="s">
        <v>22</v>
      </c>
      <c r="J19" s="39" t="s">
        <v>35</v>
      </c>
      <c r="K19" s="39" t="s">
        <v>22</v>
      </c>
      <c r="L19" s="39" t="s">
        <v>36</v>
      </c>
      <c r="N19" s="15">
        <f>K12*100</f>
        <v>29.291893886588223</v>
      </c>
      <c r="O19" s="14">
        <v>5510.3654999999999</v>
      </c>
    </row>
    <row r="20" spans="1:15" ht="27.75" customHeight="1" x14ac:dyDescent="0.45">
      <c r="A20" s="46">
        <v>0.5</v>
      </c>
      <c r="B20" s="47">
        <f>$D$17/1000-A20</f>
        <v>0.5</v>
      </c>
      <c r="D20" s="36" t="s">
        <v>23</v>
      </c>
      <c r="E20" s="40">
        <v>2.7953999999999999</v>
      </c>
      <c r="F20" s="40">
        <v>3.1985000000000001</v>
      </c>
      <c r="G20" s="40">
        <v>3.5735999999999999</v>
      </c>
      <c r="H20" s="41">
        <f t="shared" ref="H20:I25" si="0">F20-E20</f>
        <v>0.40310000000000024</v>
      </c>
      <c r="I20" s="41">
        <f t="shared" si="0"/>
        <v>0.37509999999999977</v>
      </c>
      <c r="J20" s="42">
        <f t="shared" ref="J20:J25" si="1">H20*$K$12</f>
        <v>0.11807562425683719</v>
      </c>
      <c r="K20" s="42">
        <f t="shared" ref="K20:K25" si="2">H20*(1-$K$12)</f>
        <v>0.28502437574316308</v>
      </c>
      <c r="L20" s="42">
        <f t="shared" ref="L20:L25" si="3">J20/SUM(I20+J20+K20)</f>
        <v>0.15172914964898124</v>
      </c>
      <c r="N20" s="15">
        <f>L20*100</f>
        <v>15.172914964898125</v>
      </c>
      <c r="O20" s="14">
        <v>2847.1886</v>
      </c>
    </row>
    <row r="21" spans="1:15" ht="27.75" customHeight="1" x14ac:dyDescent="0.45">
      <c r="A21" s="46">
        <v>0.2</v>
      </c>
      <c r="B21" s="47">
        <f>$D$17/1000-A21</f>
        <v>0.8</v>
      </c>
      <c r="D21" s="36" t="s">
        <v>24</v>
      </c>
      <c r="E21" s="40">
        <v>2.7938000000000001</v>
      </c>
      <c r="F21" s="40">
        <v>2.9622000000000002</v>
      </c>
      <c r="G21" s="40">
        <v>3.5800999999999998</v>
      </c>
      <c r="H21" s="41">
        <f t="shared" si="0"/>
        <v>0.16840000000000011</v>
      </c>
      <c r="I21" s="41">
        <f t="shared" si="0"/>
        <v>0.61789999999999967</v>
      </c>
      <c r="J21" s="42">
        <f t="shared" si="1"/>
        <v>4.9327549305014595E-2</v>
      </c>
      <c r="K21" s="42">
        <f t="shared" si="2"/>
        <v>0.11907245069498552</v>
      </c>
      <c r="L21" s="42">
        <f t="shared" si="3"/>
        <v>6.2733752136607673E-2</v>
      </c>
      <c r="N21" s="48">
        <f>L21*100</f>
        <v>6.273375213660767</v>
      </c>
      <c r="O21" s="14">
        <v>1102.1768999999999</v>
      </c>
    </row>
    <row r="22" spans="1:15" ht="27.75" customHeight="1" x14ac:dyDescent="0.45">
      <c r="A22" s="46">
        <v>0.1</v>
      </c>
      <c r="B22" s="47">
        <f>$D$17/1000-A22</f>
        <v>0.9</v>
      </c>
      <c r="D22" s="36" t="s">
        <v>25</v>
      </c>
      <c r="E22" s="40">
        <v>2.7776999999999998</v>
      </c>
      <c r="F22" s="40">
        <v>2.8660000000000001</v>
      </c>
      <c r="G22" s="40">
        <v>3.5678000000000001</v>
      </c>
      <c r="H22" s="41">
        <f t="shared" si="0"/>
        <v>8.8300000000000267E-2</v>
      </c>
      <c r="I22" s="41">
        <f t="shared" si="0"/>
        <v>0.70179999999999998</v>
      </c>
      <c r="J22" s="42">
        <f t="shared" si="1"/>
        <v>2.586474230185748E-2</v>
      </c>
      <c r="K22" s="42">
        <f t="shared" si="2"/>
        <v>6.2435257698142795E-2</v>
      </c>
      <c r="L22" s="42">
        <f t="shared" si="3"/>
        <v>3.2736036326866814E-2</v>
      </c>
      <c r="N22" s="15">
        <f>L22*100</f>
        <v>3.2736036326866813</v>
      </c>
      <c r="O22" s="49">
        <v>539.68780000000004</v>
      </c>
    </row>
    <row r="23" spans="1:15" ht="27.75" customHeight="1" x14ac:dyDescent="0.45">
      <c r="A23" s="46">
        <v>0.05</v>
      </c>
      <c r="B23" s="47">
        <f>$D$17/1000-A23</f>
        <v>0.95</v>
      </c>
      <c r="D23" s="36" t="s">
        <v>26</v>
      </c>
      <c r="E23" s="40">
        <v>2.7854000000000001</v>
      </c>
      <c r="F23" s="40">
        <v>2.8246000000000002</v>
      </c>
      <c r="G23" s="40">
        <v>3.5608</v>
      </c>
      <c r="H23" s="41">
        <f t="shared" si="0"/>
        <v>3.9200000000000124E-2</v>
      </c>
      <c r="I23" s="41">
        <f t="shared" si="0"/>
        <v>0.73619999999999974</v>
      </c>
      <c r="J23" s="42">
        <f t="shared" si="1"/>
        <v>1.1482422403542619E-2</v>
      </c>
      <c r="K23" s="42">
        <f t="shared" si="2"/>
        <v>2.7717577596457505E-2</v>
      </c>
      <c r="L23" s="42">
        <f t="shared" si="3"/>
        <v>1.4808385869928579E-2</v>
      </c>
      <c r="N23" s="15">
        <f>L23*100</f>
        <v>1.480838586992858</v>
      </c>
      <c r="O23" s="14">
        <v>238.94229999999999</v>
      </c>
    </row>
    <row r="24" spans="1:15" ht="27.75" customHeight="1" x14ac:dyDescent="0.45">
      <c r="A24" s="46">
        <v>0.02</v>
      </c>
      <c r="B24" s="47">
        <f>$D$17/1000-A24</f>
        <v>0.98</v>
      </c>
      <c r="D24" s="36" t="s">
        <v>27</v>
      </c>
      <c r="E24" s="40">
        <v>2.7890000000000001</v>
      </c>
      <c r="F24" s="40">
        <v>2.8054000000000001</v>
      </c>
      <c r="G24" s="40">
        <v>3.5647000000000002</v>
      </c>
      <c r="H24" s="41">
        <f t="shared" si="0"/>
        <v>1.639999999999997E-2</v>
      </c>
      <c r="I24" s="41">
        <f t="shared" si="0"/>
        <v>0.75930000000000009</v>
      </c>
      <c r="J24" s="42">
        <f t="shared" si="1"/>
        <v>4.8038705974004598E-3</v>
      </c>
      <c r="K24" s="42">
        <f t="shared" si="2"/>
        <v>1.1596129402599511E-2</v>
      </c>
      <c r="L24" s="42">
        <f t="shared" si="3"/>
        <v>6.1929490749006826E-3</v>
      </c>
      <c r="N24" s="17">
        <f>L24*100</f>
        <v>0.61929490749006821</v>
      </c>
      <c r="O24" s="20">
        <v>95.3429</v>
      </c>
    </row>
    <row r="25" spans="1:15" ht="29.25" customHeight="1" x14ac:dyDescent="0.45">
      <c r="D25" s="36" t="s">
        <v>28</v>
      </c>
      <c r="E25" s="40">
        <v>2.8048999999999999</v>
      </c>
      <c r="F25" s="40">
        <v>4.0651000000000002</v>
      </c>
      <c r="G25" s="40">
        <v>0</v>
      </c>
      <c r="H25" s="41">
        <f t="shared" si="0"/>
        <v>1.2602000000000002</v>
      </c>
      <c r="I25" s="41">
        <f t="shared" si="0"/>
        <v>-4.0651000000000002</v>
      </c>
      <c r="J25" s="42">
        <f t="shared" si="1"/>
        <v>0.36913644675878482</v>
      </c>
      <c r="K25" s="42">
        <f t="shared" si="2"/>
        <v>0.89106355324121544</v>
      </c>
      <c r="L25" s="42">
        <f t="shared" si="3"/>
        <v>-0.13160413802944307</v>
      </c>
    </row>
    <row r="26" spans="1:15" ht="13.5" customHeight="1" x14ac:dyDescent="0.45">
      <c r="D26" s="13"/>
      <c r="E26" s="13"/>
      <c r="F26" s="43"/>
      <c r="G26" s="13"/>
      <c r="H26" s="13"/>
      <c r="I26" s="13"/>
      <c r="K26" s="44"/>
    </row>
    <row r="27" spans="1:15" ht="14.25" customHeight="1" x14ac:dyDescent="0.45">
      <c r="D27" s="13"/>
      <c r="E27" s="13"/>
    </row>
    <row r="28" spans="1:15" ht="14.25" customHeight="1" x14ac:dyDescent="0.45">
      <c r="D28" s="13"/>
    </row>
  </sheetData>
  <sortState xmlns:xlrd2="http://schemas.microsoft.com/office/spreadsheetml/2017/richdata2" ref="O19:O24">
    <sortCondition descending="1" ref="O19:O24"/>
  </sortState>
  <mergeCells count="5">
    <mergeCell ref="G5:J5"/>
    <mergeCell ref="D9:K9"/>
    <mergeCell ref="G10:J10"/>
    <mergeCell ref="D15:L15"/>
    <mergeCell ref="J18:L18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eugenol</vt:lpstr>
      <vt:lpstr>carvacrol</vt:lpstr>
      <vt:lpstr>geraniol</vt:lpstr>
      <vt:lpstr>camphor</vt:lpstr>
      <vt:lpstr>carvone</vt:lpstr>
      <vt:lpstr>thymol</vt:lpstr>
      <vt:lpstr>2pe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Ormazabal</dc:creator>
  <dc:description/>
  <cp:lastModifiedBy>Sebastian Alejandro Ormazabal Latorre</cp:lastModifiedBy>
  <cp:revision>11</cp:revision>
  <cp:lastPrinted>2025-11-11T12:09:20Z</cp:lastPrinted>
  <dcterms:created xsi:type="dcterms:W3CDTF">2015-06-05T18:17:20Z</dcterms:created>
  <dcterms:modified xsi:type="dcterms:W3CDTF">2026-06-01T21:40:04Z</dcterms:modified>
  <dc:language>en-GB</dc:language>
</cp:coreProperties>
</file>